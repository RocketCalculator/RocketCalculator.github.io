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<sst xmlns="http://schemas.openxmlformats.org/spreadsheetml/2006/main" count="10" uniqueCount="10">
  <si>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r>
      <rPr>
        <sz val="10"/>
        <rFont val="Arial"/>
        <family val="0"/>
      </rPr>
      <t xml:space="preserve">(Thrust-Drag) / mass, ft/sec</t>
    </r>
    <r>
      <rPr>
        <vertAlign val="superscript"/>
        <sz val="10"/>
        <rFont val="Arial"/>
        <family val="2"/>
      </rPr>
      <t xml:space="preserve">2</t>
    </r>
  </si>
  <si>
    <t xml:space="preserve">Tank radius, ft</t>
  </si>
  <si>
    <t xml:space="preserve">Total fluid mass, sl </t>
  </si>
  <si>
    <r>
      <rPr>
        <sz val="10"/>
        <rFont val="Arial"/>
        <family val="0"/>
      </rPr>
      <t xml:space="preserve">Fluid mass density, sl/ft</t>
    </r>
    <r>
      <rPr>
        <vertAlign val="superscript"/>
        <sz val="10"/>
        <rFont val="Arial"/>
        <family val="2"/>
      </rPr>
      <t xml:space="preserve">3</t>
    </r>
  </si>
  <si>
    <t xml:space="preserve">λ1</t>
  </si>
  <si>
    <t xml:space="preserve">λ2</t>
  </si>
  <si>
    <t xml:space="preserve">λ3</t>
  </si>
  <si>
    <t xml:space="preserve">Fundamental Frequency, rad/sec</t>
  </si>
  <si>
    <t xml:space="preserve">First Harmonic Frequency, rad/sec</t>
  </si>
  <si>
    <t xml:space="preserve">Second Harmonic Frequency, rad/sec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</si>
</sst>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K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11.7"/>
    <col collapsed="false" customWidth="true" hidden="false" outlineLevel="0" max="4" min="4" style="0" width="9.85"/>
    <col collapsed="false" customWidth="true" hidden="false" outlineLevel="0" max="5" min="5" style="0" width="10.13"/>
    <col collapsed="false" customWidth="true" hidden="false" outlineLevel="0" max="6" min="6" style="0" width="10.28"/>
    <col collapsed="false" customWidth="true" hidden="false" outlineLevel="0" max="7" min="7" style="0" width="9.99"/>
    <col collapsed="false" customWidth="true" hidden="false" outlineLevel="0" max="8" min="8" style="0" width="9.85"/>
    <col collapsed="false" customWidth="true" hidden="false" outlineLevel="0" max="9" min="9" style="0" width="11.42"/>
    <col collapsed="false" customWidth="true" hidden="false" outlineLevel="0" max="10" min="10" style="0" width="13.41"/>
    <col collapsed="false" customWidth="true" hidden="false" outlineLevel="0" max="11" min="11" style="0" width="15.85"/>
  </cols>
  <sheetData>
    <row r="6" customFormat="false" ht="45" hidden="false" customHeight="true" outlineLevel="0" collapsed="false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</row>
    <row r="7" customFormat="false" ht="12.75" hidden="false" customHeight="false" outlineLevel="0" collapsed="false">
      <c r="B7" s="2" t="n">
        <v>322</v>
      </c>
      <c r="C7" s="2" t="n">
        <v>2</v>
      </c>
      <c r="D7" s="2" t="n">
        <v>20</v>
      </c>
      <c r="E7" s="2" t="n">
        <v>2</v>
      </c>
      <c r="F7" s="3" t="n">
        <v>1.84118378</v>
      </c>
      <c r="G7" s="3" t="n">
        <v>5.33144277</v>
      </c>
      <c r="H7" s="3" t="n">
        <v>8.5363164</v>
      </c>
      <c r="I7" s="4" t="n">
        <f aca="false">SQRT($B$7*(F7/$C$7)*TANH(F7*$E$7/(PI()*$E$7*$C$7^3)))</f>
        <v>4.65588423111333</v>
      </c>
      <c r="J7" s="4" t="n">
        <f aca="false">SQRT($B$7*(G7/$C$7)*TANH(G7*$E$7/(PI()*$E$7*$C$7^3)))</f>
        <v>13.3941249219206</v>
      </c>
      <c r="K7" s="4" t="n">
        <f aca="false">SQRT($B$7*(H7/$C$7)*TANH(H7*$E$7/(PI()*$E$7*$C$7^3)))</f>
        <v>21.2046488980935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2013-08-26T23:01:39Z</dcterms:created>
  <dc:creator>Owner</dc:creator>
  <dc:description/>
  <dc:language>en-US</dc:language>
  <cp:lastModifiedBy>Owner</cp:lastModifiedBy>
  <dcterms:modified xsi:type="dcterms:W3CDTF">2013-08-26T23:23:41Z</dcterms:modified>
  <cp:revision>0</cp:revision>
  <dc:subject/>
  <dc:title/>
</cp:coreProperties>
</file>