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<sst xmlns="http://schemas.openxmlformats.org/spreadsheetml/2006/main" count="19" uniqueCount="18">
  <si>
    <t xml:space="preserve">qr=q/qd</t>
  </si>
  <si>
    <t xml:space="preserve">1/qr</t>
  </si>
  <si>
    <t xml:space="preserve">q/qd</t>
  </si>
  <si>
    <t xml:space="preserve">Load Amplification</t>
  </si>
  <si>
    <t xml:space="preserve">g, Ft/sec^2</t>
  </si>
  <si>
    <t xml:space="preserve">pi</t>
  </si>
  <si>
    <t xml:space="preserve">Tube Young's Modulus, Lb/in^2</t>
  </si>
  <si>
    <t xml:space="preserve">Tube Radius, in</t>
  </si>
  <si>
    <t xml:space="preserve">Tube Wall Thickness, in</t>
  </si>
  <si>
    <t xml:space="preserve">Vol, in^3</t>
  </si>
  <si>
    <t xml:space="preserve">Cnalfa, 1/rad</t>
  </si>
  <si>
    <t xml:space="preserve">I, in^4</t>
  </si>
  <si>
    <t xml:space="preserve">S, in^2</t>
  </si>
  <si>
    <t xml:space="preserve">Beam Length, in</t>
  </si>
  <si>
    <t xml:space="preserve">qd, Lb/Ft^2</t>
  </si>
  <si>
    <t xml:space="preserve">Tube weight density, Lb/in^3</t>
  </si>
  <si>
    <t xml:space="preserve">Area, in^2</t>
  </si>
  <si>
    <t xml:space="preserve">Tube wt, lb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</si>
</sst>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Load Amplification due to Static Aeroelasticity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Sheet1!$I$3</c:f>
              <c:strCache>
                <c:ptCount val="1"/>
                <c:pt idx="0">
                  <c:v>Load Amplification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Sheet1!$H$4:$H$14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0.95</c:v>
                </c:pt>
              </c:numCache>
            </c:numRef>
          </c:xVal>
          <c:yVal>
            <c:numRef>
              <c:f>Sheet1!$I$4:$I$14</c:f>
              <c:numCache>
                <c:formatCode>General</c:formatCode>
                <c:ptCount val="11"/>
                <c:pt idx="0">
                  <c:v>1</c:v>
                </c:pt>
                <c:pt idx="1">
                  <c:v>1.11111111111111</c:v>
                </c:pt>
                <c:pt idx="2">
                  <c:v>1.25</c:v>
                </c:pt>
                <c:pt idx="3">
                  <c:v>1.42857142857143</c:v>
                </c:pt>
                <c:pt idx="4">
                  <c:v>1.66666666666667</c:v>
                </c:pt>
                <c:pt idx="5">
                  <c:v>2</c:v>
                </c:pt>
                <c:pt idx="6">
                  <c:v>2.5</c:v>
                </c:pt>
                <c:pt idx="7">
                  <c:v>3.33333333333333</c:v>
                </c:pt>
                <c:pt idx="8">
                  <c:v>5</c:v>
                </c:pt>
                <c:pt idx="9">
                  <c:v>10</c:v>
                </c:pt>
                <c:pt idx="10">
                  <c:v>20</c:v>
                </c:pt>
              </c:numCache>
            </c:numRef>
          </c:yVal>
          <c:smooth val="1"/>
        </c:ser>
        <c:axId val="385006"/>
        <c:axId val="40811190"/>
      </c:scatterChart>
      <c:valAx>
        <c:axId val="385006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Dynamic Pressure/Divergence Dynamic Pressure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811190"/>
        <c:crossesAt val="0"/>
        <c:crossBetween val="midCat"/>
      </c:valAx>
      <c:valAx>
        <c:axId val="40811190"/>
        <c:scaling>
          <c:orientation val="minMax"/>
          <c:max val="20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Load Amplification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85006"/>
        <c:crossesAt val="0"/>
        <c:crossBetween val="midCat"/>
        <c:majorUnit val="4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Arial"/>
              </a:rPr>
              <a:t>Cajun Divergence Dynamic Pressure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21325883608513"/>
          <c:y val="0.16015625"/>
          <c:w val="0.731244899240379"/>
          <c:h val="0.75419921875"/>
        </c:manualLayout>
      </c:layout>
      <c:scatterChart>
        <c:scatterStyle val="line"/>
        <c:varyColors val="0"/>
        <c:ser>
          <c:idx val="0"/>
          <c:order val="0"/>
          <c:tx>
            <c:strRef>
              <c:f>Sheet1!$K$17</c:f>
              <c:strCache>
                <c:ptCount val="1"/>
                <c:pt idx="0">
                  <c:v>qd, Lb/Ft^2</c:v>
                </c:pt>
              </c:strCache>
            </c:strRef>
          </c:tx>
          <c:spPr>
            <a:solidFill>
              <a:srgbClr val="000080"/>
            </a:solidFill>
            <a:ln w="126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Sheet1!$J$18:$J$26</c:f>
              <c:numCache>
                <c:formatCode>General</c:formatCode>
                <c:ptCount val="9"/>
                <c:pt idx="0">
                  <c:v>140</c:v>
                </c:pt>
                <c:pt idx="1">
                  <c:v>150</c:v>
                </c:pt>
                <c:pt idx="2">
                  <c:v>160</c:v>
                </c:pt>
                <c:pt idx="3">
                  <c:v>170</c:v>
                </c:pt>
                <c:pt idx="4">
                  <c:v>180</c:v>
                </c:pt>
                <c:pt idx="5">
                  <c:v>190</c:v>
                </c:pt>
                <c:pt idx="6">
                  <c:v>200</c:v>
                </c:pt>
                <c:pt idx="7">
                  <c:v>210</c:v>
                </c:pt>
                <c:pt idx="8">
                  <c:v>220</c:v>
                </c:pt>
              </c:numCache>
            </c:numRef>
          </c:xVal>
          <c:yVal>
            <c:numRef>
              <c:f>Sheet1!$K$18:$K$26</c:f>
              <c:numCache>
                <c:formatCode>General</c:formatCode>
                <c:ptCount val="9"/>
                <c:pt idx="0">
                  <c:v>21696.4285714286</c:v>
                </c:pt>
                <c:pt idx="1">
                  <c:v>18900</c:v>
                </c:pt>
                <c:pt idx="2">
                  <c:v>16611.328125</c:v>
                </c:pt>
                <c:pt idx="3">
                  <c:v>14714.5328719723</c:v>
                </c:pt>
                <c:pt idx="4">
                  <c:v>13125</c:v>
                </c:pt>
                <c:pt idx="5">
                  <c:v>11779.7783933518</c:v>
                </c:pt>
                <c:pt idx="6">
                  <c:v>10631.25</c:v>
                </c:pt>
                <c:pt idx="7">
                  <c:v>9642.85714285714</c:v>
                </c:pt>
                <c:pt idx="8">
                  <c:v>8786.15702479339</c:v>
                </c:pt>
              </c:numCache>
            </c:numRef>
          </c:yVal>
          <c:smooth val="1"/>
        </c:ser>
        <c:axId val="20249748"/>
        <c:axId val="86455917"/>
      </c:scatterChart>
      <c:valAx>
        <c:axId val="20249748"/>
        <c:scaling>
          <c:orientation val="minMax"/>
          <c:max val="220"/>
          <c:min val="10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Cylindrical Section Length, 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6455917"/>
        <c:crossesAt val="0"/>
        <c:crossBetween val="midCat"/>
        <c:majorUnit val="20"/>
      </c:valAx>
      <c:valAx>
        <c:axId val="86455917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Dynamic Pressure, psf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249748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259200</xdr:colOff>
      <xdr:row>0</xdr:row>
      <xdr:rowOff>19080</xdr:rowOff>
    </xdr:from>
    <xdr:to>
      <xdr:col>24</xdr:col>
      <xdr:colOff>249840</xdr:colOff>
      <xdr:row>19</xdr:row>
      <xdr:rowOff>142920</xdr:rowOff>
    </xdr:to>
    <xdr:graphicFrame>
      <xdr:nvGraphicFramePr>
        <xdr:cNvPr id="1" name="Chart 1"/>
        <xdr:cNvGraphicFramePr/>
      </xdr:nvGraphicFramePr>
      <xdr:xfrm>
        <a:off x="9907920" y="19080"/>
        <a:ext cx="5734440" cy="368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239400</xdr:colOff>
      <xdr:row>21</xdr:row>
      <xdr:rowOff>19080</xdr:rowOff>
    </xdr:from>
    <xdr:to>
      <xdr:col>24</xdr:col>
      <xdr:colOff>229680</xdr:colOff>
      <xdr:row>43</xdr:row>
      <xdr:rowOff>142920</xdr:rowOff>
    </xdr:to>
    <xdr:graphicFrame>
      <xdr:nvGraphicFramePr>
        <xdr:cNvPr id="2" name="Chart 2"/>
        <xdr:cNvGraphicFramePr/>
      </xdr:nvGraphicFramePr>
      <xdr:xfrm>
        <a:off x="9888120" y="3905280"/>
        <a:ext cx="5734080" cy="368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2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10.13"/>
  </cols>
  <sheetData>
    <row r="3" customFormat="false" ht="12.75" hidden="false" customHeight="false" outlineLevel="0" collapsed="false">
      <c r="F3" s="0" t="s">
        <v>0</v>
      </c>
      <c r="G3" s="0" t="s">
        <v>1</v>
      </c>
      <c r="H3" s="0" t="s">
        <v>2</v>
      </c>
      <c r="I3" s="0" t="s">
        <v>3</v>
      </c>
    </row>
    <row r="4" customFormat="false" ht="12.75" hidden="false" customHeight="false" outlineLevel="0" collapsed="false">
      <c r="F4" s="0" t="n">
        <v>0</v>
      </c>
      <c r="H4" s="0" t="n">
        <v>0</v>
      </c>
      <c r="I4" s="0" t="n">
        <f aca="false">1</f>
        <v>1</v>
      </c>
    </row>
    <row r="5" customFormat="false" ht="12.75" hidden="false" customHeight="false" outlineLevel="0" collapsed="false">
      <c r="F5" s="0" t="n">
        <v>0.1</v>
      </c>
      <c r="G5" s="0" t="n">
        <f aca="false">1/F5</f>
        <v>10</v>
      </c>
      <c r="H5" s="0" t="n">
        <v>0.1</v>
      </c>
      <c r="I5" s="0" t="n">
        <f aca="false">G5/(G5-1)</f>
        <v>1.11111111111111</v>
      </c>
    </row>
    <row r="6" customFormat="false" ht="12.75" hidden="false" customHeight="false" outlineLevel="0" collapsed="false">
      <c r="F6" s="0" t="n">
        <v>0.2</v>
      </c>
      <c r="G6" s="0" t="n">
        <f aca="false">1/F6</f>
        <v>5</v>
      </c>
      <c r="H6" s="0" t="n">
        <v>0.2</v>
      </c>
      <c r="I6" s="0" t="n">
        <f aca="false">G6/(G6-1)</f>
        <v>1.25</v>
      </c>
    </row>
    <row r="7" customFormat="false" ht="12.75" hidden="false" customHeight="false" outlineLevel="0" collapsed="false">
      <c r="F7" s="0" t="n">
        <v>0.3</v>
      </c>
      <c r="G7" s="0" t="n">
        <f aca="false">1/F7</f>
        <v>3.33333333333333</v>
      </c>
      <c r="H7" s="0" t="n">
        <v>0.3</v>
      </c>
      <c r="I7" s="0" t="n">
        <f aca="false">G7/(G7-1)</f>
        <v>1.42857142857143</v>
      </c>
    </row>
    <row r="8" customFormat="false" ht="12.75" hidden="false" customHeight="false" outlineLevel="0" collapsed="false">
      <c r="F8" s="0" t="n">
        <v>0.4</v>
      </c>
      <c r="G8" s="0" t="n">
        <f aca="false">1/F8</f>
        <v>2.5</v>
      </c>
      <c r="H8" s="0" t="n">
        <v>0.4</v>
      </c>
      <c r="I8" s="0" t="n">
        <f aca="false">G8/(G8-1)</f>
        <v>1.66666666666667</v>
      </c>
    </row>
    <row r="9" customFormat="false" ht="12.75" hidden="false" customHeight="false" outlineLevel="0" collapsed="false">
      <c r="F9" s="0" t="n">
        <v>0.5</v>
      </c>
      <c r="G9" s="0" t="n">
        <f aca="false">1/F9</f>
        <v>2</v>
      </c>
      <c r="H9" s="0" t="n">
        <v>0.5</v>
      </c>
      <c r="I9" s="0" t="n">
        <f aca="false">G9/(G9-1)</f>
        <v>2</v>
      </c>
    </row>
    <row r="10" customFormat="false" ht="12.75" hidden="false" customHeight="false" outlineLevel="0" collapsed="false">
      <c r="F10" s="0" t="n">
        <v>0.6</v>
      </c>
      <c r="G10" s="0" t="n">
        <f aca="false">1/F10</f>
        <v>1.66666666666667</v>
      </c>
      <c r="H10" s="0" t="n">
        <v>0.6</v>
      </c>
      <c r="I10" s="0" t="n">
        <f aca="false">G10/(G10-1)</f>
        <v>2.5</v>
      </c>
    </row>
    <row r="11" customFormat="false" ht="12.75" hidden="false" customHeight="false" outlineLevel="0" collapsed="false">
      <c r="F11" s="0" t="n">
        <v>0.7</v>
      </c>
      <c r="G11" s="0" t="n">
        <f aca="false">1/F11</f>
        <v>1.42857142857143</v>
      </c>
      <c r="H11" s="0" t="n">
        <v>0.7</v>
      </c>
      <c r="I11" s="0" t="n">
        <f aca="false">G11/(G11-1)</f>
        <v>3.33333333333333</v>
      </c>
    </row>
    <row r="12" customFormat="false" ht="12.75" hidden="false" customHeight="false" outlineLevel="0" collapsed="false">
      <c r="F12" s="0" t="n">
        <v>0.8</v>
      </c>
      <c r="G12" s="0" t="n">
        <f aca="false">1/F12</f>
        <v>1.25</v>
      </c>
      <c r="H12" s="0" t="n">
        <v>0.8</v>
      </c>
      <c r="I12" s="0" t="n">
        <f aca="false">G12/(G12-1)</f>
        <v>5</v>
      </c>
    </row>
    <row r="13" customFormat="false" ht="12.75" hidden="false" customHeight="false" outlineLevel="0" collapsed="false">
      <c r="F13" s="0" t="n">
        <v>0.9</v>
      </c>
      <c r="G13" s="0" t="n">
        <f aca="false">1/F13</f>
        <v>1.11111111111111</v>
      </c>
      <c r="H13" s="0" t="n">
        <v>0.9</v>
      </c>
      <c r="I13" s="0" t="n">
        <f aca="false">G13/(G13-1)</f>
        <v>10</v>
      </c>
    </row>
    <row r="14" customFormat="false" ht="12.75" hidden="false" customHeight="false" outlineLevel="0" collapsed="false">
      <c r="F14" s="0" t="n">
        <v>0.95</v>
      </c>
      <c r="G14" s="0" t="n">
        <f aca="false">1/F14</f>
        <v>1.05263157894737</v>
      </c>
      <c r="H14" s="0" t="n">
        <v>0.95</v>
      </c>
      <c r="I14" s="0" t="n">
        <f aca="false">G14/(G14-1)</f>
        <v>20</v>
      </c>
    </row>
    <row r="17" customFormat="false" ht="51" hidden="false" customHeight="false" outlineLevel="0" collapsed="false">
      <c r="A17" s="0" t="s">
        <v>4</v>
      </c>
      <c r="B17" s="0" t="s">
        <v>5</v>
      </c>
      <c r="C17" s="1" t="s">
        <v>6</v>
      </c>
      <c r="D17" s="1" t="s">
        <v>7</v>
      </c>
      <c r="E17" s="1" t="s">
        <v>8</v>
      </c>
      <c r="F17" s="1" t="s">
        <v>9</v>
      </c>
      <c r="G17" s="1" t="s">
        <v>10</v>
      </c>
      <c r="H17" s="1" t="s">
        <v>11</v>
      </c>
      <c r="I17" s="1" t="s">
        <v>12</v>
      </c>
      <c r="J17" s="1" t="s">
        <v>13</v>
      </c>
      <c r="K17" s="1" t="s">
        <v>14</v>
      </c>
      <c r="L17" s="1" t="s">
        <v>15</v>
      </c>
      <c r="M17" s="1" t="s">
        <v>16</v>
      </c>
      <c r="N17" s="1" t="s">
        <v>17</v>
      </c>
      <c r="O17" s="1" t="s">
        <v>9</v>
      </c>
    </row>
    <row r="18" customFormat="false" ht="12.75" hidden="false" customHeight="false" outlineLevel="0" collapsed="false">
      <c r="A18" s="0" t="n">
        <v>32.174</v>
      </c>
      <c r="B18" s="0" t="n">
        <v>3.14159265</v>
      </c>
      <c r="C18" s="1" t="n">
        <f aca="false">10.5*10^6</f>
        <v>10500000</v>
      </c>
      <c r="D18" s="1" t="n">
        <v>3.375</v>
      </c>
      <c r="E18" s="1" t="n">
        <v>0.125</v>
      </c>
      <c r="F18" s="1"/>
      <c r="G18" s="1" t="n">
        <v>3</v>
      </c>
      <c r="H18" s="0" t="n">
        <f aca="false">$B$18*$E$18*D18^3</f>
        <v>15.0966719067261</v>
      </c>
      <c r="I18" s="0" t="n">
        <f aca="false">$B$18*D18^2</f>
        <v>35.7847037789063</v>
      </c>
      <c r="J18" s="1" t="n">
        <v>140</v>
      </c>
      <c r="K18" s="0" t="n">
        <f aca="false">288*$C$18*H18/(I18*G18*(J18^2))</f>
        <v>21696.4285714286</v>
      </c>
      <c r="L18" s="0" t="n">
        <v>0.101</v>
      </c>
      <c r="M18" s="0" t="n">
        <f aca="false">2*$B$18*D18*J18</f>
        <v>2968.80505425</v>
      </c>
      <c r="N18" s="0" t="n">
        <f aca="false">L18*M18</f>
        <v>299.84931047925</v>
      </c>
      <c r="O18" s="0" t="n">
        <f aca="false">I18*J18</f>
        <v>5009.85852904688</v>
      </c>
    </row>
    <row r="19" customFormat="false" ht="12.75" hidden="false" customHeight="false" outlineLevel="0" collapsed="false">
      <c r="C19" s="1"/>
      <c r="D19" s="1" t="n">
        <v>3.375</v>
      </c>
      <c r="E19" s="1" t="n">
        <v>0.125</v>
      </c>
      <c r="F19" s="1"/>
      <c r="G19" s="1" t="n">
        <v>3</v>
      </c>
      <c r="H19" s="0" t="n">
        <f aca="false">$B$18*$E$18*D19^3</f>
        <v>15.0966719067261</v>
      </c>
      <c r="I19" s="0" t="n">
        <f aca="false">$B$18*D19^2</f>
        <v>35.7847037789063</v>
      </c>
      <c r="J19" s="0" t="n">
        <v>150</v>
      </c>
      <c r="K19" s="0" t="n">
        <f aca="false">288*$C$18*H19/(I19*G19*(J19^2))</f>
        <v>18900</v>
      </c>
      <c r="L19" s="0" t="n">
        <v>0.101</v>
      </c>
      <c r="M19" s="0" t="n">
        <f aca="false">2*$B$18*D19*F19</f>
        <v>0</v>
      </c>
      <c r="N19" s="0" t="n">
        <f aca="false">L19*M19</f>
        <v>0</v>
      </c>
      <c r="O19" s="0" t="n">
        <f aca="false">I19*J19</f>
        <v>5367.70556683594</v>
      </c>
    </row>
    <row r="20" customFormat="false" ht="12.75" hidden="false" customHeight="false" outlineLevel="0" collapsed="false">
      <c r="D20" s="1" t="n">
        <v>3.375</v>
      </c>
      <c r="E20" s="1" t="n">
        <v>0.125</v>
      </c>
      <c r="F20" s="1"/>
      <c r="G20" s="1" t="n">
        <v>3</v>
      </c>
      <c r="H20" s="0" t="n">
        <f aca="false">$B$18*$E$18*D20^3</f>
        <v>15.0966719067261</v>
      </c>
      <c r="I20" s="0" t="n">
        <f aca="false">$B$18*D20^2</f>
        <v>35.7847037789063</v>
      </c>
      <c r="J20" s="0" t="n">
        <v>160</v>
      </c>
      <c r="K20" s="0" t="n">
        <f aca="false">288*$C$18*H20/(I20*G20*(J20^2))</f>
        <v>16611.328125</v>
      </c>
      <c r="L20" s="0" t="n">
        <v>0.101</v>
      </c>
      <c r="M20" s="0" t="n">
        <f aca="false">2*$B$18*D20*F20</f>
        <v>0</v>
      </c>
      <c r="N20" s="0" t="n">
        <f aca="false">L20*M20</f>
        <v>0</v>
      </c>
      <c r="O20" s="0" t="n">
        <f aca="false">I20*J20</f>
        <v>5725.552604625</v>
      </c>
    </row>
    <row r="21" customFormat="false" ht="12.75" hidden="false" customHeight="false" outlineLevel="0" collapsed="false">
      <c r="D21" s="1" t="n">
        <v>3.375</v>
      </c>
      <c r="E21" s="1" t="n">
        <v>0.125</v>
      </c>
      <c r="F21" s="1"/>
      <c r="G21" s="1" t="n">
        <v>3</v>
      </c>
      <c r="H21" s="0" t="n">
        <f aca="false">$B$18*$E$18*D21^3</f>
        <v>15.0966719067261</v>
      </c>
      <c r="I21" s="0" t="n">
        <f aca="false">$B$18*D21^2</f>
        <v>35.7847037789063</v>
      </c>
      <c r="J21" s="0" t="n">
        <v>170</v>
      </c>
      <c r="K21" s="0" t="n">
        <f aca="false">288*$C$18*H21/(I21*G21*(J21^2))</f>
        <v>14714.5328719723</v>
      </c>
      <c r="L21" s="0" t="n">
        <v>0.101</v>
      </c>
      <c r="M21" s="0" t="n">
        <f aca="false">2*$B$18*D21*F21</f>
        <v>0</v>
      </c>
      <c r="N21" s="0" t="n">
        <f aca="false">L21*M21</f>
        <v>0</v>
      </c>
      <c r="O21" s="0" t="n">
        <f aca="false">I21*J21</f>
        <v>6083.39964241406</v>
      </c>
    </row>
    <row r="22" customFormat="false" ht="12.75" hidden="false" customHeight="false" outlineLevel="0" collapsed="false">
      <c r="D22" s="1" t="n">
        <v>3.375</v>
      </c>
      <c r="E22" s="1" t="n">
        <v>0.125</v>
      </c>
      <c r="G22" s="1" t="n">
        <v>3</v>
      </c>
      <c r="H22" s="0" t="n">
        <f aca="false">$B$18*$E$18*D22^3</f>
        <v>15.0966719067261</v>
      </c>
      <c r="I22" s="0" t="n">
        <f aca="false">$B$18*D22^2</f>
        <v>35.7847037789063</v>
      </c>
      <c r="J22" s="0" t="n">
        <v>180</v>
      </c>
      <c r="K22" s="0" t="n">
        <f aca="false">288*$C$18*H22/(I22*G22*(J22^2))</f>
        <v>13125</v>
      </c>
      <c r="L22" s="0" t="n">
        <v>0.101</v>
      </c>
      <c r="M22" s="0" t="n">
        <f aca="false">2*$B$18*D22*F22</f>
        <v>0</v>
      </c>
      <c r="O22" s="0" t="n">
        <f aca="false">I22*J22</f>
        <v>6441.24668020313</v>
      </c>
    </row>
    <row r="23" customFormat="false" ht="12.75" hidden="false" customHeight="false" outlineLevel="0" collapsed="false">
      <c r="D23" s="1" t="n">
        <v>3.375</v>
      </c>
      <c r="E23" s="1" t="n">
        <v>0.125</v>
      </c>
      <c r="G23" s="1" t="n">
        <v>3</v>
      </c>
      <c r="H23" s="0" t="n">
        <f aca="false">$B$18*$E$18*D23^3</f>
        <v>15.0966719067261</v>
      </c>
      <c r="I23" s="0" t="n">
        <f aca="false">$B$18*D23^2</f>
        <v>35.7847037789063</v>
      </c>
      <c r="J23" s="0" t="n">
        <v>190</v>
      </c>
      <c r="K23" s="0" t="n">
        <f aca="false">288*$C$18*H23/(I23*G23*(J23^2))</f>
        <v>11779.7783933518</v>
      </c>
      <c r="L23" s="0" t="n">
        <v>0.101</v>
      </c>
      <c r="M23" s="0" t="n">
        <f aca="false">2*$B$18*D23*F23</f>
        <v>0</v>
      </c>
      <c r="O23" s="0" t="n">
        <f aca="false">I23*J23</f>
        <v>6799.09371799219</v>
      </c>
    </row>
    <row r="24" customFormat="false" ht="12.75" hidden="false" customHeight="false" outlineLevel="0" collapsed="false">
      <c r="D24" s="1" t="n">
        <v>3.375</v>
      </c>
      <c r="E24" s="1" t="n">
        <v>0.125</v>
      </c>
      <c r="G24" s="1" t="n">
        <v>3</v>
      </c>
      <c r="H24" s="0" t="n">
        <f aca="false">$B$18*$E$18*D24^3</f>
        <v>15.0966719067261</v>
      </c>
      <c r="I24" s="0" t="n">
        <f aca="false">$B$18*D24^2</f>
        <v>35.7847037789063</v>
      </c>
      <c r="J24" s="0" t="n">
        <v>200</v>
      </c>
      <c r="K24" s="0" t="n">
        <f aca="false">288*$C$18*H24/(I24*G24*(J24^2))</f>
        <v>10631.25</v>
      </c>
      <c r="L24" s="0" t="n">
        <v>0.101</v>
      </c>
      <c r="M24" s="0" t="n">
        <f aca="false">2*$B$18*D24*F24</f>
        <v>0</v>
      </c>
    </row>
    <row r="25" customFormat="false" ht="12.75" hidden="false" customHeight="false" outlineLevel="0" collapsed="false">
      <c r="D25" s="1" t="n">
        <v>3.375</v>
      </c>
      <c r="E25" s="1" t="n">
        <v>0.125</v>
      </c>
      <c r="G25" s="1" t="n">
        <v>3</v>
      </c>
      <c r="H25" s="0" t="n">
        <f aca="false">$B$18*$E$18*D25^3</f>
        <v>15.0966719067261</v>
      </c>
      <c r="I25" s="0" t="n">
        <f aca="false">$B$18*D25^2</f>
        <v>35.7847037789063</v>
      </c>
      <c r="J25" s="0" t="n">
        <v>210</v>
      </c>
      <c r="K25" s="0" t="n">
        <f aca="false">288*$C$18*H25/(I25*G25*(J25^2))</f>
        <v>9642.85714285714</v>
      </c>
    </row>
    <row r="26" customFormat="false" ht="12.75" hidden="false" customHeight="false" outlineLevel="0" collapsed="false">
      <c r="D26" s="1" t="n">
        <v>3.375</v>
      </c>
      <c r="E26" s="1" t="n">
        <v>0.125</v>
      </c>
      <c r="G26" s="1" t="n">
        <v>3</v>
      </c>
      <c r="H26" s="0" t="n">
        <f aca="false">$B$18*$E$18*D26^3</f>
        <v>15.0966719067261</v>
      </c>
      <c r="I26" s="0" t="n">
        <f aca="false">$B$18*D26^2</f>
        <v>35.7847037789063</v>
      </c>
      <c r="J26" s="0" t="n">
        <v>220</v>
      </c>
      <c r="K26" s="0" t="n">
        <f aca="false">288*$C$18*H26/(I26*G26*(J26^2))</f>
        <v>8786.15702479339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2004-11-17T00:21:15Z</dcterms:created>
  <dc:creator>Owner</dc:creator>
  <dc:description/>
  <dc:language>en-US</dc:language>
  <cp:lastModifiedBy>Owner</cp:lastModifiedBy>
  <dcterms:modified xsi:type="dcterms:W3CDTF">2012-12-27T13:38:52Z</dcterms:modified>
  <cp:revision>0</cp:revision>
  <dc:subject/>
  <dc:title/>
</cp:coreProperties>
</file>