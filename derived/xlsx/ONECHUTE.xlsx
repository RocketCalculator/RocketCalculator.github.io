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<sst xmlns="http://schemas.openxmlformats.org/spreadsheetml/2006/main" count="26" uniqueCount="26">
  <si>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Nose Weight, lb</t>
  </si>
  <si>
    <t xml:space="preserve">Tail Weight, lb</t>
  </si>
  <si>
    <r>
      <rPr>
        <sz val="10"/>
        <rFont val="Arial"/>
        <family val="0"/>
      </rPr>
      <t xml:space="preserve">Parachute C</t>
    </r>
    <r>
      <rPr>
        <vertAlign val="subscript"/>
        <sz val="10"/>
        <rFont val="Arial"/>
        <family val="2"/>
      </rPr>
      <t xml:space="preserve">D</t>
    </r>
  </si>
  <si>
    <t xml:space="preserve">Parachute Diameter, ft</t>
  </si>
  <si>
    <t xml:space="preserve">Deployment Altitude, ft</t>
  </si>
  <si>
    <t xml:space="preserve">Impact Altitude, ft</t>
  </si>
  <si>
    <t xml:space="preserve">Lanyard Length, ft</t>
  </si>
  <si>
    <r>
      <rPr>
        <sz val="10"/>
        <rFont val="Arial"/>
        <family val="0"/>
      </rPr>
      <t xml:space="preserve">g, ft/s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</si>
  <si>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0"/>
      </rPr>
      <t xml:space="preserve">α, </t>
    </r>
    <r>
      <rPr>
        <vertAlign val="superscript"/>
        <sz val="10"/>
        <rFont val="Arial"/>
        <family val="2"/>
      </rPr>
      <t xml:space="preserve">o</t>
    </r>
    <r>
      <rPr>
        <sz val="10"/>
        <rFont val="Arial"/>
        <family val="0"/>
      </rPr>
      <t xml:space="preserve">R/ft</t>
    </r>
  </si>
  <si>
    <r>
      <rPr>
        <sz val="10"/>
        <rFont val="Arial"/>
        <family val="0"/>
      </rPr>
      <t xml:space="preserve">R,              ft</t>
    </r>
    <r>
      <rPr>
        <vertAlign val="superscript"/>
        <sz val="10"/>
        <rFont val="Arial"/>
        <family val="2"/>
      </rPr>
      <t xml:space="preserve">2</t>
    </r>
    <r>
      <rPr>
        <sz val="10"/>
        <rFont val="Arial"/>
        <family val="0"/>
      </rPr>
      <t xml:space="preserve">/s</t>
    </r>
    <r>
      <rPr>
        <vertAlign val="superscript"/>
        <sz val="10"/>
        <rFont val="Arial"/>
        <family val="2"/>
      </rPr>
      <t xml:space="preserve">2</t>
    </r>
    <r>
      <rPr>
        <sz val="10"/>
        <rFont val="Arial"/>
        <family val="0"/>
      </rPr>
      <t xml:space="preserve"> </t>
    </r>
    <r>
      <rPr>
        <vertAlign val="superscript"/>
        <sz val="10"/>
        <rFont val="Arial"/>
        <family val="2"/>
      </rPr>
      <t xml:space="preserve">o</t>
    </r>
    <r>
      <rPr>
        <sz val="10"/>
        <rFont val="Arial"/>
        <family val="0"/>
      </rPr>
      <t xml:space="preserve">R</t>
    </r>
  </si>
  <si>
    <r>
      <rPr>
        <sz val="10"/>
        <rFont val="Symbol"/>
        <family val="1"/>
        <charset val="2"/>
      </rPr>
      <t xml:space="preserve">r</t>
    </r>
    <r>
      <rPr>
        <vertAlign val="subscript"/>
        <sz val="10"/>
        <rFont val="Arial"/>
        <family val="2"/>
      </rPr>
      <t xml:space="preserve">o, </t>
    </r>
    <r>
      <rPr>
        <sz val="10"/>
        <rFont val="Arial"/>
        <family val="2"/>
      </rPr>
      <t xml:space="preserve">sl/ft</t>
    </r>
    <r>
      <rPr>
        <vertAlign val="superscript"/>
        <sz val="10"/>
        <rFont val="Arial"/>
        <family val="2"/>
      </rPr>
      <t xml:space="preserve">3</t>
    </r>
  </si>
  <si>
    <r>
      <rPr>
        <sz val="10"/>
        <rFont val="Arial"/>
        <family val="2"/>
      </rPr>
      <t xml:space="preserve">To, </t>
    </r>
    <r>
      <rPr>
        <vertAlign val="superscript"/>
        <sz val="10"/>
        <rFont val="Arial"/>
        <family val="2"/>
      </rPr>
      <t xml:space="preserve">o</t>
    </r>
    <r>
      <rPr>
        <sz val="10"/>
        <rFont val="Arial"/>
        <family val="2"/>
      </rPr>
      <t xml:space="preserve">R</t>
    </r>
  </si>
  <si>
    <t xml:space="preserve">Nose Mass, sl</t>
  </si>
  <si>
    <t xml:space="preserve">Tail Mass, sl</t>
  </si>
  <si>
    <r>
      <rPr>
        <sz val="10"/>
        <rFont val="Arial"/>
        <family val="0"/>
      </rPr>
      <t xml:space="preserve">Parachute Area, ft</t>
    </r>
    <r>
      <rPr>
        <vertAlign val="superscript"/>
        <sz val="10"/>
        <rFont val="Arial"/>
        <family val="2"/>
      </rPr>
      <t xml:space="preserve">2</t>
    </r>
  </si>
  <si>
    <t xml:space="preserve">n</t>
  </si>
  <si>
    <r>
      <rPr>
        <sz val="10"/>
        <rFont val="Arial"/>
        <family val="0"/>
      </rPr>
      <t xml:space="preserve">Impact </t>
    </r>
    <r>
      <rPr>
        <sz val="10"/>
        <rFont val="Symbol"/>
        <family val="1"/>
        <charset val="2"/>
      </rPr>
      <t xml:space="preserve">r </t>
    </r>
    <r>
      <rPr>
        <sz val="10"/>
        <rFont val="Arial"/>
        <family val="2"/>
      </rPr>
      <t xml:space="preserve">Ratio</t>
    </r>
  </si>
  <si>
    <r>
      <rPr>
        <sz val="10"/>
        <rFont val="Arial"/>
        <family val="0"/>
      </rPr>
      <t xml:space="preserve">Deploy </t>
    </r>
    <r>
      <rPr>
        <sz val="10"/>
        <rFont val="Symbol"/>
        <family val="1"/>
        <charset val="2"/>
      </rPr>
      <t xml:space="preserve">r</t>
    </r>
    <r>
      <rPr>
        <sz val="10"/>
        <rFont val="Arial"/>
        <family val="2"/>
      </rPr>
      <t xml:space="preserve"> Ratio</t>
    </r>
  </si>
  <si>
    <t xml:space="preserve">Sea Level Velocity, ft/s</t>
  </si>
  <si>
    <t xml:space="preserve">factor</t>
  </si>
  <si>
    <t xml:space="preserve">Descent Time, sec</t>
  </si>
  <si>
    <t xml:space="preserve">Descent Time, min</t>
  </si>
  <si>
    <t xml:space="preserve">Asymptotic Imact NRG</t>
  </si>
  <si>
    <r>
      <rPr>
        <sz val="10"/>
        <rFont val="Arial"/>
        <family val="0"/>
      </rPr>
      <t xml:space="preserve">ditto, m</t>
    </r>
    <r>
      <rPr>
        <vertAlign val="subscript"/>
        <sz val="10"/>
        <rFont val="Arial"/>
        <family val="2"/>
      </rPr>
      <t xml:space="preserve">1</t>
    </r>
  </si>
  <si>
    <t xml:space="preserve">Aft Impact Velocity, ft/s</t>
  </si>
  <si>
    <t xml:space="preserve">Fwd Impact Velocity, ft/s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</si>
</sst>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S1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6" min="6" style="0" width="11.56"/>
    <col collapsed="false" customWidth="true" hidden="false" outlineLevel="0" max="7" min="7" style="0" width="10.71"/>
    <col collapsed="false" customWidth="true" hidden="false" outlineLevel="0" max="11" min="11" style="0" width="10.99"/>
    <col collapsed="false" customWidth="true" hidden="false" outlineLevel="0" max="13" min="13" style="0" width="11.85"/>
    <col collapsed="false" customWidth="true" hidden="false" outlineLevel="0" max="14" min="14" style="0" width="11.28"/>
  </cols>
  <sheetData>
    <row r="4" customFormat="false" ht="27.75" hidden="false" customHeight="true" outlineLevel="0" collapsed="false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2"/>
      <c r="K4" s="1" t="s">
        <v>7</v>
      </c>
      <c r="L4" s="1" t="s">
        <v>8</v>
      </c>
      <c r="M4" s="1" t="s">
        <v>9</v>
      </c>
      <c r="N4" s="3" t="s">
        <v>10</v>
      </c>
      <c r="O4" s="4" t="s">
        <v>11</v>
      </c>
      <c r="P4" s="5"/>
      <c r="Q4" s="1" t="s">
        <v>12</v>
      </c>
      <c r="R4" s="1" t="s">
        <v>13</v>
      </c>
      <c r="S4" s="1" t="s">
        <v>14</v>
      </c>
    </row>
    <row r="5" customFormat="false" ht="12.75" hidden="false" customHeight="false" outlineLevel="0" collapsed="false">
      <c r="C5" s="6" t="n">
        <v>11.9</v>
      </c>
      <c r="D5" s="6" t="n">
        <v>2.1</v>
      </c>
      <c r="E5" s="6" t="n">
        <v>0.82</v>
      </c>
      <c r="F5" s="6" t="n">
        <v>2</v>
      </c>
      <c r="G5" s="6" t="n">
        <v>25000</v>
      </c>
      <c r="H5" s="6" t="n">
        <v>3400</v>
      </c>
      <c r="I5" s="6" t="n">
        <v>60</v>
      </c>
      <c r="K5" s="7" t="n">
        <v>32.174</v>
      </c>
      <c r="L5" s="7" t="n">
        <v>-0.003566</v>
      </c>
      <c r="M5" s="7" t="n">
        <v>1716</v>
      </c>
      <c r="N5" s="7" t="n">
        <v>0.002378</v>
      </c>
      <c r="O5" s="7" t="n">
        <v>520</v>
      </c>
      <c r="P5" s="8"/>
      <c r="Q5" s="9" t="n">
        <f aca="false">C5/K5</f>
        <v>0.369863865232797</v>
      </c>
      <c r="R5" s="0" t="n">
        <f aca="false">D5/K5</f>
        <v>0.0652700938646112</v>
      </c>
      <c r="S5" s="0" t="n">
        <f aca="false">PI()*F5^2/4</f>
        <v>3.14159265358979</v>
      </c>
    </row>
    <row r="9" customFormat="false" ht="27.75" hidden="false" customHeight="true" outlineLevel="0" collapsed="false"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K9" s="1" t="s">
        <v>22</v>
      </c>
      <c r="L9" s="1" t="s">
        <v>23</v>
      </c>
      <c r="M9" s="1" t="s">
        <v>24</v>
      </c>
      <c r="N9" s="1" t="s">
        <v>25</v>
      </c>
    </row>
    <row r="10" customFormat="false" ht="12.75" hidden="false" customHeight="false" outlineLevel="0" collapsed="false">
      <c r="C10" s="0" t="n">
        <f aca="false">(L5*M5-1)/(2*L5*M5)</f>
        <v>0.581709279690211</v>
      </c>
      <c r="D10" s="0" t="n">
        <f aca="false">(1+L5*H5/O5)^C10</f>
        <v>0.986369896839693</v>
      </c>
      <c r="E10" s="0" t="n">
        <f aca="false">(1+L5*G5/O5)^C10</f>
        <v>0.896370567298783</v>
      </c>
      <c r="F10" s="0" t="n">
        <f aca="false">SQRT(2*(Q5+R5)*K5/(E5*N5*S5))</f>
        <v>67.6069319804814</v>
      </c>
      <c r="G10" s="0" t="n">
        <f aca="false">(L5*M5-1)/(2*M5*O5)</f>
        <v>-3.98918325264479E-006</v>
      </c>
      <c r="H10" s="10" t="n">
        <f aca="false">(E10-D10)/(G10*F10)</f>
        <v>333.706033596615</v>
      </c>
      <c r="I10" s="10" t="n">
        <f aca="false">H10/60</f>
        <v>5.56176722661024</v>
      </c>
      <c r="K10" s="0" t="n">
        <f aca="false">2*R5*K5/(E5*N5*D10*S5)</f>
        <v>695.078580529148</v>
      </c>
      <c r="L10" s="0" t="n">
        <f aca="false">2*Q5*K5/(E5*D10*N5*S5)</f>
        <v>3938.77862299851</v>
      </c>
      <c r="M10" s="10" t="n">
        <f aca="false">SQRT(K10+L10*EXP(-E5*D10*N5*S5*I5/R5))</f>
        <v>26.6518332900073</v>
      </c>
      <c r="N10" s="10" t="n">
        <f aca="false">SQRT(2*(Q5+R5)*K5/(E5*N5*D10*S5))</f>
        <v>68.0724408518429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2012-02-29T15:29:21Z</dcterms:created>
  <dc:creator>Owner</dc:creator>
  <dc:description/>
  <dc:language>en-US</dc:language>
  <cp:lastModifiedBy>Owner</cp:lastModifiedBy>
  <dcterms:modified xsi:type="dcterms:W3CDTF">2013-01-18T20:10:53Z</dcterms:modified>
  <cp:revision>0</cp:revision>
  <dc:subject/>
  <dc:title/>
</cp:coreProperties>
</file>