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false" localSheetId="0" name="solver_cvg" vbProcedure="false">0.0001</definedName>
    <definedName function="false" hidden="false" localSheetId="0" name="solver_drv" vbProcedure="false">1</definedName>
    <definedName function="false" hidden="false" localSheetId="0" name="solver_est" vbProcedure="false">1</definedName>
    <definedName function="false" hidden="false" localSheetId="0" name="solver_itr" vbProcedure="false">100</definedName>
    <definedName function="false" hidden="false" localSheetId="0" name="solver_lin" vbProcedure="false">2</definedName>
    <definedName function="false" hidden="false" localSheetId="0" name="solver_neg" vbProcedure="false">2</definedName>
    <definedName function="false" hidden="false" localSheetId="0" name="solver_num" vbProcedure="false">0</definedName>
    <definedName function="false" hidden="false" localSheetId="0" name="solver_nwt" vbProcedure="false">1</definedName>
    <definedName function="false" hidden="false" localSheetId="0" name="solver_pre" vbProcedure="false">0.000001</definedName>
    <definedName function="false" hidden="false" localSheetId="0" name="solver_scl" vbProcedure="false">2</definedName>
    <definedName function="false" hidden="false" localSheetId="0" name="solver_sho" vbProcedure="false">2</definedName>
    <definedName function="false" hidden="false" localSheetId="0" name="solver_tim" vbProcedure="false">100</definedName>
    <definedName function="false" hidden="false" localSheetId="0" name="solver_tol" vbProcedure="false">0.05</definedName>
    <definedName function="false" hidden="false" localSheetId="0" name="solver_typ" vbProcedure="false">1</definedName>
    <definedName function="false" hidden="false" localSheetId="0" name="solver_val" vbProcedure="false">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<sst xmlns="http://schemas.openxmlformats.org/spreadsheetml/2006/main" count="19" uniqueCount="19">
  <si>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d25</t>
  </si>
  <si>
    <t xml:space="preserve">gamma</t>
  </si>
  <si>
    <t xml:space="preserve">Expansion ratio</t>
  </si>
  <si>
    <t xml:space="preserve">Nozzle half angle, deg</t>
  </si>
  <si>
    <t xml:space="preserve">Pchamber, psia</t>
  </si>
  <si>
    <t xml:space="preserve">Pthroat, psia                  (sonic throat)</t>
  </si>
  <si>
    <t xml:space="preserve">Patmos, psia</t>
  </si>
  <si>
    <t xml:space="preserve">Initial guess on Lower Mach number</t>
  </si>
  <si>
    <t xml:space="preserve">Initial guess on Upper Mach number</t>
  </si>
  <si>
    <t xml:space="preserve">Exit Mach number</t>
  </si>
  <si>
    <t xml:space="preserve">Pexit, psia</t>
  </si>
  <si>
    <t xml:space="preserve">1st radical</t>
  </si>
  <si>
    <t xml:space="preserve">2nd radical</t>
  </si>
  <si>
    <t xml:space="preserve">Pressure*Area</t>
  </si>
  <si>
    <t xml:space="preserve">1D Cf (Thrust Coefficient)</t>
  </si>
  <si>
    <t xml:space="preserve">Malina correction</t>
  </si>
  <si>
    <t xml:space="preserve">3D Cf (Thrust Coefficient)</t>
  </si>
  <si>
    <t xml:space="preserve">If Pthroat above               &lt; Patmos, the throat will have subsonic flow, and the remainder of this spreadsheet will be inapplicable.</t>
  </si>
  <si>
    <t xml:space="preserve">Note that If                   Pexit &lt; 0.4*Patmos assymetric flow separation near the nozzle exit will happen.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</si>
</sst>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C0C0C0"/>
      </right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R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5" min="4" style="0" width="9.85"/>
    <col collapsed="false" customWidth="true" hidden="false" outlineLevel="0" max="6" min="6" style="0" width="9.7"/>
    <col collapsed="false" customWidth="true" hidden="false" outlineLevel="0" max="7" min="7" style="0" width="21.13"/>
    <col collapsed="false" customWidth="true" hidden="false" outlineLevel="0" max="10" min="9" style="0" width="10.56"/>
    <col collapsed="false" customWidth="true" hidden="false" outlineLevel="0" max="11" min="11" style="0" width="10.85"/>
    <col collapsed="false" customWidth="true" hidden="false" outlineLevel="0" max="12" min="12" style="0" width="16.99"/>
    <col collapsed="false" customWidth="true" hidden="false" outlineLevel="0" max="16" min="16" style="0" width="10.41"/>
    <col collapsed="false" customWidth="true" hidden="false" outlineLevel="0" max="18" min="18" style="0" width="10.28"/>
  </cols>
  <sheetData>
    <row r="4" customFormat="false" ht="53.25" hidden="false" customHeight="true" outlineLevel="0" collapsed="false">
      <c r="A4" s="1"/>
      <c r="B4" s="2" t="s">
        <v>0</v>
      </c>
      <c r="C4" s="2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</row>
    <row r="5" customFormat="false" ht="12.75" hidden="false" customHeight="false" outlineLevel="0" collapsed="false">
      <c r="B5" s="4" t="n">
        <f aca="false">PI()/180</f>
        <v>0.0174532925199433</v>
      </c>
      <c r="C5" s="5" t="n">
        <v>1.4</v>
      </c>
      <c r="D5" s="5" t="n">
        <v>6</v>
      </c>
      <c r="E5" s="5" t="n">
        <v>15</v>
      </c>
      <c r="F5" s="5" t="n">
        <v>600</v>
      </c>
      <c r="G5" s="0" t="n">
        <f aca="false">F5*(((2/(C5+1))^(C5/(C5-1))))</f>
        <v>316.969072630305</v>
      </c>
      <c r="H5" s="5" t="n">
        <v>14.7</v>
      </c>
      <c r="I5" s="6" t="n">
        <v>1</v>
      </c>
      <c r="J5" s="7" t="n">
        <v>50</v>
      </c>
      <c r="K5" s="6" t="e">
        <f aca="false">MX(I5,J5,C5,D5)</f>
        <v>#VALUE!</v>
      </c>
      <c r="L5" s="6" t="e">
        <f aca="false">F5*(1+(C5-1)*K5^2/2)^(-C5/(C5-1))</f>
        <v>#VALUE!</v>
      </c>
      <c r="M5" s="0" t="n">
        <f aca="false">SQRT((2*C5*C5/(C5-1))*(2/(C5+1))^((C5+1)/(C5-1)))</f>
        <v>1.81162914843733</v>
      </c>
      <c r="N5" s="0" t="e">
        <f aca="false">SQRT(1-(L5/F5)^((C5-1)/C5))</f>
        <v>#VALUE!</v>
      </c>
      <c r="O5" s="0" t="e">
        <f aca="false">((L5-H5)/F5)*D5</f>
        <v>#VALUE!</v>
      </c>
      <c r="P5" s="0" t="e">
        <f aca="false">M5*N5+O5</f>
        <v>#VALUE!</v>
      </c>
      <c r="Q5" s="0" t="n">
        <f aca="false">(1+COS(B5*E5))/2</f>
        <v>0.982962913144534</v>
      </c>
      <c r="R5" s="8" t="e">
        <f aca="false">M5*N5*Q5+O5</f>
        <v>#VALUE!</v>
      </c>
    </row>
    <row r="8" customFormat="false" ht="77.25" hidden="false" customHeight="true" outlineLevel="0" collapsed="false">
      <c r="G8" s="9" t="s">
        <v>17</v>
      </c>
      <c r="L8" s="9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2006-07-30T19:14:08Z</dcterms:created>
  <dc:creator>Owner</dc:creator>
  <dc:description/>
  <dc:language>en-US</dc:language>
  <cp:lastModifiedBy>Owner</cp:lastModifiedBy>
  <dcterms:modified xsi:type="dcterms:W3CDTF">2013-06-13T18:56:29Z</dcterms:modified>
  <cp:revision>0</cp:revision>
  <dc:subject/>
  <dc:title/>
</cp:coreProperties>
</file>