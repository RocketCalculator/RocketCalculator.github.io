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putsheet" sheetId="1" state="visible" r:id="rId3"/>
    <sheet name="solution" sheetId="2" state="visible" r:id="rId4"/>
    <sheet name="launcherangles" sheetId="3" state="visible" r:id="rId5"/>
    <sheet name="Sheet1" sheetId="4" state="visible" r:id="rId6"/>
  </sheets>
  <definedNames>
    <definedName function="false" hidden="false" name="g" vbProcedure="false">#REF!</definedName>
    <definedName function="false" hidden="false" localSheetId="1" name="dimensions" vbProcedure="false">solution!$D$1066:$D$1080</definedName>
    <definedName function="false" hidden="false" localSheetId="1" name="motor_thrust" vbProcedure="false">solution!$A$8:$F$33</definedName>
  </definedNames>
  <calcPr iterateCount="100" refMode="A1" iterate="false" iterateDelta="0.001"/>
  <extLst>
    <ext xmlns:loext="http://schemas.libreoffice.org/" uri="{7626C862-2A13-11E5-B345-FEFF819CDC9F}">
      <loext:extCalcPr stringRefSyntax="Calc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01" authorId="0">
      <text>
        <r>
          <rPr>
            <b val="true"/>
            <sz val="9"/>
            <color rgb="FF000000"/>
            <rFont val="Tahoma"/>
            <family val="2"/>
          </rPr>
          <t xml:space="preserve">HienTran:
</t>
        </r>
        <r>
          <rPr>
            <sz val="9"/>
            <color rgb="FF000000"/>
            <rFont val="Tahoma"/>
            <family val="2"/>
          </rPr>
          <t xml:space="preserve">Input at C93</t>
        </r>
      </text>
      <mc:AlternateContent>
        <mc:Choice Requires="v2">
          <commentPr autoFill="true" autoScale="false" colHidden="false" locked="false" rowHidden="false" textHAlign="justify" textVAlign="top">
            <anchor moveWithCells="false" sizeWithCells="false">
              <xdr:from>
                <xdr:col>1</xdr:col>
                <xdr:colOff>177</xdr:colOff>
                <xdr:row>95</xdr:row>
                <xdr:rowOff>16</xdr:rowOff>
              </xdr:from>
              <xdr:to>
                <xdr:col>2</xdr:col>
                <xdr:colOff>99</xdr:colOff>
                <xdr:row>99</xdr:row>
                <xdr:rowOff>16</xdr:rowOff>
              </xdr:to>
            </anchor>
          </commentPr>
        </mc:Choice>
        <mc:Fallback/>
      </mc:AlternateContent>
    </comment>
    <comment ref="B102" authorId="0">
      <text>
        <r>
          <rPr>
            <b val="true"/>
            <sz val="9"/>
            <color rgb="FF000000"/>
            <rFont val="Tahoma"/>
            <family val="2"/>
          </rPr>
          <t xml:space="preserve">HienTran:
</t>
        </r>
        <r>
          <rPr>
            <sz val="9"/>
            <color rgb="FF000000"/>
            <rFont val="Tahoma"/>
            <family val="2"/>
          </rPr>
          <t xml:space="preserve">Input at C92</t>
        </r>
      </text>
      <mc:AlternateContent>
        <mc:Choice Requires="v2">
          <commentPr autoFill="true" autoScale="false" colHidden="false" locked="false" rowHidden="false" textHAlign="justify" textVAlign="top">
            <anchor moveWithCells="false" sizeWithCells="false">
              <xdr:from>
                <xdr:col>1</xdr:col>
                <xdr:colOff>177</xdr:colOff>
                <xdr:row>97</xdr:row>
                <xdr:rowOff>0</xdr:rowOff>
              </xdr:from>
              <xdr:to>
                <xdr:col>2</xdr:col>
                <xdr:colOff>99</xdr:colOff>
                <xdr:row>100</xdr:row>
                <xdr:rowOff>19</xdr:rowOff>
              </xdr:to>
            </anchor>
          </commentPr>
        </mc:Choice>
        <mc:Fallback/>
      </mc:AlternateContent>
    </comment>
    <comment ref="B107" authorId="0">
      <text>
        <r>
          <rPr>
            <b val="true"/>
            <sz val="9"/>
            <color rgb="FF000000"/>
            <rFont val="Tahoma"/>
            <family val="2"/>
          </rPr>
          <t xml:space="preserve">HienTran:
</t>
        </r>
        <r>
          <rPr>
            <sz val="9"/>
            <color rgb="FF000000"/>
            <rFont val="Tahoma"/>
            <family val="2"/>
          </rPr>
          <t xml:space="preserve">Input at C82</t>
        </r>
      </text>
      <mc:AlternateContent>
        <mc:Choice Requires="v2">
          <commentPr autoFill="true" autoScale="false" colHidden="false" locked="false" rowHidden="false" textHAlign="justify" textVAlign="top">
            <anchor moveWithCells="false" sizeWithCells="false">
              <xdr:from>
                <xdr:col>1</xdr:col>
                <xdr:colOff>177</xdr:colOff>
                <xdr:row>102</xdr:row>
                <xdr:rowOff>4</xdr:rowOff>
              </xdr:from>
              <xdr:to>
                <xdr:col>2</xdr:col>
                <xdr:colOff>99</xdr:colOff>
                <xdr:row>105</xdr:row>
                <xdr:rowOff>16</xdr:rowOff>
              </xdr:to>
            </anchor>
          </commentPr>
        </mc:Choice>
        <mc:Fallback/>
      </mc:AlternateContent>
    </comment>
    <comment ref="B118" authorId="0">
      <text>
        <r>
          <rPr>
            <b val="true"/>
            <sz val="9"/>
            <color rgb="FF000000"/>
            <rFont val="Tahoma"/>
            <family val="2"/>
          </rPr>
          <t xml:space="preserve">HienTran:
</t>
        </r>
        <r>
          <rPr>
            <sz val="9"/>
            <color rgb="FF000000"/>
            <rFont val="Tahoma"/>
            <family val="2"/>
          </rPr>
          <t xml:space="preserve">Motor Name:</t>
        </r>
      </text>
      <mc:AlternateContent>
        <mc:Choice Requires="v2">
          <commentPr autoFill="true" autoScale="false" colHidden="false" locked="false" rowHidden="false" textHAlign="justify" textVAlign="top">
            <anchor moveWithCells="false" sizeWithCells="false">
              <xdr:from>
                <xdr:col>1</xdr:col>
                <xdr:colOff>177</xdr:colOff>
                <xdr:row>116</xdr:row>
                <xdr:rowOff>10</xdr:rowOff>
              </xdr:from>
              <xdr:to>
                <xdr:col>2</xdr:col>
                <xdr:colOff>99</xdr:colOff>
                <xdr:row>120</xdr:row>
                <xdr:rowOff>9</xdr:rowOff>
              </xdr:to>
            </anchor>
          </commentPr>
        </mc:Choice>
        <mc:Fallback/>
      </mc:AlternateContent>
    </comment>
    <comment ref="B258" authorId="0">
      <text>
        <r>
          <rPr>
            <b val="true"/>
            <sz val="9"/>
            <color rgb="FF000000"/>
            <rFont val="Tahoma"/>
            <family val="2"/>
          </rPr>
          <t xml:space="preserve">HienTran:
</t>
        </r>
        <r>
          <rPr>
            <sz val="9"/>
            <color rgb="FF000000"/>
            <rFont val="Tahoma"/>
            <family val="2"/>
          </rPr>
          <t xml:space="preserve">Motor Name:</t>
        </r>
      </text>
      <mc:AlternateContent>
        <mc:Choice Requires="v2">
          <commentPr autoFill="true" autoScale="false" colHidden="false" locked="false" rowHidden="false" textHAlign="justify" textVAlign="top">
            <anchor moveWithCells="false" sizeWithCells="false">
              <xdr:from>
                <xdr:col>1</xdr:col>
                <xdr:colOff>177</xdr:colOff>
                <xdr:row>256</xdr:row>
                <xdr:rowOff>10</xdr:rowOff>
              </xdr:from>
              <xdr:to>
                <xdr:col>2</xdr:col>
                <xdr:colOff>99</xdr:colOff>
                <xdr:row>260</xdr:row>
                <xdr:rowOff>9</xdr:rowOff>
              </xdr:to>
            </anchor>
          </commentPr>
        </mc:Choice>
        <mc:Fallback/>
      </mc:AlternateContent>
    </comment>
    <comment ref="B397" authorId="0">
      <text>
        <r>
          <rPr>
            <b val="true"/>
            <sz val="9"/>
            <color rgb="FF000000"/>
            <rFont val="Tahoma"/>
            <family val="2"/>
          </rPr>
          <t xml:space="preserve">HienTran:
</t>
        </r>
        <r>
          <rPr>
            <sz val="9"/>
            <color rgb="FF000000"/>
            <rFont val="Tahoma"/>
            <family val="2"/>
          </rPr>
          <t xml:space="preserve">Motor Name:</t>
        </r>
      </text>
      <mc:AlternateContent>
        <mc:Choice Requires="v2">
          <commentPr autoFill="true" autoScale="false" colHidden="false" locked="false" rowHidden="false" textHAlign="justify" textVAlign="top">
            <anchor moveWithCells="false" sizeWithCells="false">
              <xdr:from>
                <xdr:col>1</xdr:col>
                <xdr:colOff>177</xdr:colOff>
                <xdr:row>395</xdr:row>
                <xdr:rowOff>10</xdr:rowOff>
              </xdr:from>
              <xdr:to>
                <xdr:col>2</xdr:col>
                <xdr:colOff>99</xdr:colOff>
                <xdr:row>399</xdr:row>
                <xdr:rowOff>9</xdr:rowOff>
              </xdr:to>
            </anchor>
          </commentPr>
        </mc:Choice>
        <mc:Fallback/>
      </mc:AlternateContent>
    </comment>
    <comment ref="B544" authorId="0">
      <text>
        <r>
          <rPr>
            <b val="true"/>
            <sz val="9"/>
            <color rgb="FF000000"/>
            <rFont val="Tahoma"/>
            <family val="2"/>
          </rPr>
          <t xml:space="preserve">HienTran:
</t>
        </r>
        <r>
          <rPr>
            <sz val="9"/>
            <color rgb="FF000000"/>
            <rFont val="Tahoma"/>
            <family val="2"/>
          </rPr>
          <t xml:space="preserve">Answer with True/False</t>
        </r>
      </text>
      <mc:AlternateContent>
        <mc:Choice Requires="v2">
          <commentPr autoFill="true" autoScale="false" colHidden="false" locked="false" rowHidden="false" textHAlign="justify" textVAlign="top">
            <anchor moveWithCells="false" sizeWithCells="false">
              <xdr:from>
                <xdr:col>1</xdr:col>
                <xdr:colOff>177</xdr:colOff>
                <xdr:row>538</xdr:row>
                <xdr:rowOff>16</xdr:rowOff>
              </xdr:from>
              <xdr:to>
                <xdr:col>2</xdr:col>
                <xdr:colOff>99</xdr:colOff>
                <xdr:row>542</xdr:row>
                <xdr:rowOff>16</xdr:rowOff>
              </xdr:to>
            </anchor>
          </commentPr>
        </mc:Choice>
        <mc:Fallback/>
      </mc:AlternateContent>
    </comment>
    <comment ref="C85" authorId="0">
      <text>
        <r>
          <rPr>
            <b val="true"/>
            <sz val="9"/>
            <color rgb="FF000000"/>
            <rFont val="Tahoma"/>
            <family val="2"/>
          </rPr>
          <t xml:space="preserve">HienTran:
</t>
        </r>
        <r>
          <rPr>
            <sz val="9"/>
            <color rgb="FF000000"/>
            <rFont val="Tahoma"/>
            <family val="2"/>
          </rPr>
          <t xml:space="preserve">Motor Burn time
For launcher, this is total time from Launcher start time to First Stage Powered Flight</t>
        </r>
      </text>
      <mc:AlternateContent>
        <mc:Choice Requires="v2">
          <commentPr autoFill="true" autoScale="false" colHidden="false" locked="false" rowHidden="false" textHAlign="justify" textVAlign="top">
            <anchor moveWithCells="false" sizeWithCells="false">
              <xdr:from>
                <xdr:col>2</xdr:col>
                <xdr:colOff>196</xdr:colOff>
                <xdr:row>80</xdr:row>
                <xdr:rowOff>0</xdr:rowOff>
              </xdr:from>
              <xdr:to>
                <xdr:col>3</xdr:col>
                <xdr:colOff>142</xdr:colOff>
                <xdr:row>85</xdr:row>
                <xdr:rowOff>9</xdr:rowOff>
              </xdr:to>
            </anchor>
          </commentPr>
        </mc:Choice>
        <mc:Fallback/>
      </mc:AlternateContent>
    </comment>
    <comment ref="C110" authorId="0">
      <text>
        <r>
          <rPr>
            <b val="true"/>
            <sz val="9"/>
            <color rgb="FF000000"/>
            <rFont val="Tahoma"/>
            <family val="2"/>
          </rPr>
          <t xml:space="preserve">Armando:
</t>
        </r>
        <r>
          <rPr>
            <sz val="9"/>
            <color rgb="FF000000"/>
            <rFont val="Tahoma"/>
            <family val="2"/>
          </rPr>
          <t xml:space="preserve">Values are for 1st segment only. If payload is in second section do not include here!!</t>
        </r>
      </text>
      <mc:AlternateContent>
        <mc:Choice Requires="v2">
          <commentPr autoFill="true" autoScale="false" colHidden="false" locked="false" rowHidden="false" textHAlign="justify" textVAlign="top">
            <anchor moveWithCells="false" sizeWithCells="false">
              <xdr:from>
                <xdr:col>2</xdr:col>
                <xdr:colOff>25</xdr:colOff>
                <xdr:row>103</xdr:row>
                <xdr:rowOff>19</xdr:rowOff>
              </xdr:from>
              <xdr:to>
                <xdr:col>3</xdr:col>
                <xdr:colOff>-70</xdr:colOff>
                <xdr:row>107</xdr:row>
                <xdr:rowOff>9</xdr:rowOff>
              </xdr:to>
            </anchor>
          </commentPr>
        </mc:Choice>
        <mc:Fallback/>
      </mc:AlternateContent>
    </comment>
    <comment ref="C250" authorId="0">
      <text>
        <r>
          <rPr>
            <b val="true"/>
            <sz val="9"/>
            <color rgb="FF000000"/>
            <rFont val="Tahoma"/>
            <family val="2"/>
          </rPr>
          <t xml:space="preserve">HienTran:
</t>
        </r>
        <r>
          <rPr>
            <sz val="9"/>
            <color rgb="FF000000"/>
            <rFont val="Tahoma"/>
            <family val="2"/>
          </rPr>
          <t xml:space="preserve">Values are for 2st segment only. If payload is in section do not include here!!</t>
        </r>
      </text>
      <mc:AlternateContent>
        <mc:Choice Requires="v2">
          <commentPr autoFill="true" autoScale="false" colHidden="false" locked="false" rowHidden="false" textHAlign="justify" textVAlign="top">
            <anchor moveWithCells="false" sizeWithCells="false">
              <xdr:from>
                <xdr:col>2</xdr:col>
                <xdr:colOff>196</xdr:colOff>
                <xdr:row>248</xdr:row>
                <xdr:rowOff>10</xdr:rowOff>
              </xdr:from>
              <xdr:to>
                <xdr:col>3</xdr:col>
                <xdr:colOff>99</xdr:colOff>
                <xdr:row>252</xdr:row>
                <xdr:rowOff>1</xdr:rowOff>
              </xdr:to>
            </anchor>
          </commentPr>
        </mc:Choice>
        <mc:Fallback/>
      </mc:AlternateContent>
    </comment>
    <comment ref="D118" authorId="0">
      <text>
        <r>
          <rPr>
            <b val="true"/>
            <sz val="9"/>
            <color rgb="FF000000"/>
            <rFont val="Tahoma"/>
            <family val="2"/>
          </rPr>
          <t xml:space="preserve">HienTran:
</t>
        </r>
        <r>
          <rPr>
            <sz val="9"/>
            <color rgb="FF000000"/>
            <rFont val="Tahoma"/>
            <family val="2"/>
          </rPr>
          <t xml:space="preserve">Answer with True/False</t>
        </r>
      </text>
      <mc:AlternateContent>
        <mc:Choice Requires="v2">
          <commentPr autoFill="true" autoScale="false" colHidden="false" locked="false" rowHidden="false" textHAlign="justify" textVAlign="top">
            <anchor moveWithCells="false" sizeWithCells="false">
              <xdr:from>
                <xdr:col>3</xdr:col>
                <xdr:colOff>242</xdr:colOff>
                <xdr:row>113</xdr:row>
                <xdr:rowOff>0</xdr:rowOff>
              </xdr:from>
              <xdr:to>
                <xdr:col>4</xdr:col>
                <xdr:colOff>102</xdr:colOff>
                <xdr:row>116</xdr:row>
                <xdr:rowOff>16</xdr:rowOff>
              </xdr:to>
            </anchor>
          </commentPr>
        </mc:Choice>
        <mc:Fallback/>
      </mc:AlternateContent>
    </comment>
    <comment ref="D258" authorId="0">
      <text>
        <r>
          <rPr>
            <b val="true"/>
            <sz val="9"/>
            <color rgb="FF000000"/>
            <rFont val="Tahoma"/>
            <family val="2"/>
          </rPr>
          <t xml:space="preserve">HienTran:
</t>
        </r>
        <r>
          <rPr>
            <sz val="9"/>
            <color rgb="FF000000"/>
            <rFont val="Tahoma"/>
            <family val="2"/>
          </rPr>
          <t xml:space="preserve">Answer with True/False</t>
        </r>
      </text>
      <mc:AlternateContent>
        <mc:Choice Requires="v2">
          <commentPr autoFill="true" autoScale="false" colHidden="false" locked="false" rowHidden="false" textHAlign="justify" textVAlign="top">
            <anchor moveWithCells="false" sizeWithCells="false">
              <xdr:from>
                <xdr:col>3</xdr:col>
                <xdr:colOff>242</xdr:colOff>
                <xdr:row>253</xdr:row>
                <xdr:rowOff>0</xdr:rowOff>
              </xdr:from>
              <xdr:to>
                <xdr:col>4</xdr:col>
                <xdr:colOff>102</xdr:colOff>
                <xdr:row>256</xdr:row>
                <xdr:rowOff>16</xdr:rowOff>
              </xdr:to>
            </anchor>
          </commentPr>
        </mc:Choice>
        <mc:Fallback/>
      </mc:AlternateContent>
    </comment>
    <comment ref="D397" authorId="0">
      <text>
        <r>
          <rPr>
            <b val="true"/>
            <sz val="9"/>
            <color rgb="FF000000"/>
            <rFont val="Tahoma"/>
            <family val="2"/>
          </rPr>
          <t xml:space="preserve">HienTran:
</t>
        </r>
        <r>
          <rPr>
            <sz val="9"/>
            <color rgb="FF000000"/>
            <rFont val="Tahoma"/>
            <family val="2"/>
          </rPr>
          <t xml:space="preserve">Answer with True/False</t>
        </r>
      </text>
      <mc:AlternateContent>
        <mc:Choice Requires="v2">
          <commentPr autoFill="true" autoScale="false" colHidden="false" locked="false" rowHidden="false" textHAlign="justify" textVAlign="top">
            <anchor moveWithCells="false" sizeWithCells="false">
              <xdr:from>
                <xdr:col>3</xdr:col>
                <xdr:colOff>242</xdr:colOff>
                <xdr:row>392</xdr:row>
                <xdr:rowOff>0</xdr:rowOff>
              </xdr:from>
              <xdr:to>
                <xdr:col>4</xdr:col>
                <xdr:colOff>102</xdr:colOff>
                <xdr:row>395</xdr:row>
                <xdr:rowOff>16</xdr:rowOff>
              </xdr:to>
            </anchor>
          </commentPr>
        </mc:Choice>
        <mc:Fallback/>
      </mc:AlternateContent>
    </comment>
    <comment ref="F119" authorId="0">
      <text>
        <r>
          <rPr>
            <b val="true"/>
            <sz val="9"/>
            <color rgb="FF000000"/>
            <rFont val="Tahoma"/>
            <family val="2"/>
          </rPr>
          <t xml:space="preserve">Armando:
</t>
        </r>
        <r>
          <rPr>
            <sz val="9"/>
            <color rgb="FF000000"/>
            <rFont val="Tahoma"/>
            <family val="2"/>
          </rPr>
          <t xml:space="preserve">Drag Values are for entire vehicle at take-off</t>
        </r>
      </text>
      <mc:AlternateContent>
        <mc:Choice Requires="v2">
          <commentPr autoFill="true" autoScale="false" colHidden="false" locked="false" rowHidden="false" textHAlign="justify" textVAlign="top">
            <anchor moveWithCells="false" sizeWithCells="false">
              <xdr:from>
                <xdr:col>4</xdr:col>
                <xdr:colOff>153</xdr:colOff>
                <xdr:row>112</xdr:row>
                <xdr:rowOff>19</xdr:rowOff>
              </xdr:from>
              <xdr:to>
                <xdr:col>5</xdr:col>
                <xdr:colOff>-44</xdr:colOff>
                <xdr:row>116</xdr:row>
                <xdr:rowOff>9</xdr:rowOff>
              </xdr:to>
            </anchor>
          </commentPr>
        </mc:Choice>
        <mc:Fallback/>
      </mc:AlternateContent>
    </comment>
    <comment ref="G17" authorId="0">
      <text>
        <r>
          <rPr>
            <b val="true"/>
            <sz val="9"/>
            <color rgb="FF000000"/>
            <rFont val="Tahoma"/>
            <family val="2"/>
          </rPr>
          <t xml:space="preserve">HienTran:
</t>
        </r>
        <r>
          <rPr>
            <sz val="9"/>
            <color rgb="FF000000"/>
            <rFont val="Tahoma"/>
            <family val="2"/>
          </rPr>
          <t xml:space="preserve">Input at B73</t>
        </r>
      </text>
      <mc:AlternateContent>
        <mc:Choice Requires="v2">
          <commentPr autoFill="true" autoScale="false" colHidden="false" locked="false" rowHidden="false" textHAlign="justify" textVAlign="top">
            <anchor moveWithCells="false" sizeWithCells="false">
              <xdr:from>
                <xdr:col>6</xdr:col>
                <xdr:colOff>119</xdr:colOff>
                <xdr:row>15</xdr:row>
                <xdr:rowOff>27</xdr:rowOff>
              </xdr:from>
              <xdr:to>
                <xdr:col>7</xdr:col>
                <xdr:colOff>90</xdr:colOff>
                <xdr:row>17</xdr:row>
                <xdr:rowOff>7</xdr:rowOff>
              </xdr:to>
            </anchor>
          </commentPr>
        </mc:Choice>
        <mc:Fallback/>
      </mc:AlternateContent>
    </comment>
    <comment ref="G18" authorId="0">
      <text>
        <r>
          <rPr>
            <b val="true"/>
            <sz val="9"/>
            <color rgb="FF000000"/>
            <rFont val="Tahoma"/>
            <family val="2"/>
          </rPr>
          <t xml:space="preserve">HienTran:
</t>
        </r>
        <r>
          <rPr>
            <sz val="9"/>
            <color rgb="FF000000"/>
            <rFont val="Tahoma"/>
            <family val="2"/>
          </rPr>
          <t xml:space="preserve">True
False
none</t>
        </r>
      </text>
      <mc:AlternateContent>
        <mc:Choice Requires="v2">
          <commentPr autoFill="true" autoScale="false" colHidden="false" locked="false" rowHidden="false" textHAlign="justify" textVAlign="top">
            <anchor moveWithCells="false" sizeWithCells="false">
              <xdr:from>
                <xdr:col>6</xdr:col>
                <xdr:colOff>119</xdr:colOff>
                <xdr:row>16</xdr:row>
                <xdr:rowOff>30</xdr:rowOff>
              </xdr:from>
              <xdr:to>
                <xdr:col>7</xdr:col>
                <xdr:colOff>90</xdr:colOff>
                <xdr:row>17</xdr:row>
                <xdr:rowOff>54</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S3" authorId="0">
      <text>
        <r>
          <rPr>
            <b val="true"/>
            <sz val="8"/>
            <color rgb="FF000000"/>
            <rFont val="Tahoma"/>
            <family val="2"/>
          </rPr>
          <t xml:space="preserve">Owner:
</t>
        </r>
      </text>
      <mc:AlternateContent>
        <mc:Choice Requires="v2">
          <commentPr autoFill="true" autoScale="false" colHidden="false" locked="false" rowHidden="false" textHAlign="justify" textVAlign="top">
            <anchor moveWithCells="false" sizeWithCells="false">
              <xdr:from>
                <xdr:col>16</xdr:col>
                <xdr:colOff>0</xdr:colOff>
                <xdr:row>2</xdr:row>
                <xdr:rowOff>18</xdr:rowOff>
              </xdr:from>
              <xdr:to>
                <xdr:col>17</xdr:col>
                <xdr:colOff>-50</xdr:colOff>
                <xdr:row>4</xdr:row>
                <xdr:rowOff>3</xdr:rowOff>
              </xdr:to>
            </anchor>
          </commentPr>
        </mc:Choice>
        <mc:Fallback/>
      </mc:AlternateContent>
    </comment>
  </commentList>
</comments>
</file>

<file path=xl/sharedStrings.xml><?xml version="1.0" encoding="utf-8"?>
<sst xmlns="http://schemas.openxmlformats.org/spreadsheetml/2006/main" count="461" uniqueCount="318">
  <si>
    <t xml:space="preserve">Physical and other Constants</t>
  </si>
  <si>
    <t xml:space="preserve">Atmospheric Constants</t>
  </si>
  <si>
    <t xml:space="preserve">Parameter</t>
  </si>
  <si>
    <t xml:space="preserve">Value</t>
  </si>
  <si>
    <t xml:space="preserve">Units</t>
  </si>
  <si>
    <t xml:space="preserve">Notes</t>
  </si>
  <si>
    <t xml:space="preserve">standard gravity (g)</t>
  </si>
  <si>
    <r>
      <rPr>
        <sz val="11"/>
        <color rgb="FF000000"/>
        <rFont val="Calibri"/>
        <family val="2"/>
      </rPr>
      <t xml:space="preserve">ft/s</t>
    </r>
    <r>
      <rPr>
        <vertAlign val="superscript"/>
        <sz val="11"/>
        <color rgb="FF000000"/>
        <rFont val="Calibri"/>
        <family val="2"/>
      </rPr>
      <t xml:space="preserve">2</t>
    </r>
  </si>
  <si>
    <t xml:space="preserve">deg to rad</t>
  </si>
  <si>
    <t xml:space="preserve">pi/180</t>
  </si>
  <si>
    <r>
      <rPr>
        <b val="true"/>
        <sz val="11"/>
        <color rgb="FF000000"/>
        <rFont val="Calibri"/>
        <family val="2"/>
      </rPr>
      <t xml:space="preserve">R</t>
    </r>
    <r>
      <rPr>
        <b val="true"/>
        <vertAlign val="subscript"/>
        <sz val="11"/>
        <color rgb="FF000000"/>
        <rFont val="Calibri"/>
        <family val="2"/>
      </rPr>
      <t xml:space="preserve">EP</t>
    </r>
    <r>
      <rPr>
        <b val="true"/>
        <sz val="11"/>
        <color rgb="FF000000"/>
        <rFont val="Calibri"/>
        <family val="2"/>
      </rPr>
      <t xml:space="preserve"> (polar)</t>
    </r>
  </si>
  <si>
    <t xml:space="preserve">ft</t>
  </si>
  <si>
    <t xml:space="preserve">Polar Earth Radius</t>
  </si>
  <si>
    <r>
      <rPr>
        <b val="true"/>
        <sz val="11"/>
        <color rgb="FF000000"/>
        <rFont val="Calibri"/>
        <family val="2"/>
      </rPr>
      <t xml:space="preserve">Sea Level Mass Density, sl/ft</t>
    </r>
    <r>
      <rPr>
        <b val="true"/>
        <vertAlign val="superscript"/>
        <sz val="10"/>
        <rFont val="Arial"/>
        <family val="2"/>
      </rPr>
      <t xml:space="preserve">3</t>
    </r>
  </si>
  <si>
    <r>
      <rPr>
        <b val="true"/>
        <sz val="11"/>
        <color rgb="FF000000"/>
        <rFont val="Calibri"/>
        <family val="2"/>
      </rPr>
      <t xml:space="preserve">R</t>
    </r>
    <r>
      <rPr>
        <b val="true"/>
        <vertAlign val="subscript"/>
        <sz val="11"/>
        <color rgb="FF000000"/>
        <rFont val="Calibri"/>
        <family val="2"/>
      </rPr>
      <t xml:space="preserve">EE</t>
    </r>
    <r>
      <rPr>
        <b val="true"/>
        <sz val="11"/>
        <color rgb="FF000000"/>
        <rFont val="Calibri"/>
        <family val="2"/>
      </rPr>
      <t xml:space="preserve"> (equatorial)</t>
    </r>
  </si>
  <si>
    <t xml:space="preserve">Equatorial Earth Radius</t>
  </si>
  <si>
    <t xml:space="preserve">Sea Level Temperature, deg R</t>
  </si>
  <si>
    <r>
      <rPr>
        <b val="true"/>
        <sz val="11"/>
        <color rgb="FF000000"/>
        <rFont val="Calibri"/>
        <family val="2"/>
      </rPr>
      <t xml:space="preserve">T</t>
    </r>
    <r>
      <rPr>
        <b val="true"/>
        <vertAlign val="subscript"/>
        <sz val="11"/>
        <color rgb="FF000000"/>
        <rFont val="Calibri"/>
        <family val="2"/>
      </rPr>
      <t xml:space="preserve">P</t>
    </r>
    <r>
      <rPr>
        <b val="true"/>
        <sz val="11"/>
        <color rgb="FF000000"/>
        <rFont val="Calibri"/>
        <family val="2"/>
      </rPr>
      <t xml:space="preserve"> (polar)</t>
    </r>
  </si>
  <si>
    <t xml:space="preserve">Polar Tropopause Altitude</t>
  </si>
  <si>
    <t xml:space="preserve">Tropopause Altitude, ft</t>
  </si>
  <si>
    <r>
      <rPr>
        <b val="true"/>
        <sz val="11"/>
        <color rgb="FF000000"/>
        <rFont val="Calibri"/>
        <family val="2"/>
      </rPr>
      <t xml:space="preserve">T</t>
    </r>
    <r>
      <rPr>
        <b val="true"/>
        <vertAlign val="subscript"/>
        <sz val="11"/>
        <color rgb="FF000000"/>
        <rFont val="Calibri"/>
        <family val="2"/>
      </rPr>
      <t xml:space="preserve">E</t>
    </r>
    <r>
      <rPr>
        <b val="true"/>
        <sz val="11"/>
        <color rgb="FF000000"/>
        <rFont val="Calibri"/>
        <family val="2"/>
      </rPr>
      <t xml:space="preserve"> (equatorial)</t>
    </r>
  </si>
  <si>
    <t xml:space="preserve">Equatorial Tropopause Altitude</t>
  </si>
  <si>
    <t xml:space="preserve">Launch Site Temperature, deg F</t>
  </si>
  <si>
    <t xml:space="preserve">Specific Gas Constant (R)</t>
  </si>
  <si>
    <r>
      <rPr>
        <sz val="11"/>
        <color rgb="FF000000"/>
        <rFont val="Calibri"/>
        <family val="2"/>
      </rPr>
      <t xml:space="preserve">ft lb</t>
    </r>
    <r>
      <rPr>
        <vertAlign val="subscript"/>
        <sz val="11"/>
        <color rgb="FF000000"/>
        <rFont val="Calibri"/>
        <family val="2"/>
      </rPr>
      <t xml:space="preserve">f</t>
    </r>
    <r>
      <rPr>
        <sz val="11"/>
        <color rgb="FF000000"/>
        <rFont val="Calibri"/>
        <family val="2"/>
      </rPr>
      <t xml:space="preserve">/slug °R</t>
    </r>
  </si>
  <si>
    <t xml:space="preserve">Gas Consts=ant for Air</t>
  </si>
  <si>
    <r>
      <rPr>
        <b val="true"/>
        <sz val="11"/>
        <color rgb="FF000000"/>
        <rFont val="Calibri"/>
        <family val="2"/>
      </rPr>
      <t xml:space="preserve">Tropopause Pressure, lb/ft</t>
    </r>
    <r>
      <rPr>
        <b val="true"/>
        <vertAlign val="superscript"/>
        <sz val="10"/>
        <rFont val="Arial"/>
        <family val="2"/>
      </rPr>
      <t xml:space="preserve">2</t>
    </r>
  </si>
  <si>
    <t xml:space="preserve">γ</t>
  </si>
  <si>
    <t xml:space="preserve">Heat Capacity Ratio (Cp/Cv) for Moist Air</t>
  </si>
  <si>
    <t xml:space="preserve">Tropopause Temperature, deg R</t>
  </si>
  <si>
    <r>
      <rPr>
        <b val="true"/>
        <sz val="11"/>
        <color rgb="FF000000"/>
        <rFont val="Calibri"/>
        <family val="2"/>
      </rPr>
      <t xml:space="preserve">P</t>
    </r>
    <r>
      <rPr>
        <b val="true"/>
        <vertAlign val="subscript"/>
        <sz val="11"/>
        <color rgb="FF000000"/>
        <rFont val="Calibri"/>
        <family val="2"/>
      </rPr>
      <t xml:space="preserve">SL</t>
    </r>
  </si>
  <si>
    <r>
      <rPr>
        <sz val="11"/>
        <color rgb="FF000000"/>
        <rFont val="Calibri"/>
        <family val="2"/>
      </rPr>
      <t xml:space="preserve">lb/ft</t>
    </r>
    <r>
      <rPr>
        <vertAlign val="superscript"/>
        <sz val="11"/>
        <color rgb="FF000000"/>
        <rFont val="Calibri"/>
        <family val="2"/>
      </rPr>
      <t xml:space="preserve">2</t>
    </r>
  </si>
  <si>
    <t xml:space="preserve">Pressure @ SL</t>
  </si>
  <si>
    <t xml:space="preserve">alpha</t>
  </si>
  <si>
    <t xml:space="preserve">deg/ft</t>
  </si>
  <si>
    <t xml:space="preserve">Tropopause Temperature Lapse Rate</t>
  </si>
  <si>
    <t xml:space="preserve">pi</t>
  </si>
  <si>
    <t xml:space="preserve">Earth Equatorial radius</t>
  </si>
  <si>
    <t xml:space="preserve">Earth Polar radius</t>
  </si>
  <si>
    <t xml:space="preserve">Desired Trajectory Azimuth, deg</t>
  </si>
  <si>
    <t xml:space="preserve">in-plane (TRUE) or cross-wind (FALSE) component, and (none) for no wind</t>
  </si>
  <si>
    <t xml:space="preserve">none</t>
  </si>
  <si>
    <t xml:space="preserve">Perturbation Corrections</t>
  </si>
  <si>
    <t xml:space="preserve"> </t>
  </si>
  <si>
    <t xml:space="preserve">From "Finite Inertia Corrections to the Lewis Model Wind Response", C.P. Hoult, Aerospace I.O.C. A79-5434.2-44,1979</t>
  </si>
  <si>
    <t xml:space="preserve">lambda*alt, rad</t>
  </si>
  <si>
    <t xml:space="preserve">2 DOF Wind Correction</t>
  </si>
  <si>
    <r>
      <rPr>
        <sz val="10"/>
        <rFont val="Arial"/>
        <family val="2"/>
      </rPr>
      <t xml:space="preserve">d Corr / d </t>
    </r>
    <r>
      <rPr>
        <sz val="10"/>
        <rFont val="Symbol"/>
        <family val="1"/>
        <charset val="2"/>
      </rPr>
      <t xml:space="preserve">l</t>
    </r>
    <r>
      <rPr>
        <sz val="10"/>
        <rFont val="Arial"/>
        <family val="2"/>
      </rPr>
      <t xml:space="preserve">*alt</t>
    </r>
  </si>
  <si>
    <t xml:space="preserve">Plus wind blows away from the launcher</t>
  </si>
  <si>
    <t xml:space="preserve">Altitude (AGL), ft</t>
  </si>
  <si>
    <r>
      <rPr>
        <u val="single"/>
        <sz val="10"/>
        <rFont val="Symbol"/>
        <family val="1"/>
        <charset val="2"/>
      </rPr>
      <t xml:space="preserve">D</t>
    </r>
    <r>
      <rPr>
        <u val="single"/>
        <sz val="10"/>
        <rFont val="Arial"/>
        <family val="2"/>
      </rPr>
      <t xml:space="preserve">W / </t>
    </r>
    <r>
      <rPr>
        <u val="single"/>
        <sz val="10"/>
        <rFont val="Symbol"/>
        <family val="1"/>
        <charset val="2"/>
      </rPr>
      <t xml:space="preserve">D</t>
    </r>
    <r>
      <rPr>
        <u val="single"/>
        <sz val="10"/>
        <rFont val="Arial"/>
        <family val="2"/>
      </rPr>
      <t xml:space="preserve">h</t>
    </r>
  </si>
  <si>
    <t xml:space="preserve">Measured Wind data</t>
  </si>
  <si>
    <t xml:space="preserve">N-S Wind Speed,fps</t>
  </si>
  <si>
    <t xml:space="preserve">E-W Wind Speed,fps</t>
  </si>
  <si>
    <t xml:space="preserve">Initial and Final Conditions</t>
  </si>
  <si>
    <t xml:space="preserve">Parameters</t>
  </si>
  <si>
    <t xml:space="preserve">Initial Altitude (MSL)</t>
  </si>
  <si>
    <t xml:space="preserve">Launch Location Altitude (MSL)</t>
  </si>
  <si>
    <t xml:space="preserve">Initial Range</t>
  </si>
  <si>
    <t xml:space="preserve">Initial Vx</t>
  </si>
  <si>
    <t xml:space="preserve">ft/s</t>
  </si>
  <si>
    <t xml:space="preserve">Velocity in x-axis at launch</t>
  </si>
  <si>
    <t xml:space="preserve">Initial Vz</t>
  </si>
  <si>
    <t xml:space="preserve">Velocity in z-axis at  launch</t>
  </si>
  <si>
    <t xml:space="preserve">initial Quadrant Elevation Angle (QE)</t>
  </si>
  <si>
    <t xml:space="preserve">deg</t>
  </si>
  <si>
    <t xml:space="preserve">Quadrant Elevation Angle.  Not used for first stage after parachute stabilized phase.</t>
  </si>
  <si>
    <t xml:space="preserve">rad</t>
  </si>
  <si>
    <t xml:space="preserve">This is also the initial flight path angle, positive when the velocity vector points above the horizon.</t>
  </si>
  <si>
    <t xml:space="preserve">Physical Launcher Length</t>
  </si>
  <si>
    <t xml:space="preserve">Physical launcher length.  Not used for first stage after parachute stabilized phase.</t>
  </si>
  <si>
    <t xml:space="preserve">Initial Yaw Wavelength</t>
  </si>
  <si>
    <t xml:space="preserve">Pitch / Yaw Wavelength</t>
  </si>
  <si>
    <t xml:space="preserve">Desired Impact Altitude (MSL)</t>
  </si>
  <si>
    <t xml:space="preserve">Landing Alitude</t>
  </si>
  <si>
    <t xml:space="preserve">Desired Trajectory Azimuth</t>
  </si>
  <si>
    <t xml:space="preserve">Geodetic Latitude</t>
  </si>
  <si>
    <t xml:space="preserve">Launch Latitude</t>
  </si>
  <si>
    <t xml:space="preserve">Pitch/Yaw Wavenumber</t>
  </si>
  <si>
    <t xml:space="preserve">rad/ft</t>
  </si>
  <si>
    <t xml:space="preserve">Pitch/Yaw Wavenumber at Launch</t>
  </si>
  <si>
    <t xml:space="preserve">Launch site g</t>
  </si>
  <si>
    <t xml:space="preserve">ft/sec2</t>
  </si>
  <si>
    <t xml:space="preserve">g at Launch Latitude at MSL</t>
  </si>
  <si>
    <t xml:space="preserve">From C.P.Hoult,"Launcher Length for Sounding-Rocket Point-Mass Trajectory Simulations", JSR, Vol. 13, No.12, pp 760-761</t>
  </si>
  <si>
    <t xml:space="preserve">Launch Site Earth radius</t>
  </si>
  <si>
    <t xml:space="preserve">Simulation Launcher Length</t>
  </si>
  <si>
    <t xml:space="preserve">Phases/Events and Durations Input Table</t>
  </si>
  <si>
    <t xml:space="preserve">Event/Phase</t>
  </si>
  <si>
    <t xml:space="preserve">Logic</t>
  </si>
  <si>
    <t xml:space="preserve">Duration, sec</t>
  </si>
  <si>
    <r>
      <rPr>
        <b val="true"/>
        <sz val="11"/>
        <color rgb="FF000000"/>
        <rFont val="Calibri"/>
        <family val="2"/>
      </rPr>
      <t xml:space="preserve">TALO </t>
    </r>
    <r>
      <rPr>
        <b val="true"/>
        <vertAlign val="subscript"/>
        <sz val="11"/>
        <color rgb="FF000000"/>
        <rFont val="Calibri"/>
        <family val="2"/>
      </rPr>
      <t xml:space="preserve">start, </t>
    </r>
    <r>
      <rPr>
        <b val="true"/>
        <sz val="11"/>
        <color rgb="FF000000"/>
        <rFont val="Calibri"/>
        <family val="2"/>
      </rPr>
      <t xml:space="preserve">sec (assume initial time = 0)</t>
    </r>
  </si>
  <si>
    <r>
      <rPr>
        <b val="true"/>
        <sz val="11"/>
        <color rgb="FF000000"/>
        <rFont val="Calibri"/>
        <family val="2"/>
      </rPr>
      <t xml:space="preserve">TALO</t>
    </r>
    <r>
      <rPr>
        <b val="true"/>
        <vertAlign val="subscript"/>
        <sz val="11"/>
        <color rgb="FF000000"/>
        <rFont val="Calibri"/>
        <family val="2"/>
      </rPr>
      <t xml:space="preserve">end, </t>
    </r>
    <r>
      <rPr>
        <b val="true"/>
        <sz val="11"/>
        <color rgb="FF000000"/>
        <rFont val="Calibri"/>
        <family val="2"/>
      </rPr>
      <t xml:space="preserve">sec</t>
    </r>
  </si>
  <si>
    <t xml:space="preserve">Sequence stage</t>
  </si>
  <si>
    <t xml:space="preserve"> 1 - First Stage on Coasting Flight</t>
  </si>
  <si>
    <t xml:space="preserve"> 2 - 1st Stage Coasting Stabilization Parachute</t>
  </si>
  <si>
    <t xml:space="preserve"> 3 - First Stage Powered Flight on launcher</t>
  </si>
  <si>
    <t xml:space="preserve"> 4 - First Stage Powered (Free) Flight</t>
  </si>
  <si>
    <t xml:space="preserve"> 5 - First Stage Coasting Flight</t>
  </si>
  <si>
    <t xml:space="preserve"> 6 - Second Stage Coasting Flight</t>
  </si>
  <si>
    <t xml:space="preserve"> 7 - Second Stage Powered Free Flight</t>
  </si>
  <si>
    <t xml:space="preserve"> 8 - Second Stage Coasting Flight</t>
  </si>
  <si>
    <t xml:space="preserve"> 9 - Third Stage Coasting Flight</t>
  </si>
  <si>
    <t xml:space="preserve">10 - Third Stage Powered Free Flight</t>
  </si>
  <si>
    <t xml:space="preserve">11 - Third Stage Coasting Flight</t>
  </si>
  <si>
    <t xml:space="preserve">12 - Coasting on Drogue Parachute</t>
  </si>
  <si>
    <t xml:space="preserve">13 - Coasting on Main Parachute</t>
  </si>
  <si>
    <t xml:space="preserve">dt</t>
  </si>
  <si>
    <t xml:space="preserve">s</t>
  </si>
  <si>
    <t xml:space="preserve">General Integration Time Step</t>
  </si>
  <si>
    <t xml:space="preserve">Time Step for Drogue Phases</t>
  </si>
  <si>
    <t xml:space="preserve">Time Step for Main Chute Phase</t>
  </si>
  <si>
    <t xml:space="preserve">Parachute</t>
  </si>
  <si>
    <r>
      <rPr>
        <b val="true"/>
        <sz val="11"/>
        <color rgb="FF000000"/>
        <rFont val="Calibri"/>
        <family val="2"/>
      </rPr>
      <t xml:space="preserve">DT</t>
    </r>
    <r>
      <rPr>
        <b val="true"/>
        <vertAlign val="subscript"/>
        <sz val="11"/>
        <color rgb="FF000000"/>
        <rFont val="Calibri"/>
        <family val="2"/>
      </rPr>
      <t xml:space="preserve">MC</t>
    </r>
  </si>
  <si>
    <t xml:space="preserve">Main Chute Deployment Time</t>
  </si>
  <si>
    <t xml:space="preserve">Cd main chute</t>
  </si>
  <si>
    <t xml:space="preserve">drag coefficient</t>
  </si>
  <si>
    <r>
      <rPr>
        <b val="true"/>
        <sz val="11"/>
        <color rgb="FF000000"/>
        <rFont val="Calibri"/>
        <family val="2"/>
      </rPr>
      <t xml:space="preserve">DT</t>
    </r>
    <r>
      <rPr>
        <b val="true"/>
        <vertAlign val="subscript"/>
        <sz val="11"/>
        <color rgb="FF000000"/>
        <rFont val="Calibri"/>
        <family val="2"/>
      </rPr>
      <t xml:space="preserve">DC</t>
    </r>
  </si>
  <si>
    <t xml:space="preserve">Drogue Chute Deployment Time</t>
  </si>
  <si>
    <t xml:space="preserve">Sref main chute</t>
  </si>
  <si>
    <t xml:space="preserve">reference area drag, ft^2</t>
  </si>
  <si>
    <t xml:space="preserve">τ</t>
  </si>
  <si>
    <t xml:space="preserve">Pre-ignition Chute Deployment Time</t>
  </si>
  <si>
    <t xml:space="preserve">Cd drogue chute</t>
  </si>
  <si>
    <r>
      <rPr>
        <b val="true"/>
        <sz val="11"/>
        <color rgb="FF000000"/>
        <rFont val="Calibri"/>
        <family val="2"/>
      </rPr>
      <t xml:space="preserve">D</t>
    </r>
    <r>
      <rPr>
        <b val="true"/>
        <vertAlign val="subscript"/>
        <sz val="11"/>
        <color rgb="FF000000"/>
        <rFont val="Calibri"/>
        <family val="2"/>
      </rPr>
      <t xml:space="preserve">MC</t>
    </r>
  </si>
  <si>
    <t xml:space="preserve">Main Chute Diameter</t>
  </si>
  <si>
    <t xml:space="preserve">Sref drogue chute</t>
  </si>
  <si>
    <r>
      <rPr>
        <b val="true"/>
        <sz val="11"/>
        <color rgb="FF000000"/>
        <rFont val="Calibri"/>
        <family val="2"/>
      </rPr>
      <t xml:space="preserve">D</t>
    </r>
    <r>
      <rPr>
        <b val="true"/>
        <vertAlign val="subscript"/>
        <sz val="11"/>
        <color rgb="FF000000"/>
        <rFont val="Calibri"/>
        <family val="2"/>
      </rPr>
      <t xml:space="preserve">DC</t>
    </r>
  </si>
  <si>
    <t xml:space="preserve">Drogue Chute Diameter</t>
  </si>
  <si>
    <t xml:space="preserve">Sref for no ignition w/ chute</t>
  </si>
  <si>
    <t xml:space="preserve">DD</t>
  </si>
  <si>
    <t xml:space="preserve">Pre-ignition Phase Drogue Chute Diameter</t>
  </si>
  <si>
    <t xml:space="preserve">Cd for no ignition w/ chute</t>
  </si>
  <si>
    <t xml:space="preserve">Dt1</t>
  </si>
  <si>
    <t xml:space="preserve">Pre-ignition Phase Chute Deployment Time</t>
  </si>
  <si>
    <t xml:space="preserve">Stage 1 (1st rocket section)</t>
  </si>
  <si>
    <t xml:space="preserve">Value if stage present</t>
  </si>
  <si>
    <r>
      <rPr>
        <sz val="11"/>
        <color rgb="FF000000"/>
        <rFont val="Calibri"/>
        <family val="2"/>
      </rPr>
      <t xml:space="preserve">W</t>
    </r>
    <r>
      <rPr>
        <vertAlign val="subscript"/>
        <sz val="11"/>
        <color rgb="FF000000"/>
        <rFont val="Calibri"/>
        <family val="2"/>
      </rPr>
      <t xml:space="preserve">p</t>
    </r>
  </si>
  <si>
    <t xml:space="preserve">lb</t>
  </si>
  <si>
    <t xml:space="preserve">Propellant Weight</t>
  </si>
  <si>
    <r>
      <rPr>
        <sz val="11"/>
        <color rgb="FF000000"/>
        <rFont val="Calibri"/>
        <family val="2"/>
      </rPr>
      <t xml:space="preserve">W</t>
    </r>
    <r>
      <rPr>
        <vertAlign val="subscript"/>
        <sz val="11"/>
        <color rgb="FF000000"/>
        <rFont val="Calibri"/>
        <family val="2"/>
      </rPr>
      <t xml:space="preserve">S</t>
    </r>
  </si>
  <si>
    <t xml:space="preserve">Structure Weight</t>
  </si>
  <si>
    <r>
      <rPr>
        <sz val="11"/>
        <color rgb="FF000000"/>
        <rFont val="Calibri"/>
        <family val="2"/>
      </rPr>
      <t xml:space="preserve">W</t>
    </r>
    <r>
      <rPr>
        <vertAlign val="subscript"/>
        <sz val="11"/>
        <color rgb="FF000000"/>
        <rFont val="Calibri"/>
        <family val="2"/>
      </rPr>
      <t xml:space="preserve">PL</t>
    </r>
  </si>
  <si>
    <t xml:space="preserve">Payload Weight Attached to Stage1</t>
  </si>
  <si>
    <r>
      <rPr>
        <sz val="11"/>
        <color rgb="FF000000"/>
        <rFont val="Calibri"/>
        <family val="2"/>
      </rPr>
      <t xml:space="preserve">t</t>
    </r>
    <r>
      <rPr>
        <vertAlign val="subscript"/>
        <sz val="11"/>
        <color rgb="FF000000"/>
        <rFont val="Calibri"/>
        <family val="2"/>
      </rPr>
      <t xml:space="preserve">b</t>
    </r>
  </si>
  <si>
    <t xml:space="preserve">Motor Burn Time</t>
  </si>
  <si>
    <t xml:space="preserve">tdelay </t>
  </si>
  <si>
    <t xml:space="preserve">Delay to Fire First Stage Motor</t>
  </si>
  <si>
    <t xml:space="preserve">tseparate</t>
  </si>
  <si>
    <t xml:space="preserve">Launch to 1st Stage Separation</t>
  </si>
  <si>
    <t xml:space="preserve">Sref power on phase</t>
  </si>
  <si>
    <t xml:space="preserve">Thrust and Drag Data</t>
  </si>
  <si>
    <t xml:space="preserve">Aero Tech M1939 ThrustCurve.org</t>
  </si>
  <si>
    <t xml:space="preserve">Is the Input Vacuum Thrust?</t>
  </si>
  <si>
    <t xml:space="preserve">Sref coast phase</t>
  </si>
  <si>
    <t xml:space="preserve">Time,s</t>
  </si>
  <si>
    <t xml:space="preserve">Time+ignition</t>
  </si>
  <si>
    <t xml:space="preserve">Sea Level/Vacuum Thrust Input, lbs</t>
  </si>
  <si>
    <t xml:space="preserve">Vacuum Thrust, lbs</t>
  </si>
  <si>
    <t xml:space="preserve">Mach No.</t>
  </si>
  <si>
    <t xml:space="preserve">Power on Cd</t>
  </si>
  <si>
    <t xml:space="preserve">Base Press. Coeff.</t>
  </si>
  <si>
    <t xml:space="preserve">Power off Cd</t>
  </si>
  <si>
    <t xml:space="preserve">  </t>
  </si>
  <si>
    <r>
      <rPr>
        <sz val="11"/>
        <color rgb="FF000000"/>
        <rFont val="Calibri"/>
        <family val="2"/>
      </rPr>
      <t xml:space="preserve">Nozzle Exit Area, ft</t>
    </r>
    <r>
      <rPr>
        <vertAlign val="superscript"/>
        <sz val="11"/>
        <color rgb="FF000000"/>
        <rFont val="Calibri"/>
        <family val="2"/>
      </rPr>
      <t xml:space="preserve">2</t>
    </r>
  </si>
  <si>
    <t xml:space="preserve">Total Vacuum Impulse, lb-sec</t>
  </si>
  <si>
    <t xml:space="preserve">for corresponding stage</t>
  </si>
  <si>
    <t xml:space="preserve">Vacuum Isp, sec</t>
  </si>
  <si>
    <t xml:space="preserve">Stage 2 (2nd rocket section)</t>
  </si>
  <si>
    <t xml:space="preserve">Value if Stage present</t>
  </si>
  <si>
    <t xml:space="preserve">Payload Weight Attached to Stage2</t>
  </si>
  <si>
    <t xml:space="preserve">Motor BurnTime</t>
  </si>
  <si>
    <t xml:space="preserve">tdelay</t>
  </si>
  <si>
    <t xml:space="preserve">Delay Time from Stage 1 until Stage 2 Ignition</t>
  </si>
  <si>
    <t xml:space="preserve">Launch to 2nd Stage Separation</t>
  </si>
  <si>
    <t xml:space="preserve">Sref powered phase</t>
  </si>
  <si>
    <t xml:space="preserve">Time+prev. stage t, s</t>
  </si>
  <si>
    <t xml:space="preserve">Sea Level/Vacuum Thrust, lb</t>
  </si>
  <si>
    <t xml:space="preserve">1=dummy value</t>
  </si>
  <si>
    <t xml:space="preserve">Stage 3 (Third rocket section)</t>
  </si>
  <si>
    <t xml:space="preserve">Values if Stage present</t>
  </si>
  <si>
    <t xml:space="preserve">Payload Weight Attached to Stage3</t>
  </si>
  <si>
    <t xml:space="preserve">Delay Time from Stage 2 until Stage 3 Ignition</t>
  </si>
  <si>
    <t xml:space="preserve">Time + prev. stage t,s</t>
  </si>
  <si>
    <t xml:space="preserve">Sea Level/vacuum Thrust, lb</t>
  </si>
  <si>
    <t xml:space="preserve">Phases Weight and Mass Data</t>
  </si>
  <si>
    <t xml:space="preserve">Phase</t>
  </si>
  <si>
    <t xml:space="preserve">Initial Weight, lb</t>
  </si>
  <si>
    <t xml:space="preserve">Initial Mass,sl</t>
  </si>
  <si>
    <t xml:space="preserve">Final Weight, lb</t>
  </si>
  <si>
    <t xml:space="preserve">Monitor</t>
  </si>
  <si>
    <t xml:space="preserve">Press Esc or Break key to stop the simulation then click End button</t>
  </si>
  <si>
    <t xml:space="preserve">Current value</t>
  </si>
  <si>
    <t xml:space="preserve">Initial</t>
  </si>
  <si>
    <t xml:space="preserve">Final</t>
  </si>
  <si>
    <t xml:space="preserve">N/A</t>
  </si>
  <si>
    <t xml:space="preserve">Time, sec</t>
  </si>
  <si>
    <t xml:space="preserve">Mach number</t>
  </si>
  <si>
    <t xml:space="preserve">Altitude, ft</t>
  </si>
  <si>
    <t xml:space="preserve">Range, ft</t>
  </si>
  <si>
    <t xml:space="preserve">TALO,   sec</t>
  </si>
  <si>
    <t xml:space="preserve">Stage?</t>
  </si>
  <si>
    <t xml:space="preserve">Event?</t>
  </si>
  <si>
    <t xml:space="preserve">Coast 1 no Ignition?</t>
  </si>
  <si>
    <t xml:space="preserve">Stabilization Parachute?</t>
  </si>
  <si>
    <t xml:space="preserve">Rail Launch Phase?</t>
  </si>
  <si>
    <t xml:space="preserve">Power Stage 1?</t>
  </si>
  <si>
    <t xml:space="preserve">Coast Stage 1?</t>
  </si>
  <si>
    <t xml:space="preserve">Coast Stage 2?</t>
  </si>
  <si>
    <t xml:space="preserve">Power Stage 2?</t>
  </si>
  <si>
    <t xml:space="preserve">Coast Stage 3?</t>
  </si>
  <si>
    <t xml:space="preserve">Power Stage 3?</t>
  </si>
  <si>
    <t xml:space="preserve">Drogue Chute?</t>
  </si>
  <si>
    <t xml:space="preserve">Main Chute?</t>
  </si>
  <si>
    <t xml:space="preserve">Altitude,   ft AGL</t>
  </si>
  <si>
    <t xml:space="preserve">Altitude,   ft MSL</t>
  </si>
  <si>
    <t xml:space="preserve">Pressure, lb/ft^2</t>
  </si>
  <si>
    <t xml:space="preserve">Velocity, ft/sec</t>
  </si>
  <si>
    <t xml:space="preserve">Range,    ft</t>
  </si>
  <si>
    <t xml:space="preserve">Vertical  Velocity,  ft/sec</t>
  </si>
  <si>
    <t xml:space="preserve">Horizontal Velocity (LC), ft/sec</t>
  </si>
  <si>
    <t xml:space="preserve">Horizontal Velocity,     (rel to wind), ft/sec</t>
  </si>
  <si>
    <t xml:space="preserve">Weight, lbs</t>
  </si>
  <si>
    <t xml:space="preserve">Distance, ft</t>
  </si>
  <si>
    <t xml:space="preserve">Flight Angle, gamma in degrees</t>
  </si>
  <si>
    <t xml:space="preserve">Accelration in z-axis</t>
  </si>
  <si>
    <t xml:space="preserve">Thrust, lbs</t>
  </si>
  <si>
    <t xml:space="preserve">Drag, lbs</t>
  </si>
  <si>
    <t xml:space="preserve">Dynamic Pressure, lb/ft^2</t>
  </si>
  <si>
    <t xml:space="preserve">3 DOF Wind Correction Factor</t>
  </si>
  <si>
    <t xml:space="preserve">True Wind Speed, ft/sec</t>
  </si>
  <si>
    <t xml:space="preserve">Sim Wind Speed, ft/sec</t>
  </si>
  <si>
    <t xml:space="preserve">Apogee Altitude (AGL), ft</t>
  </si>
  <si>
    <t xml:space="preserve">Apogee Altitude (MSL), ft</t>
  </si>
  <si>
    <t xml:space="preserve">Apogee Time, sec</t>
  </si>
  <si>
    <t xml:space="preserve">Impact Velocity, ft/s</t>
  </si>
  <si>
    <t xml:space="preserve">Impact Time, sec</t>
  </si>
  <si>
    <t xml:space="preserve">Burnout Velocity Stage 1, ft/s</t>
  </si>
  <si>
    <t xml:space="preserve">Burnout Altitude Stage 1, ft</t>
  </si>
  <si>
    <t xml:space="preserve">Burnout Flightpath Angle at Stage1, deg</t>
  </si>
  <si>
    <t xml:space="preserve">Burnout Velocity Stage 2, ft/s</t>
  </si>
  <si>
    <t xml:space="preserve">Burnout Altitude Stage 2, ft</t>
  </si>
  <si>
    <t xml:space="preserve">Burnout Flightpath Angle at Stage 2, deg</t>
  </si>
  <si>
    <t xml:space="preserve">Burnout Velocity Stage 3, ft/s</t>
  </si>
  <si>
    <t xml:space="preserve">Burnout Altitude Stage  3, ft</t>
  </si>
  <si>
    <t xml:space="preserve">Burnout Flightpath Angle at Stage 3, deg</t>
  </si>
  <si>
    <t xml:space="preserve">t</t>
  </si>
  <si>
    <t xml:space="preserve">Alt</t>
  </si>
  <si>
    <t xml:space="preserve">Pressure</t>
  </si>
  <si>
    <t xml:space="preserve">Vrel</t>
  </si>
  <si>
    <t xml:space="preserve">Mach</t>
  </si>
  <si>
    <t xml:space="preserve">Rng</t>
  </si>
  <si>
    <t xml:space="preserve">Vz</t>
  </si>
  <si>
    <t xml:space="preserve">Vx</t>
  </si>
  <si>
    <t xml:space="preserve">Vxrel</t>
  </si>
  <si>
    <t xml:space="preserve">mass</t>
  </si>
  <si>
    <t xml:space="preserve">dist</t>
  </si>
  <si>
    <t xml:space="preserve">gamma</t>
  </si>
  <si>
    <t xml:space="preserve">g's</t>
  </si>
  <si>
    <t xml:space="preserve">thrust</t>
  </si>
  <si>
    <t xml:space="preserve">Drag</t>
  </si>
  <si>
    <t xml:space="preserve">Pdyn</t>
  </si>
  <si>
    <t xml:space="preserve">3DOF</t>
  </si>
  <si>
    <t xml:space="preserve">wtrue</t>
  </si>
  <si>
    <t xml:space="preserve">wsim</t>
  </si>
  <si>
    <t xml:space="preserve"> Local Apogee</t>
  </si>
  <si>
    <t xml:space="preserve">Apogee</t>
  </si>
  <si>
    <t xml:space="preserve">tapogee</t>
  </si>
  <si>
    <t xml:space="preserve">Range</t>
  </si>
  <si>
    <t xml:space="preserve">Vimpact</t>
  </si>
  <si>
    <t xml:space="preserve">timpact</t>
  </si>
  <si>
    <t xml:space="preserve">Vb1</t>
  </si>
  <si>
    <t xml:space="preserve">Altvb1</t>
  </si>
  <si>
    <t xml:space="preserve">gammavb1</t>
  </si>
  <si>
    <t xml:space="preserve">Vb2</t>
  </si>
  <si>
    <t xml:space="preserve">Altvb2</t>
  </si>
  <si>
    <t xml:space="preserve">gammavb2</t>
  </si>
  <si>
    <t xml:space="preserve">Vb3</t>
  </si>
  <si>
    <t xml:space="preserve">Altvb3</t>
  </si>
  <si>
    <t xml:space="preserve">gammavb3</t>
  </si>
  <si>
    <t xml:space="preserve">Qmax Stage 1, psf</t>
  </si>
  <si>
    <t xml:space="preserve">Time to Qmax Stage 1, s</t>
  </si>
  <si>
    <t xml:space="preserve">Machmax Stage 1</t>
  </si>
  <si>
    <t xml:space="preserve">Time to Machmax Stage 1, s</t>
  </si>
  <si>
    <t xml:space="preserve">Qmax Stage 2, psf</t>
  </si>
  <si>
    <t xml:space="preserve">Time to Qmax Stage 2, s</t>
  </si>
  <si>
    <t xml:space="preserve">Machmax Stage 2</t>
  </si>
  <si>
    <t xml:space="preserve">Time to Machmax Stage 2, s</t>
  </si>
  <si>
    <t xml:space="preserve">Qmax Stage 3, psf</t>
  </si>
  <si>
    <t xml:space="preserve">Time to Qmax Stage 3, s</t>
  </si>
  <si>
    <t xml:space="preserve">Machmax Stage 3</t>
  </si>
  <si>
    <t xml:space="preserve">Time to Machmax Stage 3, s</t>
  </si>
  <si>
    <t xml:space="preserve">Qmax1</t>
  </si>
  <si>
    <t xml:space="preserve">t1qmax</t>
  </si>
  <si>
    <t xml:space="preserve">Machmax1</t>
  </si>
  <si>
    <t xml:space="preserve">t1machmax</t>
  </si>
  <si>
    <t xml:space="preserve">Qmax2</t>
  </si>
  <si>
    <t xml:space="preserve">t2qmax</t>
  </si>
  <si>
    <t xml:space="preserve">Machmax2</t>
  </si>
  <si>
    <t xml:space="preserve">t2machmax</t>
  </si>
  <si>
    <t xml:space="preserve">Qmax3</t>
  </si>
  <si>
    <t xml:space="preserve">t3qmax</t>
  </si>
  <si>
    <t xml:space="preserve">Machmax3</t>
  </si>
  <si>
    <t xml:space="preserve">t3machmax</t>
  </si>
  <si>
    <t xml:space="preserve">From QE = 90º</t>
  </si>
  <si>
    <t xml:space="preserve">from SKYAERO  zero wind</t>
  </si>
  <si>
    <t xml:space="preserve">from Flt Ops</t>
  </si>
  <si>
    <t xml:space="preserve">from SKYAERO  in-plane wind</t>
  </si>
  <si>
    <t xml:space="preserve">Cross-Plane Wind-Induced Impact Displacement, ft</t>
  </si>
  <si>
    <t xml:space="preserve">Impact Point Range, ft</t>
  </si>
  <si>
    <t xml:space="preserve">Tilt Launch Angle, deg</t>
  </si>
  <si>
    <t xml:space="preserve">Desired In-Plane Impact Point Component, ft</t>
  </si>
  <si>
    <t xml:space="preserve">Desired Cross-Plane Impact Point Component, ft</t>
  </si>
  <si>
    <r>
      <rPr>
        <sz val="11"/>
        <color rgb="FF000000"/>
        <rFont val="Calibri"/>
        <family val="2"/>
      </rPr>
      <t xml:space="preserve">Cross-Plane Wind Compensatory Tilt Angle T</t>
    </r>
    <r>
      <rPr>
        <vertAlign val="subscript"/>
        <sz val="11"/>
        <color rgb="FF000000"/>
        <rFont val="Calibri"/>
        <family val="2"/>
      </rPr>
      <t xml:space="preserve">C</t>
    </r>
    <r>
      <rPr>
        <sz val="11"/>
        <color rgb="FF000000"/>
        <rFont val="Calibri"/>
        <family val="2"/>
      </rPr>
      <t xml:space="preserve">, deg</t>
    </r>
  </si>
  <si>
    <r>
      <rPr>
        <sz val="11"/>
        <color rgb="FF000000"/>
        <rFont val="Calibri"/>
        <family val="2"/>
      </rPr>
      <t xml:space="preserve">In-Plane Wind Compensatory Tilt Angle T</t>
    </r>
    <r>
      <rPr>
        <vertAlign val="subscript"/>
        <sz val="11"/>
        <color rgb="FF000000"/>
        <rFont val="Calibri"/>
        <family val="2"/>
      </rPr>
      <t xml:space="preserve">I</t>
    </r>
    <r>
      <rPr>
        <sz val="11"/>
        <color rgb="FF000000"/>
        <rFont val="Calibri"/>
        <family val="2"/>
      </rPr>
      <t xml:space="preserve">, deg</t>
    </r>
  </si>
  <si>
    <r>
      <rPr>
        <sz val="11"/>
        <color rgb="FF000000"/>
        <rFont val="Calibri"/>
        <family val="2"/>
      </rPr>
      <t xml:space="preserve">Total Tilt Angle, T</t>
    </r>
    <r>
      <rPr>
        <vertAlign val="subscript"/>
        <sz val="11"/>
        <color rgb="FF000000"/>
        <rFont val="Calibri"/>
        <family val="2"/>
      </rPr>
      <t xml:space="preserve">T</t>
    </r>
    <r>
      <rPr>
        <sz val="11"/>
        <color rgb="FF000000"/>
        <rFont val="Calibri"/>
        <family val="2"/>
      </rPr>
      <t xml:space="preserve">, deg</t>
    </r>
  </si>
  <si>
    <t xml:space="preserve">Total QE, degrees</t>
  </si>
  <si>
    <t xml:space="preserve">True Launcher Azimuth, deg</t>
  </si>
</sst>
</file>

<file path=xl/styles.xml><?xml version="1.0" encoding="utf-8"?>
<styleSheet xmlns="http://schemas.openxmlformats.org/spreadsheetml/2006/main">
  <numFmts count="3">
    <numFmt numFmtId="164" formatCode="General"/>
    <numFmt numFmtId="165" formatCode="0.0000"/>
    <numFmt numFmtId="166" formatCode="0.00"/>
  </numFmts>
  <fonts count="36">
    <font>
      <sz val="11"/>
      <color rgb="FF000000"/>
      <name val="Calibri"/>
      <family val="2"/>
    </font>
    <font>
      <sz val="10"/>
      <name val="Arial"/>
      <family val="0"/>
    </font>
    <font>
      <sz val="10"/>
      <name val="Arial"/>
      <family val="0"/>
    </font>
    <font>
      <sz val="10"/>
      <name val="Arial"/>
      <family val="0"/>
    </font>
    <font>
      <b val="true"/>
      <sz val="11"/>
      <color rgb="FF000000"/>
      <name val="Calibri"/>
      <family val="2"/>
    </font>
    <font>
      <b val="true"/>
      <sz val="11"/>
      <color rgb="FFFFFFFF"/>
      <name val="Calibri"/>
      <family val="2"/>
    </font>
    <font>
      <vertAlign val="superscript"/>
      <sz val="11"/>
      <color rgb="FF000000"/>
      <name val="Calibri"/>
      <family val="2"/>
    </font>
    <font>
      <b val="true"/>
      <vertAlign val="subscript"/>
      <sz val="11"/>
      <color rgb="FF000000"/>
      <name val="Calibri"/>
      <family val="2"/>
    </font>
    <font>
      <b val="true"/>
      <vertAlign val="superscript"/>
      <sz val="10"/>
      <name val="Arial"/>
      <family val="2"/>
    </font>
    <font>
      <vertAlign val="subscript"/>
      <sz val="11"/>
      <color rgb="FF000000"/>
      <name val="Calibri"/>
      <family val="2"/>
    </font>
    <font>
      <b val="true"/>
      <sz val="11"/>
      <name val="Calibri"/>
      <family val="2"/>
    </font>
    <font>
      <sz val="11"/>
      <color rgb="FFFFFFFF"/>
      <name val="Calibri"/>
      <family val="2"/>
    </font>
    <font>
      <u val="single"/>
      <sz val="10"/>
      <name val="Arial"/>
      <family val="2"/>
    </font>
    <font>
      <sz val="10"/>
      <name val="Arial"/>
      <family val="2"/>
    </font>
    <font>
      <sz val="10"/>
      <name val="Symbol"/>
      <family val="1"/>
      <charset val="2"/>
    </font>
    <font>
      <sz val="10"/>
      <color rgb="FFFFFFFF"/>
      <name val="Arial"/>
      <family val="2"/>
    </font>
    <font>
      <u val="single"/>
      <sz val="10"/>
      <name val="Symbol"/>
      <family val="1"/>
      <charset val="2"/>
    </font>
    <font>
      <sz val="11"/>
      <name val="Calibri"/>
      <family val="2"/>
    </font>
    <font>
      <sz val="11"/>
      <color rgb="FFFF0000"/>
      <name val="Calibri"/>
      <family val="2"/>
    </font>
    <font>
      <b val="true"/>
      <sz val="10"/>
      <name val="Arial"/>
      <family val="2"/>
    </font>
    <font>
      <u val="single"/>
      <sz val="10"/>
      <name val="Times New Roman"/>
      <family val="1"/>
    </font>
    <font>
      <b val="true"/>
      <sz val="9"/>
      <color rgb="FF000000"/>
      <name val="Tahoma"/>
      <family val="2"/>
    </font>
    <font>
      <sz val="9"/>
      <color rgb="FF000000"/>
      <name val="Tahoma"/>
      <family val="2"/>
    </font>
    <font>
      <b val="true"/>
      <sz val="11"/>
      <color rgb="FF000000"/>
      <name val="Times New Roman"/>
      <family val="0"/>
    </font>
    <font>
      <sz val="11"/>
      <color rgb="FF000000"/>
      <name val="Calibri"/>
      <family val="0"/>
    </font>
    <font>
      <b val="true"/>
      <sz val="11"/>
      <color rgb="FF003366"/>
      <name val="Times New Roman"/>
      <family val="0"/>
    </font>
    <font>
      <b val="true"/>
      <sz val="12"/>
      <color rgb="FF000000"/>
      <name val="Times New Roman"/>
      <family val="0"/>
    </font>
    <font>
      <b val="true"/>
      <sz val="11"/>
      <color rgb="FF000000"/>
      <name val="Calibri"/>
      <family val="0"/>
    </font>
    <font>
      <sz val="14"/>
      <color rgb="FF000000"/>
      <name val="Arial"/>
      <family val="0"/>
    </font>
    <font>
      <sz val="16"/>
      <color rgb="FF000000"/>
      <name val="Calibri"/>
      <family val="0"/>
    </font>
    <font>
      <b val="true"/>
      <sz val="12"/>
      <color rgb="FF000000"/>
      <name val="Cambria"/>
      <family val="0"/>
    </font>
    <font>
      <sz val="11"/>
      <color rgb="FF000000"/>
      <name val="Cambria"/>
      <family val="0"/>
    </font>
    <font>
      <b val="true"/>
      <sz val="11"/>
      <color rgb="FF000000"/>
      <name val="Cambria"/>
      <family val="0"/>
    </font>
    <font>
      <sz val="11"/>
      <color rgb="FFFFFFFF"/>
      <name val="Calibri"/>
      <family val="0"/>
    </font>
    <font>
      <b val="true"/>
      <sz val="8"/>
      <color rgb="FF000000"/>
      <name val="Tahoma"/>
      <family val="2"/>
    </font>
    <font>
      <sz val="8"/>
      <color rgb="FF000000"/>
      <name val="Tahoma"/>
      <family val="2"/>
    </font>
  </fonts>
  <fills count="13">
    <fill>
      <patternFill patternType="none"/>
    </fill>
    <fill>
      <patternFill patternType="gray125"/>
    </fill>
    <fill>
      <patternFill patternType="solid">
        <fgColor rgb="FF008000"/>
        <bgColor rgb="FF008080"/>
      </patternFill>
    </fill>
    <fill>
      <patternFill patternType="solid">
        <fgColor rgb="FFFFCC00"/>
        <bgColor rgb="FFFFFF00"/>
      </patternFill>
    </fill>
    <fill>
      <patternFill patternType="solid">
        <fgColor rgb="FFFF99CC"/>
        <bgColor rgb="FFFF8080"/>
      </patternFill>
    </fill>
    <fill>
      <patternFill patternType="solid">
        <fgColor rgb="FFCCFFFF"/>
        <bgColor rgb="FFCCFFFF"/>
      </patternFill>
    </fill>
    <fill>
      <patternFill patternType="solid">
        <fgColor rgb="FFFFFFFF"/>
        <bgColor rgb="FFFFFFCC"/>
      </patternFill>
    </fill>
    <fill>
      <patternFill patternType="solid">
        <fgColor rgb="FF993300"/>
        <bgColor rgb="FF993366"/>
      </patternFill>
    </fill>
    <fill>
      <patternFill patternType="solid">
        <fgColor rgb="FFFF0000"/>
        <bgColor rgb="FF993300"/>
      </patternFill>
    </fill>
    <fill>
      <patternFill patternType="solid">
        <fgColor rgb="FF993366"/>
        <bgColor rgb="FF993366"/>
      </patternFill>
    </fill>
    <fill>
      <patternFill patternType="solid">
        <fgColor rgb="FFCCFFCC"/>
        <bgColor rgb="FFCCFFFF"/>
      </patternFill>
    </fill>
    <fill>
      <patternFill patternType="solid">
        <fgColor rgb="FF339966"/>
        <bgColor rgb="FF008080"/>
      </patternFill>
    </fill>
    <fill>
      <patternFill patternType="solid">
        <fgColor rgb="FF808000"/>
        <bgColor rgb="FF808080"/>
      </patternFill>
    </fill>
  </fills>
  <borders count="16">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style="thin"/>
      <top/>
      <botto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style="thin"/>
      <top/>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color rgb="FFC0C0C0"/>
      </right>
      <top style="thin"/>
      <bottom/>
      <diagonal/>
    </border>
    <border diagonalUp="false" diagonalDown="false">
      <left/>
      <right style="thin">
        <color rgb="FFC0C0C0"/>
      </right>
      <top/>
      <bottom/>
      <diagonal/>
    </border>
    <border diagonalUp="false" diagonalDown="false">
      <left/>
      <right style="thin">
        <color rgb="FFC0C0C0"/>
      </right>
      <top/>
      <bottom style="thin">
        <color rgb="FFC0C0C0"/>
      </bottom>
      <diagonal/>
    </border>
    <border diagonalUp="false" diagonalDown="false">
      <left style="thin">
        <color rgb="FFC0C0C0"/>
      </left>
      <right style="thin">
        <color rgb="FFC0C0C0"/>
      </right>
      <top/>
      <bottom style="thin">
        <color rgb="FFC0C0C0"/>
      </bottom>
      <diagonal/>
    </border>
    <border diagonalUp="false" diagonalDown="false">
      <left style="thin">
        <color rgb="FFC0C0C0"/>
      </left>
      <right/>
      <top/>
      <bottom style="thin">
        <color rgb="FFC0C0C0"/>
      </bottom>
      <diagonal/>
    </border>
    <border diagonalUp="false" diagonalDown="false">
      <left style="thin">
        <color rgb="FFC0C0C0"/>
      </left>
      <right/>
      <top style="thin"/>
      <bottom style="thin">
        <color rgb="FFC0C0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0">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true" applyAlignment="true" applyProtection="false">
      <alignment horizontal="center" vertical="bottom" textRotation="0" wrapText="false" indent="0" shrinkToFit="false"/>
      <protection locked="true" hidden="false"/>
    </xf>
    <xf numFmtId="165" fontId="5" fillId="2" borderId="1" xfId="0" applyFont="true" applyBorder="true" applyAlignment="false" applyProtection="false">
      <alignment horizontal="general" vertical="bottom" textRotation="0" wrapText="false" indent="0" shrinkToFit="false"/>
      <protection locked="true" hidden="false"/>
    </xf>
    <xf numFmtId="165" fontId="5" fillId="2" borderId="2" xfId="0" applyFont="true" applyBorder="true" applyAlignment="false" applyProtection="false">
      <alignment horizontal="general" vertical="bottom" textRotation="0" wrapText="false" indent="0" shrinkToFit="false"/>
      <protection locked="true" hidden="false"/>
    </xf>
    <xf numFmtId="165" fontId="4" fillId="3" borderId="3" xfId="0" applyFont="true" applyBorder="true" applyAlignment="false" applyProtection="false">
      <alignment horizontal="general" vertical="bottom" textRotation="0" wrapText="false" indent="0" shrinkToFit="false"/>
      <protection locked="true" hidden="false"/>
    </xf>
    <xf numFmtId="165" fontId="0" fillId="4" borderId="1" xfId="0" applyFont="false" applyBorder="true" applyAlignment="false" applyProtection="false">
      <alignment horizontal="general" vertical="bottom" textRotation="0" wrapText="false" indent="0" shrinkToFit="false"/>
      <protection locked="true" hidden="false"/>
    </xf>
    <xf numFmtId="165" fontId="4" fillId="3" borderId="1" xfId="0" applyFont="true" applyBorder="true" applyAlignment="true" applyProtection="false">
      <alignment horizontal="center" vertical="center" textRotation="0" wrapText="tru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5" fontId="4" fillId="3"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5" fontId="4" fillId="6" borderId="0" xfId="0" applyFont="true" applyBorder="true" applyAlignment="true" applyProtection="false">
      <alignment horizontal="general" vertical="center"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5" fontId="4" fillId="3" borderId="1" xfId="0" applyFont="true" applyBorder="true" applyAlignment="true" applyProtection="false">
      <alignment horizontal="general" vertical="bottom" textRotation="0" wrapText="true" indent="0" shrinkToFit="false"/>
      <protection locked="true" hidden="false"/>
    </xf>
    <xf numFmtId="165" fontId="10" fillId="3" borderId="1" xfId="0" applyFont="true" applyBorder="true" applyAlignment="true" applyProtection="false">
      <alignment horizontal="center" vertical="center" textRotation="0" wrapText="true" indent="0" shrinkToFit="false"/>
      <protection locked="true" hidden="false"/>
    </xf>
    <xf numFmtId="165" fontId="0" fillId="6" borderId="1" xfId="0" applyFont="false" applyBorder="true" applyAlignment="true" applyProtection="false">
      <alignment horizontal="right" vertical="bottom" textRotation="0" wrapText="false" indent="0" shrinkToFit="false"/>
      <protection locked="true" hidden="false"/>
    </xf>
    <xf numFmtId="165" fontId="0" fillId="5" borderId="1" xfId="0" applyFont="true" applyBorder="true" applyAlignment="true" applyProtection="false">
      <alignment horizontal="right"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5" fontId="11" fillId="7" borderId="0" xfId="0" applyFont="true" applyBorder="false" applyAlignment="true" applyProtection="false">
      <alignment horizontal="general" vertical="bottom" textRotation="0" wrapText="true" indent="0" shrinkToFit="false"/>
      <protection locked="true" hidden="false"/>
    </xf>
    <xf numFmtId="165" fontId="12" fillId="3" borderId="1" xfId="0" applyFont="true" applyBorder="true" applyAlignment="true" applyProtection="false">
      <alignment horizontal="center" vertical="center" textRotation="0" wrapText="true" indent="0" shrinkToFit="false"/>
      <protection locked="true" hidden="false"/>
    </xf>
    <xf numFmtId="165" fontId="13" fillId="3" borderId="1" xfId="0" applyFont="true" applyBorder="true" applyAlignment="true" applyProtection="false">
      <alignment horizontal="center" vertical="center" textRotation="0" wrapText="true" indent="0" shrinkToFit="false"/>
      <protection locked="true" hidden="false"/>
    </xf>
    <xf numFmtId="165" fontId="15" fillId="8" borderId="1" xfId="0" applyFont="true" applyBorder="true" applyAlignment="true" applyProtection="false">
      <alignment horizontal="center" vertical="center" textRotation="0" wrapText="true" indent="0" shrinkToFit="false"/>
      <protection locked="true" hidden="false"/>
    </xf>
    <xf numFmtId="165" fontId="12" fillId="3" borderId="1" xfId="0" applyFont="true" applyBorder="true" applyAlignment="true" applyProtection="false">
      <alignment horizontal="center" vertical="center" textRotation="0" wrapText="false" indent="0" shrinkToFit="false"/>
      <protection locked="true" hidden="false"/>
    </xf>
    <xf numFmtId="165" fontId="16" fillId="3" borderId="1" xfId="0" applyFont="true" applyBorder="true" applyAlignment="true" applyProtection="false">
      <alignment horizontal="center" vertical="center" textRotation="0" wrapText="true" indent="0" shrinkToFit="false"/>
      <protection locked="true" hidden="false"/>
    </xf>
    <xf numFmtId="165" fontId="13" fillId="4" borderId="1" xfId="0" applyFont="true" applyBorder="true" applyAlignment="true" applyProtection="false">
      <alignment horizontal="center" vertical="center" textRotation="0" wrapText="true" indent="0" shrinkToFit="false"/>
      <protection locked="true" hidden="false"/>
    </xf>
    <xf numFmtId="165" fontId="0" fillId="5" borderId="3" xfId="0" applyFont="false" applyBorder="true" applyAlignment="false" applyProtection="false">
      <alignment horizontal="general" vertical="bottom" textRotation="0" wrapText="false" indent="0" shrinkToFit="false"/>
      <protection locked="true" hidden="false"/>
    </xf>
    <xf numFmtId="165" fontId="0" fillId="5" borderId="1" xfId="0" applyFont="false" applyBorder="true" applyAlignment="false" applyProtection="false">
      <alignment horizontal="general" vertical="bottom" textRotation="0" wrapText="false" indent="0" shrinkToFit="false"/>
      <protection locked="true" hidden="false"/>
    </xf>
    <xf numFmtId="165" fontId="0" fillId="4" borderId="1" xfId="0" applyFont="false" applyBorder="true" applyAlignment="true" applyProtection="false">
      <alignment horizontal="center" vertical="center" textRotation="0" wrapText="true" indent="0" shrinkToFit="false"/>
      <protection locked="true" hidden="false"/>
    </xf>
    <xf numFmtId="165" fontId="0" fillId="4" borderId="1" xfId="0" applyFont="false" applyBorder="true" applyAlignment="true" applyProtection="false">
      <alignment horizontal="center" vertical="bottom" textRotation="0" wrapText="false" indent="0" shrinkToFit="false"/>
      <protection locked="true" hidden="false"/>
    </xf>
    <xf numFmtId="165" fontId="0" fillId="4" borderId="1" xfId="0" applyFont="false" applyBorder="true" applyAlignment="true" applyProtection="false">
      <alignment horizontal="center" vertical="center"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6" fontId="0" fillId="5" borderId="1" xfId="0" applyFont="false" applyBorder="true" applyAlignment="fals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general" vertical="center" textRotation="0" wrapText="true" indent="0" shrinkToFit="false"/>
      <protection locked="true" hidden="false"/>
    </xf>
    <xf numFmtId="165" fontId="17" fillId="0" borderId="0" xfId="0" applyFont="true" applyBorder="false" applyAlignment="false" applyProtection="false">
      <alignment horizontal="general" vertical="bottom" textRotation="0" wrapText="false" indent="0" shrinkToFit="false"/>
      <protection locked="true" hidden="false"/>
    </xf>
    <xf numFmtId="165" fontId="18" fillId="0" borderId="0" xfId="0" applyFont="true" applyBorder="false" applyAlignment="false" applyProtection="false">
      <alignment horizontal="general" vertical="bottom" textRotation="0" wrapText="false" indent="0" shrinkToFit="false"/>
      <protection locked="true" hidden="false"/>
    </xf>
    <xf numFmtId="165" fontId="11" fillId="9" borderId="0" xfId="0" applyFont="true" applyBorder="true" applyAlignment="true" applyProtection="false">
      <alignment horizontal="center" vertical="center" textRotation="0" wrapText="true" indent="0" shrinkToFit="false"/>
      <protection locked="true" hidden="false"/>
    </xf>
    <xf numFmtId="165" fontId="17" fillId="0" borderId="0" xfId="0" applyFont="true" applyBorder="false" applyAlignment="false" applyProtection="false">
      <alignment horizontal="general" vertical="bottom" textRotation="0" wrapText="false" indent="0" shrinkToFit="false"/>
      <protection locked="true" hidden="false"/>
    </xf>
    <xf numFmtId="165" fontId="4" fillId="0" borderId="1" xfId="0" applyFont="true" applyBorder="true" applyAlignment="true" applyProtection="false">
      <alignment horizontal="center" vertical="bottom" textRotation="0" wrapText="fals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5" fontId="17" fillId="0" borderId="1" xfId="0" applyFont="true" applyBorder="true" applyAlignment="true" applyProtection="false">
      <alignment horizontal="center"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5" fontId="4" fillId="0" borderId="4" xfId="0" applyFont="true" applyBorder="true" applyAlignment="false" applyProtection="false">
      <alignment horizontal="general" vertical="bottom" textRotation="0" wrapText="false" indent="0" shrinkToFit="false"/>
      <protection locked="true" hidden="false"/>
    </xf>
    <xf numFmtId="165" fontId="0" fillId="0" borderId="0" xfId="0" applyFont="false" applyBorder="true" applyAlignment="false" applyProtection="false">
      <alignment horizontal="general" vertical="bottom" textRotation="0" wrapText="false" indent="0" shrinkToFit="false"/>
      <protection locked="true" hidden="false"/>
    </xf>
    <xf numFmtId="165" fontId="0" fillId="3" borderId="1" xfId="0" applyFont="true" applyBorder="true" applyAlignment="false" applyProtection="false">
      <alignment horizontal="general" vertical="bottom" textRotation="0" wrapText="false" indent="0" shrinkToFit="false"/>
      <protection locked="true" hidden="false"/>
    </xf>
    <xf numFmtId="165" fontId="0" fillId="6" borderId="1" xfId="0" applyFont="false" applyBorder="true" applyAlignment="false" applyProtection="false">
      <alignment horizontal="general" vertical="bottom" textRotation="0" wrapText="false" indent="0" shrinkToFit="false"/>
      <protection locked="true" hidden="false"/>
    </xf>
    <xf numFmtId="165" fontId="13" fillId="0" borderId="0" xfId="0" applyFont="true" applyBorder="true" applyAlignment="true" applyProtection="false">
      <alignment horizontal="right" vertical="bottom" textRotation="0" wrapText="false" indent="0" shrinkToFit="false"/>
      <protection locked="true" hidden="false"/>
    </xf>
    <xf numFmtId="165" fontId="12" fillId="0" borderId="0" xfId="0" applyFont="true" applyBorder="tru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5" fontId="19" fillId="5" borderId="1" xfId="0" applyFont="true" applyBorder="true" applyAlignment="true" applyProtection="false">
      <alignment horizontal="left" vertical="bottom" textRotation="0" wrapText="false" indent="0" shrinkToFit="false"/>
      <protection locked="true" hidden="false"/>
    </xf>
    <xf numFmtId="165" fontId="4" fillId="3" borderId="1" xfId="0" applyFont="true" applyBorder="true" applyAlignment="true" applyProtection="false">
      <alignment horizontal="center" vertical="bottom" textRotation="0" wrapText="false" indent="0" shrinkToFit="false"/>
      <protection locked="true" hidden="false"/>
    </xf>
    <xf numFmtId="164" fontId="13" fillId="5" borderId="1" xfId="0" applyFont="true" applyBorder="true" applyAlignment="true" applyProtection="false">
      <alignment horizontal="center" vertical="bottom" textRotation="0" wrapText="false" indent="0" shrinkToFit="false"/>
      <protection locked="true" hidden="false"/>
    </xf>
    <xf numFmtId="165" fontId="0" fillId="3" borderId="1" xfId="0" applyFont="true" applyBorder="true" applyAlignment="true" applyProtection="false">
      <alignment horizontal="center" vertical="bottom" textRotation="0" wrapText="false" indent="0" shrinkToFit="false"/>
      <protection locked="true" hidden="false"/>
    </xf>
    <xf numFmtId="165" fontId="0" fillId="3" borderId="5" xfId="0" applyFont="true" applyBorder="true" applyAlignment="false" applyProtection="false">
      <alignment horizontal="general" vertical="bottom" textRotation="0" wrapText="false" indent="0" shrinkToFit="false"/>
      <protection locked="true" hidden="false"/>
    </xf>
    <xf numFmtId="165" fontId="20" fillId="0" borderId="0" xfId="0" applyFont="true" applyBorder="true" applyAlignment="true" applyProtection="false">
      <alignment horizontal="center" vertical="bottom" textRotation="0" wrapText="false" indent="0" shrinkToFit="false"/>
      <protection locked="true" hidden="false"/>
    </xf>
    <xf numFmtId="165" fontId="16" fillId="0" borderId="0" xfId="0" applyFont="true" applyBorder="true" applyAlignment="true" applyProtection="false">
      <alignment horizontal="center" vertical="bottom" textRotation="0" wrapText="false" indent="0" shrinkToFit="false"/>
      <protection locked="true" hidden="false"/>
    </xf>
    <xf numFmtId="165" fontId="13" fillId="5" borderId="6" xfId="0" applyFont="true" applyBorder="true" applyAlignment="true" applyProtection="false">
      <alignment horizontal="right" vertical="bottom" textRotation="0" wrapText="false" indent="0" shrinkToFit="false"/>
      <protection locked="true" hidden="false"/>
    </xf>
    <xf numFmtId="165" fontId="13" fillId="5" borderId="1" xfId="0" applyFont="true" applyBorder="true" applyAlignment="false" applyProtection="false">
      <alignment horizontal="general" vertical="bottom" textRotation="0" wrapText="false" indent="0" shrinkToFit="false"/>
      <protection locked="true" hidden="false"/>
    </xf>
    <xf numFmtId="165" fontId="0" fillId="5" borderId="5" xfId="0" applyFont="false" applyBorder="true" applyAlignment="false" applyProtection="false">
      <alignment horizontal="general" vertical="bottom" textRotation="0" wrapText="false" indent="0" shrinkToFit="false"/>
      <protection locked="true" hidden="false"/>
    </xf>
    <xf numFmtId="165" fontId="0" fillId="5" borderId="7" xfId="0" applyFont="false" applyBorder="true" applyAlignment="false" applyProtection="false">
      <alignment horizontal="general" vertical="bottom" textRotation="0" wrapText="false" indent="0" shrinkToFit="false"/>
      <protection locked="true" hidden="false"/>
    </xf>
    <xf numFmtId="165" fontId="0" fillId="0" borderId="0" xfId="0" applyFont="false" applyBorder="true" applyAlignment="false" applyProtection="false">
      <alignment horizontal="general" vertical="bottom" textRotation="0" wrapText="false" indent="0" shrinkToFit="false"/>
      <protection locked="true" hidden="false"/>
    </xf>
    <xf numFmtId="165" fontId="0" fillId="0" borderId="1" xfId="0" applyFont="true" applyBorder="true" applyAlignment="true" applyProtection="false">
      <alignment horizontal="general" vertical="center" textRotation="0" wrapText="true" indent="0" shrinkToFit="false"/>
      <protection locked="true" hidden="false"/>
    </xf>
    <xf numFmtId="165" fontId="12" fillId="5" borderId="1" xfId="0" applyFont="true" applyBorder="true" applyAlignment="false" applyProtection="false">
      <alignment horizontal="general" vertical="bottom" textRotation="0" wrapText="false" indent="0" shrinkToFit="false"/>
      <protection locked="true" hidden="false"/>
    </xf>
    <xf numFmtId="165" fontId="4" fillId="0" borderId="1" xfId="0" applyFont="true" applyBorder="true" applyAlignment="false" applyProtection="false">
      <alignment horizontal="general" vertical="bottom" textRotation="0" wrapText="false" indent="0" shrinkToFit="false"/>
      <protection locked="true" hidden="false"/>
    </xf>
    <xf numFmtId="165" fontId="0" fillId="10" borderId="1" xfId="0" applyFont="false" applyBorder="true" applyAlignment="false" applyProtection="false">
      <alignment horizontal="general" vertical="bottom" textRotation="0" wrapText="false" indent="0" shrinkToFit="false"/>
      <protection locked="true" hidden="false"/>
    </xf>
    <xf numFmtId="164" fontId="13" fillId="5" borderId="1" xfId="0" applyFont="true" applyBorder="true" applyAlignment="true" applyProtection="false">
      <alignment horizontal="center" vertical="center" textRotation="0" wrapText="false" indent="0" shrinkToFit="false"/>
      <protection locked="true" hidden="false"/>
    </xf>
    <xf numFmtId="165" fontId="0" fillId="0" borderId="0" xfId="0" applyFont="false" applyBorder="true" applyAlignment="true" applyProtection="false">
      <alignment horizontal="center"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6" fontId="0" fillId="3" borderId="1" xfId="0" applyFont="true" applyBorder="true" applyAlignment="true" applyProtection="false">
      <alignment horizontal="center" vertical="center" textRotation="0" wrapText="true" indent="0" shrinkToFit="false"/>
      <protection locked="true" hidden="false"/>
    </xf>
    <xf numFmtId="164" fontId="0" fillId="3" borderId="1" xfId="0" applyFont="true" applyBorder="true" applyAlignment="true" applyProtection="false">
      <alignment horizontal="center" vertical="center" textRotation="0" wrapText="true" indent="0" shrinkToFit="false"/>
      <protection locked="true" hidden="false"/>
    </xf>
    <xf numFmtId="164" fontId="0" fillId="3" borderId="2" xfId="0" applyFont="true" applyBorder="true" applyAlignment="true" applyProtection="false">
      <alignment horizontal="center" vertical="center" textRotation="0" wrapText="true" indent="0" shrinkToFit="false"/>
      <protection locked="true" hidden="false"/>
    </xf>
    <xf numFmtId="164" fontId="0" fillId="3" borderId="1" xfId="0" applyFont="true" applyBorder="true" applyAlignment="true" applyProtection="false">
      <alignment horizontal="center" vertical="center" textRotation="0" wrapText="true" indent="0" shrinkToFit="false"/>
      <protection locked="true" hidden="false"/>
    </xf>
    <xf numFmtId="166" fontId="11" fillId="11" borderId="1" xfId="0" applyFont="true" applyBorder="true" applyAlignment="true" applyProtection="false">
      <alignment horizontal="center" vertical="center" textRotation="0" wrapText="true" indent="0" shrinkToFit="false"/>
      <protection locked="true" hidden="false"/>
    </xf>
    <xf numFmtId="166" fontId="11" fillId="0" borderId="8" xfId="0" applyFont="true" applyBorder="true" applyAlignment="true" applyProtection="false">
      <alignment horizontal="center" vertical="center" textRotation="0" wrapText="true" indent="0" shrinkToFit="false"/>
      <protection locked="true" hidden="false"/>
    </xf>
    <xf numFmtId="166" fontId="11" fillId="0" borderId="9" xfId="0" applyFont="true" applyBorder="true" applyAlignment="true" applyProtection="false">
      <alignment horizontal="center" vertical="center" textRotation="0" wrapText="tru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6" borderId="12" xfId="0" applyFont="false" applyBorder="true" applyAlignment="true" applyProtection="false">
      <alignment horizontal="center" vertical="center" textRotation="0" wrapText="true" indent="0" shrinkToFit="false"/>
      <protection locked="true" hidden="false"/>
    </xf>
    <xf numFmtId="164" fontId="0" fillId="6" borderId="13" xfId="0" applyFont="false" applyBorder="true" applyAlignment="true" applyProtection="false">
      <alignment horizontal="center" vertical="center" textRotation="0" wrapText="true" indent="0" shrinkToFit="false"/>
      <protection locked="true" hidden="false"/>
    </xf>
    <xf numFmtId="164" fontId="0" fillId="6" borderId="14" xfId="0" applyFont="false" applyBorder="true" applyAlignment="true" applyProtection="false">
      <alignment horizontal="center" vertical="center" textRotation="0" wrapText="true" indent="0" shrinkToFit="false"/>
      <protection locked="true" hidden="false"/>
    </xf>
    <xf numFmtId="164" fontId="0" fillId="6" borderId="15" xfId="0" applyFont="false" applyBorder="true" applyAlignment="true" applyProtection="false">
      <alignment horizontal="center" vertical="center" textRotation="0" wrapText="true" indent="0" shrinkToFit="false"/>
      <protection locked="true" hidden="false"/>
    </xf>
    <xf numFmtId="164" fontId="0" fillId="6" borderId="8" xfId="0" applyFont="false" applyBorder="true" applyAlignment="true" applyProtection="false">
      <alignment horizontal="center" vertical="center" textRotation="0" wrapText="tru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5" fillId="11" borderId="1" xfId="0" applyFont="true" applyBorder="true" applyAlignment="true" applyProtection="false">
      <alignment horizontal="center" vertical="center" textRotation="0" wrapText="true" indent="0" shrinkToFit="false"/>
      <protection locked="true" hidden="false"/>
    </xf>
    <xf numFmtId="164" fontId="5" fillId="11" borderId="1" xfId="0" applyFont="true" applyBorder="true" applyAlignment="true" applyProtection="false">
      <alignment horizontal="center" vertical="center" textRotation="0" wrapText="false" indent="0" shrinkToFit="false"/>
      <protection locked="true" hidden="false"/>
    </xf>
    <xf numFmtId="164" fontId="5" fillId="11" borderId="1" xfId="0" applyFont="true" applyBorder="true" applyAlignment="true" applyProtection="false">
      <alignment horizontal="center" vertical="center" textRotation="0" wrapText="false" indent="0" shrinkToFit="false"/>
      <protection locked="true" hidden="false"/>
    </xf>
    <xf numFmtId="164" fontId="5" fillId="12" borderId="1" xfId="0" applyFont="true" applyBorder="true" applyAlignment="true" applyProtection="false">
      <alignment horizontal="center" vertical="center" textRotation="0" wrapText="true" indent="0" shrinkToFit="false"/>
      <protection locked="true" hidden="false"/>
    </xf>
    <xf numFmtId="164" fontId="5" fillId="12" borderId="1" xfId="0" applyFont="true" applyBorder="true" applyAlignment="true" applyProtection="false">
      <alignment horizontal="center" vertical="center" textRotation="0" wrapText="false" indent="0" shrinkToFit="false"/>
      <protection locked="true" hidden="false"/>
    </xf>
    <xf numFmtId="164" fontId="5" fillId="12" borderId="1"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center"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1" fillId="2" borderId="2"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0" fillId="3" borderId="5" xfId="0" applyFont="true" applyBorder="true" applyAlignment="true" applyProtection="false">
      <alignment horizontal="center" vertical="center" textRotation="0" wrapText="tru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5" borderId="3"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ont>
        <name val="Calibri"/>
        <family val="2"/>
        <color rgb="FF000000"/>
        <sz val="11"/>
      </font>
      <fill>
        <patternFill>
          <bgColor rgb="FFFF0000"/>
        </patternFill>
      </fill>
    </dxf>
    <dxf>
      <font>
        <name val="Calibri"/>
        <family val="2"/>
        <color rgb="FF000000"/>
        <sz val="11"/>
      </font>
      <fill>
        <patternFill>
          <bgColor rgb="FF008000"/>
        </patternFill>
      </fill>
    </dxf>
    <dxf>
      <font>
        <name val="Calibri"/>
        <family val="2"/>
        <color rgb="FF000000"/>
        <sz val="11"/>
      </font>
      <fill>
        <patternFill>
          <bgColor rgb="FFFF0000"/>
        </patternFill>
      </fill>
    </dxf>
    <dxf>
      <font>
        <name val="Calibri"/>
        <family val="2"/>
        <color rgb="FF000000"/>
        <sz val="11"/>
      </font>
      <fill>
        <patternFill>
          <bgColor rgb="FF008000"/>
        </patternFill>
      </fill>
    </dxf>
    <dxf>
      <font>
        <name val="Calibri"/>
        <family val="2"/>
        <b val="1"/>
        <i val="0"/>
        <color rgb="FF000000"/>
        <sz val="11"/>
      </font>
      <fill>
        <patternFill>
          <bgColor rgb="FFFF0000"/>
        </patternFill>
      </fill>
    </dxf>
    <dxf>
      <font>
        <name val="Calibri"/>
        <family val="2"/>
        <b val="1"/>
        <i val="0"/>
        <color rgb="FFFFFFFF"/>
        <sz val="11"/>
      </font>
      <fill>
        <patternFill>
          <bgColor rgb="FF008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111960</xdr:colOff>
      <xdr:row>14</xdr:row>
      <xdr:rowOff>381960</xdr:rowOff>
    </xdr:from>
    <xdr:to>
      <xdr:col>10</xdr:col>
      <xdr:colOff>897120</xdr:colOff>
      <xdr:row>18</xdr:row>
      <xdr:rowOff>171720</xdr:rowOff>
    </xdr:to>
    <xdr:sp>
      <xdr:nvSpPr>
        <xdr:cNvPr id="1" name="TextBox 1"/>
        <xdr:cNvSpPr/>
      </xdr:nvSpPr>
      <xdr:spPr>
        <a:xfrm>
          <a:off x="17455680" y="5115960"/>
          <a:ext cx="6069600" cy="2009160"/>
        </a:xfrm>
        <a:prstGeom prst="rect">
          <a:avLst/>
        </a:prstGeom>
        <a:solidFill>
          <a:srgbClr val="bfbfbf"/>
        </a:solidFill>
        <a:ln w="9360">
          <a:solidFill>
            <a:srgbClr val="bcbcbc"/>
          </a:solidFill>
          <a:miter/>
        </a:ln>
      </xdr:spPr>
      <xdr:style>
        <a:lnRef idx="0"/>
        <a:fillRef idx="0"/>
        <a:effectRef idx="0"/>
        <a:fontRef idx="minor"/>
      </xdr:style>
      <xdr:txBody>
        <a:bodyPr lIns="27360" rIns="0" tIns="22680" bIns="0" anchor="t">
          <a:noAutofit/>
        </a:bodyPr>
        <a:p>
          <a:r>
            <a:rPr lang="en-US" sz="1100" b="1" u="none" strike="noStrike">
              <a:solidFill>
                <a:srgbClr val="000000"/>
              </a:solidFill>
              <a:effectLst/>
              <a:uFillTx/>
              <a:latin typeface="Times New Roman"/>
            </a:rPr>
            <a:t>If the user does not wish to makle a simulation run with winds, input none in cell G14, input TRUE if the simulation run uses the In-Plane wind profile and FALSE if the cross plane wind profile is used.</a:t>
          </a:r>
          <a:endParaRPr lang="en-US" sz="1100" b="0" u="none" strike="noStrike">
            <a:effectLst/>
            <a:uFillTx/>
            <a:latin typeface="Times New Roman"/>
          </a:endParaRPr>
        </a:p>
        <a:p>
          <a:r>
            <a:rPr lang="en-US" sz="1100" b="1" u="none" strike="noStrike">
              <a:solidFill>
                <a:srgbClr val="000000"/>
              </a:solidFill>
              <a:effectLst/>
              <a:uFillTx/>
              <a:latin typeface="Times New Roman"/>
            </a:rPr>
            <a:t>User inputs the measured wind data points at cells M21:N62. Keep column M cells empty (blank) above the cell with the highest measured wind. Also do not skip a cell when inputing or the program will think there is no more data.</a:t>
          </a:r>
          <a:endParaRPr lang="en-US" sz="1100" b="0" u="none" strike="noStrike">
            <a:effectLst/>
            <a:uFillTx/>
            <a:latin typeface="Times New Roman"/>
          </a:endParaRPr>
        </a:p>
        <a:p>
          <a:endParaRPr lang="en-US" sz="1100" b="0" u="none" strike="noStrike">
            <a:effectLst/>
            <a:uFillTx/>
            <a:latin typeface="Times New Roman"/>
          </a:endParaRPr>
        </a:p>
        <a:p>
          <a:r>
            <a:rPr lang="en-US" sz="1100" b="1" u="none" strike="noStrike">
              <a:solidFill>
                <a:srgbClr val="003366"/>
              </a:solidFill>
              <a:effectLst/>
              <a:uFillTx/>
              <a:latin typeface="Times New Roman"/>
            </a:rPr>
            <a:t>Note: For all tables in this program, it is not necessary to fill in every blue-colored cell. It is enough to simply enter all the data available. Just make sure the data entered covers all the expected ranges.  If code looks for data at Mach = 2 and the data input only covers up to 1.5, then Excel will return a run time error.</a:t>
          </a:r>
          <a:endParaRPr lang="en-US" sz="1100" b="0" u="none" strike="noStrike">
            <a:effectLst/>
            <a:uFillTx/>
            <a:latin typeface="Times New Roman"/>
          </a:endParaRPr>
        </a:p>
      </xdr:txBody>
    </xdr:sp>
    <xdr:clientData/>
  </xdr:twoCellAnchor>
  <xdr:twoCellAnchor editAs="oneCell">
    <xdr:from>
      <xdr:col>6</xdr:col>
      <xdr:colOff>262080</xdr:colOff>
      <xdr:row>73</xdr:row>
      <xdr:rowOff>95040</xdr:rowOff>
    </xdr:from>
    <xdr:to>
      <xdr:col>9</xdr:col>
      <xdr:colOff>726840</xdr:colOff>
      <xdr:row>88</xdr:row>
      <xdr:rowOff>9720</xdr:rowOff>
    </xdr:to>
    <xdr:sp>
      <xdr:nvSpPr>
        <xdr:cNvPr id="2" name="TextBox 2"/>
        <xdr:cNvSpPr/>
      </xdr:nvSpPr>
      <xdr:spPr>
        <a:xfrm>
          <a:off x="15874920" y="18421200"/>
          <a:ext cx="6000480" cy="2810160"/>
        </a:xfrm>
        <a:prstGeom prst="rect">
          <a:avLst/>
        </a:prstGeom>
        <a:solidFill>
          <a:srgbClr val="bfbfbf"/>
        </a:solidFill>
        <a:ln w="9360">
          <a:solidFill>
            <a:srgbClr val="bcbcbc"/>
          </a:solidFill>
          <a:miter/>
        </a:ln>
      </xdr:spPr>
      <xdr:style>
        <a:lnRef idx="0"/>
        <a:fillRef idx="0"/>
        <a:effectRef idx="0"/>
        <a:fontRef idx="minor"/>
      </xdr:style>
      <xdr:txBody>
        <a:bodyPr lIns="27360" rIns="0" tIns="22680" bIns="0" anchor="t">
          <a:noAutofit/>
        </a:bodyPr>
        <a:p>
          <a:r>
            <a:rPr lang="en-US" sz="1100" b="1" u="none" strike="noStrike">
              <a:solidFill>
                <a:srgbClr val="000000"/>
              </a:solidFill>
              <a:effectLst/>
              <a:uFillTx/>
              <a:latin typeface="Times New Roman"/>
            </a:rPr>
            <a:t>- The input table to the left controls the number of stages the trajectory will simulate. There is a maximum of 3 stages allowed.</a:t>
          </a:r>
          <a:endParaRPr lang="en-US" sz="1100" b="0" u="none" strike="noStrike">
            <a:effectLst/>
            <a:uFillTx/>
            <a:latin typeface="Times New Roman"/>
          </a:endParaRPr>
        </a:p>
        <a:p>
          <a:r>
            <a:rPr lang="en-US" sz="1100" b="1" u="none" strike="noStrike">
              <a:solidFill>
                <a:srgbClr val="000000"/>
              </a:solidFill>
              <a:effectLst/>
              <a:uFillTx/>
              <a:latin typeface="Times New Roman"/>
            </a:rPr>
            <a:t>- The first stage can either be a rocket launched from a launch rail, or by assuming it is dropped off from an aircraft . </a:t>
          </a:r>
          <a:endParaRPr lang="en-US" sz="1100" b="0" u="none" strike="noStrike">
            <a:effectLst/>
            <a:uFillTx/>
            <a:latin typeface="Times New Roman"/>
          </a:endParaRPr>
        </a:p>
        <a:p>
          <a:r>
            <a:rPr lang="en-US" sz="1100" b="1" u="none" strike="noStrike">
              <a:solidFill>
                <a:srgbClr val="000000"/>
              </a:solidFill>
              <a:effectLst/>
              <a:uFillTx/>
              <a:latin typeface="Times New Roman"/>
            </a:rPr>
            <a:t>- If the launcher rail option is used simply type "TRUE" in cell "b84". If aircraft drop option is desired then type "TRUE" in cell "b82". Otherwise, the option not selected must read "FALSE." Cell "b85:b86" must always read TRUE if rocket has a 1 stage, regardless of initial launch option.</a:t>
          </a:r>
          <a:endParaRPr lang="en-US" sz="1100" b="0" u="none" strike="noStrike">
            <a:effectLst/>
            <a:uFillTx/>
            <a:latin typeface="Times New Roman"/>
          </a:endParaRPr>
        </a:p>
        <a:p>
          <a:r>
            <a:rPr lang="en-US" sz="1100" b="1" u="none" strike="noStrike">
              <a:solidFill>
                <a:srgbClr val="000000"/>
              </a:solidFill>
              <a:effectLst/>
              <a:uFillTx/>
              <a:latin typeface="Times New Roman"/>
            </a:rPr>
            <a:t>- For every phase desired, both options must read "TRUE", even if coasting phase will be 0 seconds due to immediate firing by the next stage. </a:t>
          </a:r>
          <a:endParaRPr lang="en-US" sz="1100" b="0" u="none" strike="noStrike">
            <a:effectLst/>
            <a:uFillTx/>
            <a:latin typeface="Times New Roman"/>
          </a:endParaRPr>
        </a:p>
        <a:p>
          <a:r>
            <a:rPr lang="en-US" sz="1100" b="1" u="none" strike="noStrike">
              <a:solidFill>
                <a:srgbClr val="000000"/>
              </a:solidFill>
              <a:effectLst/>
              <a:uFillTx/>
              <a:latin typeface="Times New Roman"/>
            </a:rPr>
            <a:t>- If rocket has a drogue chute and main chute, cells "b93"b94" must read TRUE. Otherwise type TRUE only for the type of parachute that will be present.</a:t>
          </a:r>
          <a:endParaRPr lang="en-US" sz="1100" b="0" u="none" strike="noStrike">
            <a:effectLst/>
            <a:uFillTx/>
            <a:latin typeface="Times New Roman"/>
          </a:endParaRPr>
        </a:p>
        <a:p>
          <a:r>
            <a:rPr lang="en-US" sz="1100" b="1" u="none" strike="noStrike">
              <a:solidFill>
                <a:srgbClr val="000000"/>
              </a:solidFill>
              <a:effectLst/>
              <a:uFillTx/>
              <a:latin typeface="Times New Roman"/>
            </a:rPr>
            <a:t>- The final phase that will be terminated by impact on the ground should have an phase duration of 9999.0 seconds.  Actual impact will, of course, occur much earlier, but this ensures that the simulation run does not stop itsself prior to impact. </a:t>
          </a:r>
          <a:endParaRPr lang="en-US" sz="1100" b="0" u="none" strike="noStrike">
            <a:effectLst/>
            <a:uFillTx/>
            <a:latin typeface="Times New Roman"/>
          </a:endParaRPr>
        </a:p>
      </xdr:txBody>
    </xdr:sp>
    <xdr:clientData/>
  </xdr:twoCellAnchor>
  <xdr:twoCellAnchor editAs="oneCell">
    <xdr:from>
      <xdr:col>7</xdr:col>
      <xdr:colOff>41040</xdr:colOff>
      <xdr:row>99</xdr:row>
      <xdr:rowOff>66960</xdr:rowOff>
    </xdr:from>
    <xdr:to>
      <xdr:col>11</xdr:col>
      <xdr:colOff>10800</xdr:colOff>
      <xdr:row>103</xdr:row>
      <xdr:rowOff>200160</xdr:rowOff>
    </xdr:to>
    <xdr:sp>
      <xdr:nvSpPr>
        <xdr:cNvPr id="3" name="TextBox 3"/>
        <xdr:cNvSpPr/>
      </xdr:nvSpPr>
      <xdr:spPr>
        <a:xfrm>
          <a:off x="17384760" y="23365080"/>
          <a:ext cx="6361200" cy="971280"/>
        </a:xfrm>
        <a:prstGeom prst="rect">
          <a:avLst/>
        </a:prstGeom>
        <a:solidFill>
          <a:srgbClr val="bfbfbf"/>
        </a:solidFill>
        <a:ln w="9360">
          <a:solidFill>
            <a:srgbClr val="bcbcbc"/>
          </a:solidFill>
          <a:miter/>
        </a:ln>
      </xdr:spPr>
      <xdr:style>
        <a:lnRef idx="0"/>
        <a:fillRef idx="0"/>
        <a:effectRef idx="0"/>
        <a:fontRef idx="minor"/>
      </xdr:style>
      <xdr:txBody>
        <a:bodyPr lIns="90000" rIns="90000" tIns="46800" bIns="46800" anchor="t">
          <a:noAutofit/>
        </a:bodyPr>
        <a:p>
          <a:r>
            <a:rPr lang="en-US" sz="1100" b="1" u="none" strike="noStrike">
              <a:solidFill>
                <a:srgbClr val="000000"/>
              </a:solidFill>
              <a:effectLst/>
              <a:uFillTx/>
              <a:latin typeface="Times New Roman"/>
            </a:rPr>
            <a:t>Cells " a101:f107"  require inputs of the parachutes used. This includes the parachute used when the aircraft drop is desired. It is assumed that rocket is dropped and at some time a drogue chute deploys prior to motor firing. Values to be input are the diameters, deployment times, drag coefficients and reference areas for the drag calculation. Cell "b103" is the time that it takes for the prachutes to become fully deployed. </a:t>
          </a:r>
          <a:endParaRPr lang="en-US" sz="1100" b="0" u="none" strike="noStrike">
            <a:effectLst/>
            <a:uFillTx/>
            <a:latin typeface="Times New Roman"/>
          </a:endParaRPr>
        </a:p>
      </xdr:txBody>
    </xdr:sp>
    <xdr:clientData/>
  </xdr:twoCellAnchor>
  <xdr:twoCellAnchor editAs="oneCell">
    <xdr:from>
      <xdr:col>6</xdr:col>
      <xdr:colOff>119880</xdr:colOff>
      <xdr:row>89</xdr:row>
      <xdr:rowOff>9720</xdr:rowOff>
    </xdr:from>
    <xdr:to>
      <xdr:col>12</xdr:col>
      <xdr:colOff>654840</xdr:colOff>
      <xdr:row>98</xdr:row>
      <xdr:rowOff>57240</xdr:rowOff>
    </xdr:to>
    <xdr:sp>
      <xdr:nvSpPr>
        <xdr:cNvPr id="4" name="TextBox 4"/>
        <xdr:cNvSpPr/>
      </xdr:nvSpPr>
      <xdr:spPr>
        <a:xfrm>
          <a:off x="15732720" y="21421800"/>
          <a:ext cx="9794520" cy="1743120"/>
        </a:xfrm>
        <a:prstGeom prst="rect">
          <a:avLst/>
        </a:prstGeom>
        <a:solidFill>
          <a:srgbClr val="bfbfbf"/>
        </a:solidFill>
        <a:ln w="9360">
          <a:solidFill>
            <a:srgbClr val="bcbcbc"/>
          </a:solidFill>
          <a:miter/>
        </a:ln>
      </xdr:spPr>
      <xdr:style>
        <a:lnRef idx="0"/>
        <a:fillRef idx="0"/>
        <a:effectRef idx="0"/>
        <a:fontRef idx="minor"/>
      </xdr:style>
      <xdr:txBody>
        <a:bodyPr lIns="90000" rIns="90000" tIns="46800" bIns="46800" anchor="t">
          <a:noAutofit/>
        </a:bodyPr>
        <a:p>
          <a:r>
            <a:rPr lang="en-US" sz="1100" b="1" u="none" strike="noStrike">
              <a:solidFill>
                <a:srgbClr val="000000"/>
              </a:solidFill>
              <a:effectLst/>
              <a:uFillTx/>
              <a:latin typeface="Times New Roman"/>
            </a:rPr>
            <a:t>In the following tables, mass, thrust, and drag coefficients will be input for all stages simulated. </a:t>
          </a:r>
          <a:endParaRPr lang="en-US" sz="1100" b="0" u="none" strike="noStrike">
            <a:effectLst/>
            <a:uFillTx/>
            <a:latin typeface="Times New Roman"/>
          </a:endParaRPr>
        </a:p>
        <a:p>
          <a:r>
            <a:rPr lang="en-US" sz="1100" b="1" u="none" strike="noStrike">
              <a:solidFill>
                <a:srgbClr val="000000"/>
              </a:solidFill>
              <a:effectLst/>
              <a:uFillTx/>
              <a:latin typeface="Times New Roman"/>
            </a:rPr>
            <a:t>For mass purposes, each stage is assumed to be each section of the rocket that would be considered an independent stage. For instance, if two stages are being simulated, the first stage data does not include the payload if its being catrried in the second stage. Also, propellant, and structure weight is only for the 1st stage that will be ejected prior to beginning of 2 stage.  The delay time refers to the time that must pass after previous stage motor burns out before firing the next stage motor.</a:t>
          </a:r>
          <a:endParaRPr lang="en-US" sz="1100" b="0" u="none" strike="noStrike">
            <a:effectLst/>
            <a:uFillTx/>
            <a:latin typeface="Times New Roman"/>
          </a:endParaRPr>
        </a:p>
        <a:p>
          <a:r>
            <a:rPr lang="en-US" sz="1100" b="1" u="none" strike="noStrike">
              <a:solidFill>
                <a:srgbClr val="000000"/>
              </a:solidFill>
              <a:effectLst/>
              <a:uFillTx/>
              <a:latin typeface="Times New Roman"/>
            </a:rPr>
            <a:t>For drag coefficient values however, each stage is assumed to be the entire body flying at the time. If a 2 stage rocket happens to be flying during its first stage, the drag would include both stages . Reference area is the biggest cross section of the entire body during each stage.</a:t>
          </a:r>
          <a:endParaRPr lang="en-US" sz="1100" b="0" u="none" strike="noStrike">
            <a:effectLst/>
            <a:uFillTx/>
            <a:latin typeface="Times New Roman"/>
          </a:endParaRPr>
        </a:p>
        <a:p>
          <a:r>
            <a:rPr lang="en-US" sz="1100" b="1" u="none" strike="noStrike">
              <a:solidFill>
                <a:srgbClr val="000000"/>
              </a:solidFill>
              <a:effectLst/>
              <a:uFillTx/>
              <a:latin typeface="Times New Roman"/>
            </a:rPr>
            <a:t>At the end of each thrust table, make sure to enter the nozzle exit area of the motor. If the stage happens to be a dart, simply type 0 for thrust, and ignore the nozzle exit area. A dummy value of 1 will appear  in the vacuum ISP cell. This is done to avoid division by zero in the mass flow rate computation.</a:t>
          </a:r>
          <a:endParaRPr lang="en-US" sz="1100" b="0" u="none" strike="noStrike">
            <a:effectLst/>
            <a:uFillTx/>
            <a:latin typeface="Times New Roman"/>
          </a:endParaRPr>
        </a:p>
      </xdr:txBody>
    </xdr:sp>
    <xdr:clientData/>
  </xdr:twoCellAnchor>
  <xdr:twoCellAnchor editAs="oneCell">
    <xdr:from>
      <xdr:col>0</xdr:col>
      <xdr:colOff>140760</xdr:colOff>
      <xdr:row>0</xdr:row>
      <xdr:rowOff>57240</xdr:rowOff>
    </xdr:from>
    <xdr:to>
      <xdr:col>8</xdr:col>
      <xdr:colOff>11520</xdr:colOff>
      <xdr:row>2</xdr:row>
      <xdr:rowOff>9720</xdr:rowOff>
    </xdr:to>
    <xdr:sp>
      <xdr:nvSpPr>
        <xdr:cNvPr id="5" name="TextBox 5"/>
        <xdr:cNvSpPr/>
      </xdr:nvSpPr>
      <xdr:spPr>
        <a:xfrm>
          <a:off x="140760" y="57240"/>
          <a:ext cx="19550160" cy="333360"/>
        </a:xfrm>
        <a:prstGeom prst="rect">
          <a:avLst/>
        </a:prstGeom>
        <a:solidFill>
          <a:srgbClr val="bfbfbf"/>
        </a:solidFill>
        <a:ln w="9360">
          <a:solidFill>
            <a:srgbClr val="bcbcbc"/>
          </a:solidFill>
          <a:miter/>
        </a:ln>
      </xdr:spPr>
      <xdr:style>
        <a:lnRef idx="0"/>
        <a:fillRef idx="0"/>
        <a:effectRef idx="0"/>
        <a:fontRef idx="minor"/>
      </xdr:style>
      <xdr:txBody>
        <a:bodyPr lIns="90000" rIns="90000" tIns="46800" bIns="46800" anchor="t">
          <a:noAutofit/>
        </a:bodyPr>
        <a:p>
          <a:r>
            <a:rPr lang="en-US" sz="1200" b="1" u="none" strike="noStrike">
              <a:solidFill>
                <a:srgbClr val="000000"/>
              </a:solidFill>
              <a:effectLst/>
              <a:uFillTx/>
              <a:latin typeface="Times New Roman"/>
            </a:rPr>
            <a:t>To use this program, please fill in every approrpriate blue-colored cell. Scroll all the way down and click" run simulation button.".  Once simulation ends, you can find all the data in the page tab named "Solution</a:t>
          </a:r>
          <a:r>
            <a:rPr lang="en-US" sz="1100" b="1" u="none" strike="noStrike">
              <a:solidFill>
                <a:srgbClr val="000000"/>
              </a:solidFill>
              <a:effectLst/>
              <a:uFillTx/>
              <a:latin typeface="Calibri"/>
            </a:rPr>
            <a:t>". </a:t>
          </a:r>
          <a:endParaRPr lang="en-US" sz="1100" b="0" u="none" strike="noStrike">
            <a:effectLst/>
            <a:uFillTx/>
            <a:latin typeface="Times New Roman"/>
          </a:endParaRPr>
        </a:p>
      </xdr:txBody>
    </xdr:sp>
    <xdr:clientData/>
  </xdr:twoCellAnchor>
  <xdr:twoCellAnchor editAs="oneCell">
    <xdr:from>
      <xdr:col>3</xdr:col>
      <xdr:colOff>2426040</xdr:colOff>
      <xdr:row>14</xdr:row>
      <xdr:rowOff>9360</xdr:rowOff>
    </xdr:from>
    <xdr:to>
      <xdr:col>4</xdr:col>
      <xdr:colOff>275760</xdr:colOff>
      <xdr:row>14</xdr:row>
      <xdr:rowOff>562320</xdr:rowOff>
    </xdr:to>
    <xdr:sp>
      <xdr:nvSpPr>
        <xdr:cNvPr id="6" name="Text Box 980"/>
        <xdr:cNvSpPr/>
      </xdr:nvSpPr>
      <xdr:spPr>
        <a:xfrm>
          <a:off x="10086120" y="4743360"/>
          <a:ext cx="637920" cy="552960"/>
        </a:xfrm>
        <a:prstGeom prst="rect">
          <a:avLst/>
        </a:prstGeom>
        <a:noFill/>
        <a:ln w="0">
          <a:noFill/>
        </a:ln>
      </xdr:spPr>
      <xdr:style>
        <a:lnRef idx="0"/>
        <a:fillRef idx="0"/>
        <a:effectRef idx="0"/>
        <a:fontRef idx="minor"/>
      </xdr:style>
      <xdr:txBody>
        <a:bodyPr lIns="90000" rIns="90000" tIns="46800" bIns="46800" anchor="t">
          <a:noAutofit/>
        </a:bodyPr>
        <a:p>
          <a:endParaRPr lang="en-US" sz="1400" b="0" u="none" strike="noStrike">
            <a:effectLst/>
            <a:uFillTx/>
            <a:latin typeface="Times New Roman"/>
          </a:endParaRPr>
        </a:p>
        <a:p>
          <a:endParaRPr lang="en-US" sz="1400" b="0" u="none" strike="noStrike">
            <a:effectLst/>
            <a:uFillTx/>
            <a:latin typeface="Times New Roman"/>
          </a:endParaRPr>
        </a:p>
      </xdr:txBody>
    </xdr:sp>
    <xdr:clientData/>
  </xdr:twoCellAnchor>
  <xdr:twoCellAnchor editAs="oneCell">
    <xdr:from>
      <xdr:col>4</xdr:col>
      <xdr:colOff>0</xdr:colOff>
      <xdr:row>14</xdr:row>
      <xdr:rowOff>295200</xdr:rowOff>
    </xdr:from>
    <xdr:to>
      <xdr:col>4</xdr:col>
      <xdr:colOff>859680</xdr:colOff>
      <xdr:row>16</xdr:row>
      <xdr:rowOff>57240</xdr:rowOff>
    </xdr:to>
    <xdr:sp>
      <xdr:nvSpPr>
        <xdr:cNvPr id="7" name="Text Box 981"/>
        <xdr:cNvSpPr/>
      </xdr:nvSpPr>
      <xdr:spPr>
        <a:xfrm rot="1009800">
          <a:off x="10447920" y="5029200"/>
          <a:ext cx="859680" cy="781200"/>
        </a:xfrm>
        <a:prstGeom prst="rect">
          <a:avLst/>
        </a:prstGeom>
        <a:noFill/>
        <a:ln w="0">
          <a:noFill/>
        </a:ln>
      </xdr:spPr>
      <xdr:style>
        <a:lnRef idx="0"/>
        <a:fillRef idx="0"/>
        <a:effectRef idx="0"/>
        <a:fontRef idx="minor"/>
      </xdr:style>
      <xdr:txBody>
        <a:bodyPr lIns="90000" rIns="90000" tIns="46800" bIns="46800" anchor="t" rot="1009800">
          <a:noAutofit/>
        </a:bodyPr>
        <a:p>
          <a:endParaRPr lang="en-US" sz="1400" b="0" u="none" strike="noStrike">
            <a:effectLst/>
            <a:uFillTx/>
            <a:latin typeface="Times New Roman"/>
          </a:endParaRPr>
        </a:p>
        <a:p>
          <a:endParaRPr lang="en-US" sz="1400" b="0" u="none" strike="noStrike">
            <a:effectLst/>
            <a:uFillTx/>
            <a:latin typeface="Times New Roman"/>
          </a:endParaRPr>
        </a:p>
      </xdr:txBody>
    </xdr:sp>
    <xdr:clientData/>
  </xdr:twoCellAnchor>
  <xdr:twoCellAnchor editAs="oneCell">
    <xdr:from>
      <xdr:col>4</xdr:col>
      <xdr:colOff>704160</xdr:colOff>
      <xdr:row>14</xdr:row>
      <xdr:rowOff>133560</xdr:rowOff>
    </xdr:from>
    <xdr:to>
      <xdr:col>4</xdr:col>
      <xdr:colOff>1401480</xdr:colOff>
      <xdr:row>15</xdr:row>
      <xdr:rowOff>181440</xdr:rowOff>
    </xdr:to>
    <xdr:sp>
      <xdr:nvSpPr>
        <xdr:cNvPr id="8" name="Text Box 982"/>
        <xdr:cNvSpPr/>
      </xdr:nvSpPr>
      <xdr:spPr>
        <a:xfrm rot="18262800">
          <a:off x="11176920" y="4842720"/>
          <a:ext cx="648000" cy="697320"/>
        </a:xfrm>
        <a:prstGeom prst="rect">
          <a:avLst/>
        </a:prstGeom>
        <a:noFill/>
        <a:ln w="0">
          <a:noFill/>
        </a:ln>
      </xdr:spPr>
      <xdr:style>
        <a:lnRef idx="0"/>
        <a:fillRef idx="0"/>
        <a:effectRef idx="0"/>
        <a:fontRef idx="minor"/>
      </xdr:style>
      <xdr:txBody>
        <a:bodyPr lIns="90000" rIns="90000" tIns="46800" bIns="46800" anchor="t" rot="-3337200">
          <a:noAutofit/>
        </a:bodyPr>
        <a:p>
          <a:r>
            <a:rPr lang="en-US" sz="1400" b="0" u="none" strike="noStrike">
              <a:solidFill>
                <a:srgbClr val="000000"/>
              </a:solidFill>
              <a:effectLst/>
              <a:uFillTx/>
              <a:latin typeface="Arial"/>
            </a:rPr>
            <a:t> </a:t>
          </a:r>
          <a:endParaRPr lang="en-US" sz="1400" b="0" u="none" strike="noStrike">
            <a:effectLst/>
            <a:uFillTx/>
            <a:latin typeface="Times New Roman"/>
          </a:endParaRPr>
        </a:p>
        <a:p>
          <a:endParaRPr lang="en-US" sz="1400" b="0" u="none" strike="noStrike">
            <a:effectLst/>
            <a:uFillTx/>
            <a:latin typeface="Times New Roman"/>
          </a:endParaRPr>
        </a:p>
      </xdr:txBody>
    </xdr:sp>
    <xdr:clientData/>
  </xdr:twoCellAnchor>
  <xdr:twoCellAnchor editAs="oneCell">
    <xdr:from>
      <xdr:col>2</xdr:col>
      <xdr:colOff>2023920</xdr:colOff>
      <xdr:row>12</xdr:row>
      <xdr:rowOff>218880</xdr:rowOff>
    </xdr:from>
    <xdr:to>
      <xdr:col>4</xdr:col>
      <xdr:colOff>2555280</xdr:colOff>
      <xdr:row>18</xdr:row>
      <xdr:rowOff>28800</xdr:rowOff>
    </xdr:to>
    <xdr:grpSp>
      <xdr:nvGrpSpPr>
        <xdr:cNvPr id="9" name="Group 25"/>
        <xdr:cNvGrpSpPr/>
      </xdr:nvGrpSpPr>
      <xdr:grpSpPr>
        <a:xfrm>
          <a:off x="7328880" y="4000320"/>
          <a:ext cx="5674680" cy="2981880"/>
          <a:chOff x="7328880" y="4000320"/>
          <a:chExt cx="5674680" cy="2981880"/>
        </a:xfrm>
      </xdr:grpSpPr>
      <xdr:sp>
        <xdr:nvSpPr>
          <xdr:cNvPr id="10" name="TextBox 8"/>
          <xdr:cNvSpPr/>
        </xdr:nvSpPr>
        <xdr:spPr>
          <a:xfrm>
            <a:off x="7328880" y="6620400"/>
            <a:ext cx="5186880" cy="361800"/>
          </a:xfrm>
          <a:prstGeom prst="rect">
            <a:avLst/>
          </a:prstGeom>
          <a:solidFill>
            <a:srgbClr val="ffffff"/>
          </a:solidFill>
          <a:ln w="0">
            <a:noFill/>
          </a:ln>
        </xdr:spPr>
        <xdr:style>
          <a:lnRef idx="0"/>
          <a:fillRef idx="0"/>
          <a:effectRef idx="0"/>
          <a:fontRef idx="minor"/>
        </xdr:style>
        <xdr:txBody>
          <a:bodyPr lIns="36360" rIns="36360" tIns="36360" bIns="0" anchor="t">
            <a:noAutofit/>
          </a:bodyPr>
          <a:p>
            <a:pPr algn="ctr"/>
            <a:r>
              <a:rPr lang="en-US" sz="1600" b="0" u="none" strike="noStrike">
                <a:solidFill>
                  <a:srgbClr val="000000"/>
                </a:solidFill>
                <a:effectLst/>
                <a:uFillTx/>
                <a:latin typeface="Calibri"/>
              </a:rPr>
              <a:t>Wind and Trajectory Azimuth Angles Sign Convention</a:t>
            </a:r>
            <a:endParaRPr lang="en-US" sz="1600" b="0" u="none" strike="noStrike">
              <a:effectLst/>
              <a:uFillTx/>
              <a:latin typeface="Times New Roman"/>
            </a:endParaRPr>
          </a:p>
        </xdr:txBody>
      </xdr:sp>
      <xdr:sp>
        <xdr:nvSpPr>
          <xdr:cNvPr id="11" name="Text Box 986"/>
          <xdr:cNvSpPr/>
        </xdr:nvSpPr>
        <xdr:spPr>
          <a:xfrm>
            <a:off x="7891920" y="4401000"/>
            <a:ext cx="615600" cy="491400"/>
          </a:xfrm>
          <a:prstGeom prst="rect">
            <a:avLst/>
          </a:prstGeom>
          <a:noFill/>
          <a:ln w="0">
            <a:noFill/>
          </a:ln>
        </xdr:spPr>
        <xdr:style>
          <a:lnRef idx="0"/>
          <a:fillRef idx="0"/>
          <a:effectRef idx="0"/>
          <a:fontRef idx="minor"/>
        </xdr:style>
        <xdr:txBody>
          <a:bodyPr wrap="none" lIns="90000" rIns="90000" tIns="46800" bIns="46800" anchor="t">
            <a:spAutoFit/>
          </a:bodyPr>
          <a:p>
            <a:r>
              <a:rPr lang="en-US" sz="1400" b="0" u="none" strike="noStrike">
                <a:solidFill>
                  <a:srgbClr val="000000"/>
                </a:solidFill>
                <a:effectLst/>
                <a:uFillTx/>
                <a:latin typeface="Arial"/>
              </a:rPr>
              <a:t>North</a:t>
            </a:r>
            <a:endParaRPr lang="en-US" sz="1400" b="0" u="none" strike="noStrike">
              <a:effectLst/>
              <a:uFillTx/>
              <a:latin typeface="Times New Roman"/>
            </a:endParaRPr>
          </a:p>
          <a:p>
            <a:endParaRPr lang="en-US" sz="1400" b="0" u="none" strike="noStrike">
              <a:effectLst/>
              <a:uFillTx/>
              <a:latin typeface="Times New Roman"/>
            </a:endParaRPr>
          </a:p>
        </xdr:txBody>
      </xdr:sp>
      <xdr:sp>
        <xdr:nvSpPr>
          <xdr:cNvPr id="12" name="Text Box 987"/>
          <xdr:cNvSpPr/>
        </xdr:nvSpPr>
        <xdr:spPr>
          <a:xfrm rot="1009800">
            <a:off x="8158320" y="5087880"/>
            <a:ext cx="966240" cy="491400"/>
          </a:xfrm>
          <a:prstGeom prst="rect">
            <a:avLst/>
          </a:prstGeom>
          <a:noFill/>
          <a:ln w="0">
            <a:noFill/>
          </a:ln>
        </xdr:spPr>
        <xdr:style>
          <a:lnRef idx="0"/>
          <a:fillRef idx="0"/>
          <a:effectRef idx="0"/>
          <a:fontRef idx="minor"/>
        </xdr:style>
        <xdr:txBody>
          <a:bodyPr wrap="none" lIns="90000" rIns="90000" tIns="46800" bIns="46800" anchor="t" rot="1009800">
            <a:spAutoFit/>
          </a:bodyPr>
          <a:p>
            <a:r>
              <a:rPr lang="en-US" sz="1400" b="0" u="none" strike="noStrike">
                <a:solidFill>
                  <a:srgbClr val="000000"/>
                </a:solidFill>
                <a:effectLst/>
                <a:uFillTx/>
                <a:latin typeface="Arial"/>
              </a:rPr>
              <a:t>+ Azimuth</a:t>
            </a:r>
            <a:endParaRPr lang="en-US" sz="1400" b="0" u="none" strike="noStrike">
              <a:effectLst/>
              <a:uFillTx/>
              <a:latin typeface="Times New Roman"/>
            </a:endParaRPr>
          </a:p>
          <a:p>
            <a:endParaRPr lang="en-US" sz="1400" b="0" u="none" strike="noStrike">
              <a:effectLst/>
              <a:uFillTx/>
              <a:latin typeface="Times New Roman"/>
            </a:endParaRPr>
          </a:p>
        </xdr:txBody>
      </xdr:sp>
      <xdr:sp>
        <xdr:nvSpPr>
          <xdr:cNvPr id="13" name="Text Box 988"/>
          <xdr:cNvSpPr/>
        </xdr:nvSpPr>
        <xdr:spPr>
          <a:xfrm rot="18262800">
            <a:off x="9221040" y="3972600"/>
            <a:ext cx="666720" cy="1389960"/>
          </a:xfrm>
          <a:prstGeom prst="rect">
            <a:avLst/>
          </a:prstGeom>
          <a:noFill/>
          <a:ln w="0">
            <a:noFill/>
          </a:ln>
        </xdr:spPr>
        <xdr:style>
          <a:lnRef idx="0"/>
          <a:fillRef idx="0"/>
          <a:effectRef idx="0"/>
          <a:fontRef idx="minor"/>
        </xdr:style>
        <xdr:txBody>
          <a:bodyPr lIns="90000" rIns="90000" tIns="46800" bIns="46800" anchor="t" rot="-3337200">
            <a:noAutofit/>
          </a:bodyPr>
          <a:p>
            <a:r>
              <a:rPr lang="en-US" sz="1400" b="0" u="none" strike="noStrike">
                <a:solidFill>
                  <a:srgbClr val="000000"/>
                </a:solidFill>
                <a:effectLst/>
                <a:uFillTx/>
                <a:latin typeface="Arial"/>
              </a:rPr>
              <a:t>Trajectory </a:t>
            </a:r>
            <a:endParaRPr lang="en-US" sz="1400" b="0" u="none" strike="noStrike">
              <a:effectLst/>
              <a:uFillTx/>
              <a:latin typeface="Times New Roman"/>
            </a:endParaRPr>
          </a:p>
          <a:p>
            <a:r>
              <a:rPr lang="en-US" sz="1400" b="0" u="none" strike="noStrike">
                <a:solidFill>
                  <a:srgbClr val="000000"/>
                </a:solidFill>
                <a:effectLst/>
                <a:uFillTx/>
                <a:latin typeface="Arial"/>
              </a:rPr>
              <a:t>      Plane</a:t>
            </a:r>
            <a:endParaRPr lang="en-US" sz="1400" b="0" u="none" strike="noStrike">
              <a:effectLst/>
              <a:uFillTx/>
              <a:latin typeface="Times New Roman"/>
            </a:endParaRPr>
          </a:p>
          <a:p>
            <a:endParaRPr lang="en-US" sz="1400" b="0" u="none" strike="noStrike">
              <a:effectLst/>
              <a:uFillTx/>
              <a:latin typeface="Times New Roman"/>
            </a:endParaRPr>
          </a:p>
        </xdr:txBody>
      </xdr:sp>
      <xdr:sp>
        <xdr:nvSpPr>
          <xdr:cNvPr id="14" name="Freeform 989"/>
          <xdr:cNvSpPr/>
        </xdr:nvSpPr>
        <xdr:spPr>
          <a:xfrm>
            <a:off x="8209440" y="4609440"/>
            <a:ext cx="32040" cy="1965960"/>
          </a:xfrm>
          <a:custGeom>
            <a:avLst/>
            <a:gdLst>
              <a:gd name="textAreaLeft" fmla="*/ 0 w 32040"/>
              <a:gd name="textAreaRight" fmla="*/ 32400 w 32040"/>
              <a:gd name="textAreaTop" fmla="*/ 0 h 1965960"/>
              <a:gd name="textAreaBottom" fmla="*/ 1966320 h 1965960"/>
              <a:gd name="GluePoint1X" fmla="*/ 2147483647 w 15"/>
              <a:gd name="GluePoint1Y" fmla="*/ 2147483647 h 1051"/>
              <a:gd name="GluePoint2X" fmla="*/ 0 w 15"/>
              <a:gd name="GluePoint2Y" fmla="*/ 0 h 1051"/>
            </a:gdLst>
            <a:ahLst/>
            <a:cxnLst>
              <a:cxn ang="0">
                <a:pos x="GluePoint1X" y="GluePoint1Y"/>
              </a:cxn>
              <a:cxn ang="0">
                <a:pos x="GluePoint2X" y="GluePoint2Y"/>
              </a:cxn>
            </a:cxnLst>
            <a:rect l="textAreaLeft" t="textAreaTop" r="textAreaRight" b="textAreaBottom"/>
            <a:pathLst>
              <a:path w="15" h="1051">
                <a:moveTo>
                  <a:pt x="15" y="1051"/>
                </a:moveTo>
                <a:lnTo>
                  <a:pt x="0" y="0"/>
                </a:lnTo>
              </a:path>
            </a:pathLst>
          </a:custGeom>
          <a:noFill/>
          <a:ln w="19080">
            <a:solidFill>
              <a:srgbClr val="000000"/>
            </a:solidFill>
            <a:round/>
            <a:tailEnd len="med" type="triangle" w="med"/>
          </a:ln>
        </xdr:spPr>
        <xdr:style>
          <a:lnRef idx="0"/>
          <a:fillRef idx="0"/>
          <a:effectRef idx="0"/>
          <a:fontRef idx="minor"/>
        </xdr:style>
      </xdr:sp>
      <xdr:sp>
        <xdr:nvSpPr>
          <xdr:cNvPr id="15" name="Freeform 990"/>
          <xdr:cNvSpPr/>
        </xdr:nvSpPr>
        <xdr:spPr>
          <a:xfrm>
            <a:off x="8263080" y="4889160"/>
            <a:ext cx="1231920" cy="1657080"/>
          </a:xfrm>
          <a:custGeom>
            <a:avLst/>
            <a:gdLst>
              <a:gd name="textAreaLeft" fmla="*/ 0 w 1231920"/>
              <a:gd name="textAreaRight" fmla="*/ 1232280 w 1231920"/>
              <a:gd name="textAreaTop" fmla="*/ 0 h 1657080"/>
              <a:gd name="textAreaBottom" fmla="*/ 1657440 h 1657080"/>
              <a:gd name="GluePoint1X" fmla="*/ 0 w 624"/>
              <a:gd name="GluePoint1Y" fmla="*/ 2147483647 h 906"/>
              <a:gd name="GluePoint2X" fmla="*/ 2147483647 w 624"/>
              <a:gd name="GluePoint2Y" fmla="*/ 0 h 906"/>
            </a:gdLst>
            <a:ahLst/>
            <a:cxnLst>
              <a:cxn ang="0">
                <a:pos x="GluePoint1X" y="GluePoint1Y"/>
              </a:cxn>
              <a:cxn ang="0">
                <a:pos x="GluePoint2X" y="GluePoint2Y"/>
              </a:cxn>
            </a:cxnLst>
            <a:rect l="textAreaLeft" t="textAreaTop" r="textAreaRight" b="textAreaBottom"/>
            <a:pathLst>
              <a:path w="624" h="906">
                <a:moveTo>
                  <a:pt x="0" y="906"/>
                </a:moveTo>
                <a:lnTo>
                  <a:pt x="624" y="0"/>
                </a:lnTo>
              </a:path>
            </a:pathLst>
          </a:custGeom>
          <a:noFill/>
          <a:ln w="19080">
            <a:solidFill>
              <a:srgbClr val="000000"/>
            </a:solidFill>
            <a:round/>
            <a:tailEnd len="med" type="triangle" w="med"/>
          </a:ln>
        </xdr:spPr>
        <xdr:style>
          <a:lnRef idx="0"/>
          <a:fillRef idx="0"/>
          <a:effectRef idx="0"/>
          <a:fontRef idx="minor"/>
        </xdr:style>
      </xdr:sp>
      <xdr:sp>
        <xdr:nvSpPr>
          <xdr:cNvPr id="16" name="Freeform 991"/>
          <xdr:cNvSpPr/>
        </xdr:nvSpPr>
        <xdr:spPr>
          <a:xfrm>
            <a:off x="8231040" y="5362200"/>
            <a:ext cx="707040" cy="273960"/>
          </a:xfrm>
          <a:custGeom>
            <a:avLst/>
            <a:gdLst>
              <a:gd name="textAreaLeft" fmla="*/ 0 w 707040"/>
              <a:gd name="textAreaRight" fmla="*/ 707400 w 707040"/>
              <a:gd name="textAreaTop" fmla="*/ 0 h 273960"/>
              <a:gd name="textAreaBottom" fmla="*/ 273960 h 273960"/>
              <a:gd name="GluePoint1X" fmla="*/ 0 w 396"/>
              <a:gd name="GluePoint1Y" fmla="*/ 0 h 171"/>
              <a:gd name="GluePoint2X" fmla="*/ 2147483647 w 396"/>
              <a:gd name="GluePoint2Y" fmla="*/ 2147483647 h 171"/>
              <a:gd name="GluePoint3X" fmla="*/ 2147483647 w 396"/>
              <a:gd name="GluePoint3Y" fmla="*/ 2147483647 h 171"/>
              <a:gd name="GluePoint4X" fmla="*/ 2147483647 w 396"/>
              <a:gd name="GluePoint4Y" fmla="*/ 2147483647 h 171"/>
              <a:gd name="GluePoint5X" fmla="*/ 2147483647 w 396"/>
              <a:gd name="GluePoint5Y" fmla="*/ 2147483647 h 171"/>
              <a:gd name="GluePoint6X" fmla="*/ 2147483647 w 396"/>
              <a:gd name="GluePoint6Y" fmla="*/ 2147483647 h 171"/>
              <a:gd name="GluePoint7X" fmla="*/ 2147483647 w 396"/>
              <a:gd name="GluePoint7Y" fmla="*/ 2147483647 h 171"/>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Lst>
            <a:rect l="textAreaLeft" t="textAreaTop" r="textAreaRight" b="textAreaBottom"/>
            <a:pathLst>
              <a:path w="396" h="171">
                <a:moveTo>
                  <a:pt x="0" y="0"/>
                </a:moveTo>
                <a:cubicBezTo>
                  <a:pt x="16" y="1"/>
                  <a:pt x="68" y="5"/>
                  <a:pt x="95" y="9"/>
                </a:cubicBezTo>
                <a:cubicBezTo>
                  <a:pt x="122" y="13"/>
                  <a:pt x="144" y="18"/>
                  <a:pt x="165" y="23"/>
                </a:cubicBezTo>
                <a:cubicBezTo>
                  <a:pt x="186" y="28"/>
                  <a:pt x="204" y="33"/>
                  <a:pt x="224" y="42"/>
                </a:cubicBezTo>
                <a:cubicBezTo>
                  <a:pt x="244" y="51"/>
                  <a:pt x="270" y="68"/>
                  <a:pt x="285" y="78"/>
                </a:cubicBezTo>
                <a:cubicBezTo>
                  <a:pt x="300" y="88"/>
                  <a:pt x="297" y="87"/>
                  <a:pt x="315" y="102"/>
                </a:cubicBezTo>
                <a:cubicBezTo>
                  <a:pt x="333" y="117"/>
                  <a:pt x="379" y="157"/>
                  <a:pt x="396" y="171"/>
                </a:cubicBezTo>
              </a:path>
            </a:pathLst>
          </a:custGeom>
          <a:noFill/>
          <a:ln w="19080">
            <a:solidFill>
              <a:srgbClr val="000000"/>
            </a:solidFill>
            <a:round/>
            <a:headEnd len="med" type="triangle" w="med"/>
            <a:tailEnd len="med" type="triangle" w="med"/>
          </a:ln>
        </xdr:spPr>
        <xdr:style>
          <a:lnRef idx="0"/>
          <a:fillRef idx="0"/>
          <a:effectRef idx="0"/>
          <a:fontRef idx="minor"/>
        </xdr:style>
      </xdr:sp>
      <xdr:sp>
        <xdr:nvSpPr>
          <xdr:cNvPr id="17" name="Freeform 993"/>
          <xdr:cNvSpPr/>
        </xdr:nvSpPr>
        <xdr:spPr>
          <a:xfrm>
            <a:off x="10555560" y="5440320"/>
            <a:ext cx="2312640" cy="1105920"/>
          </a:xfrm>
          <a:custGeom>
            <a:avLst/>
            <a:gdLst>
              <a:gd name="textAreaLeft" fmla="*/ 0 w 2312640"/>
              <a:gd name="textAreaRight" fmla="*/ 2313000 w 2312640"/>
              <a:gd name="textAreaTop" fmla="*/ 0 h 1105920"/>
              <a:gd name="textAreaBottom" fmla="*/ 1106280 h 1105920"/>
              <a:gd name="GluePoint1X" fmla="*/ 0 w 1200"/>
              <a:gd name="GluePoint1Y" fmla="*/ 2147483647 h 612"/>
              <a:gd name="GluePoint2X" fmla="*/ 2147483647 w 1200"/>
              <a:gd name="GluePoint2Y" fmla="*/ 0 h 612"/>
            </a:gdLst>
            <a:ahLst/>
            <a:cxnLst>
              <a:cxn ang="0">
                <a:pos x="GluePoint1X" y="GluePoint1Y"/>
              </a:cxn>
              <a:cxn ang="0">
                <a:pos x="GluePoint2X" y="GluePoint2Y"/>
              </a:cxn>
            </a:cxnLst>
            <a:rect l="textAreaLeft" t="textAreaTop" r="textAreaRight" b="textAreaBottom"/>
            <a:pathLst>
              <a:path w="1200" h="612">
                <a:moveTo>
                  <a:pt x="0" y="612"/>
                </a:moveTo>
                <a:lnTo>
                  <a:pt x="1200" y="0"/>
                </a:lnTo>
              </a:path>
            </a:pathLst>
          </a:custGeom>
          <a:noFill/>
          <a:ln w="19080">
            <a:solidFill>
              <a:srgbClr val="000000"/>
            </a:solidFill>
            <a:round/>
            <a:tailEnd len="med" type="triangle" w="med"/>
          </a:ln>
        </xdr:spPr>
        <xdr:style>
          <a:lnRef idx="0"/>
          <a:fillRef idx="0"/>
          <a:effectRef idx="0"/>
          <a:fontRef idx="minor"/>
        </xdr:style>
      </xdr:sp>
      <xdr:sp>
        <xdr:nvSpPr>
          <xdr:cNvPr id="18" name="Freeform 994"/>
          <xdr:cNvSpPr/>
        </xdr:nvSpPr>
        <xdr:spPr>
          <a:xfrm>
            <a:off x="10555560" y="5362200"/>
            <a:ext cx="1144800" cy="640440"/>
          </a:xfrm>
          <a:custGeom>
            <a:avLst/>
            <a:gdLst>
              <a:gd name="textAreaLeft" fmla="*/ 0 w 1144800"/>
              <a:gd name="textAreaRight" fmla="*/ 1145160 w 1144800"/>
              <a:gd name="textAreaTop" fmla="*/ 0 h 640440"/>
              <a:gd name="textAreaBottom" fmla="*/ 640800 h 640440"/>
              <a:gd name="GluePoint1X" fmla="*/ 0 w 642"/>
              <a:gd name="GluePoint1Y" fmla="*/ 0 h 394"/>
              <a:gd name="GluePoint2X" fmla="*/ 2147483647 w 642"/>
              <a:gd name="GluePoint2Y" fmla="*/ 2147483647 h 394"/>
              <a:gd name="GluePoint3X" fmla="*/ 2147483647 w 642"/>
              <a:gd name="GluePoint3Y" fmla="*/ 2147483647 h 394"/>
              <a:gd name="GluePoint4X" fmla="*/ 2147483647 w 642"/>
              <a:gd name="GluePoint4Y" fmla="*/ 2147483647 h 394"/>
              <a:gd name="GluePoint5X" fmla="*/ 2147483647 w 642"/>
              <a:gd name="GluePoint5Y" fmla="*/ 2147483647 h 394"/>
              <a:gd name="GluePoint6X" fmla="*/ 2147483647 w 642"/>
              <a:gd name="GluePoint6Y" fmla="*/ 2147483647 h 394"/>
              <a:gd name="GluePoint7X" fmla="*/ 2147483647 w 642"/>
              <a:gd name="GluePoint7Y" fmla="*/ 2147483647 h 394"/>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Lst>
            <a:rect l="textAreaLeft" t="textAreaTop" r="textAreaRight" b="textAreaBottom"/>
            <a:pathLst>
              <a:path w="642" h="394">
                <a:moveTo>
                  <a:pt x="0" y="0"/>
                </a:moveTo>
                <a:cubicBezTo>
                  <a:pt x="22" y="2"/>
                  <a:pt x="88" y="5"/>
                  <a:pt x="131" y="13"/>
                </a:cubicBezTo>
                <a:cubicBezTo>
                  <a:pt x="174" y="21"/>
                  <a:pt x="220" y="34"/>
                  <a:pt x="261" y="50"/>
                </a:cubicBezTo>
                <a:cubicBezTo>
                  <a:pt x="302" y="66"/>
                  <a:pt x="338" y="84"/>
                  <a:pt x="375" y="107"/>
                </a:cubicBezTo>
                <a:cubicBezTo>
                  <a:pt x="412" y="130"/>
                  <a:pt x="449" y="158"/>
                  <a:pt x="482" y="188"/>
                </a:cubicBezTo>
                <a:cubicBezTo>
                  <a:pt x="515" y="218"/>
                  <a:pt x="546" y="252"/>
                  <a:pt x="573" y="286"/>
                </a:cubicBezTo>
                <a:cubicBezTo>
                  <a:pt x="600" y="320"/>
                  <a:pt x="628" y="372"/>
                  <a:pt x="642" y="394"/>
                </a:cubicBezTo>
              </a:path>
            </a:pathLst>
          </a:custGeom>
          <a:noFill/>
          <a:ln w="19080">
            <a:solidFill>
              <a:srgbClr val="000000"/>
            </a:solidFill>
            <a:round/>
            <a:tailEnd len="med" type="triangle" w="med"/>
          </a:ln>
        </xdr:spPr>
        <xdr:style>
          <a:lnRef idx="0"/>
          <a:fillRef idx="0"/>
          <a:effectRef idx="0"/>
          <a:fontRef idx="minor"/>
        </xdr:style>
      </xdr:sp>
      <xdr:sp>
        <xdr:nvSpPr>
          <xdr:cNvPr id="19" name="Text Box 995"/>
          <xdr:cNvSpPr/>
        </xdr:nvSpPr>
        <xdr:spPr>
          <a:xfrm>
            <a:off x="10148400" y="4334400"/>
            <a:ext cx="615600" cy="491400"/>
          </a:xfrm>
          <a:prstGeom prst="rect">
            <a:avLst/>
          </a:prstGeom>
          <a:noFill/>
          <a:ln w="0">
            <a:noFill/>
          </a:ln>
        </xdr:spPr>
        <xdr:style>
          <a:lnRef idx="0"/>
          <a:fillRef idx="0"/>
          <a:effectRef idx="0"/>
          <a:fontRef idx="minor"/>
        </xdr:style>
        <xdr:txBody>
          <a:bodyPr wrap="none" lIns="90000" rIns="90000" tIns="46800" bIns="46800" anchor="t">
            <a:spAutoFit/>
          </a:bodyPr>
          <a:p>
            <a:r>
              <a:rPr lang="en-US" sz="1400" b="0" u="none" strike="noStrike">
                <a:solidFill>
                  <a:srgbClr val="000000"/>
                </a:solidFill>
                <a:effectLst/>
                <a:uFillTx/>
                <a:latin typeface="Arial"/>
              </a:rPr>
              <a:t>North</a:t>
            </a:r>
            <a:endParaRPr lang="en-US" sz="1400" b="0" u="none" strike="noStrike">
              <a:effectLst/>
              <a:uFillTx/>
              <a:latin typeface="Times New Roman"/>
            </a:endParaRPr>
          </a:p>
          <a:p>
            <a:endParaRPr lang="en-US" sz="1400" b="0" u="none" strike="noStrike">
              <a:effectLst/>
              <a:uFillTx/>
              <a:latin typeface="Times New Roman"/>
            </a:endParaRPr>
          </a:p>
        </xdr:txBody>
      </xdr:sp>
      <xdr:sp>
        <xdr:nvSpPr>
          <xdr:cNvPr id="20" name="Text Box 996"/>
          <xdr:cNvSpPr/>
        </xdr:nvSpPr>
        <xdr:spPr>
          <a:xfrm rot="1966800">
            <a:off x="10874880" y="4951080"/>
            <a:ext cx="822960" cy="690120"/>
          </a:xfrm>
          <a:prstGeom prst="rect">
            <a:avLst/>
          </a:prstGeom>
          <a:noFill/>
          <a:ln w="0">
            <a:noFill/>
          </a:ln>
        </xdr:spPr>
        <xdr:style>
          <a:lnRef idx="0"/>
          <a:fillRef idx="0"/>
          <a:effectRef idx="0"/>
          <a:fontRef idx="minor"/>
        </xdr:style>
        <xdr:txBody>
          <a:bodyPr wrap="none" lIns="90000" rIns="90000" tIns="46800" bIns="46800" anchor="t" rot="1966800">
            <a:spAutoFit/>
          </a:bodyPr>
          <a:p>
            <a:r>
              <a:rPr lang="en-US" sz="1400" b="0" u="none" strike="noStrike">
                <a:solidFill>
                  <a:srgbClr val="000000"/>
                </a:solidFill>
                <a:effectLst/>
                <a:uFillTx/>
                <a:latin typeface="Arial"/>
              </a:rPr>
              <a:t>+ Wind </a:t>
            </a:r>
            <a:endParaRPr lang="en-US" sz="1400" b="0" u="none" strike="noStrike">
              <a:effectLst/>
              <a:uFillTx/>
              <a:latin typeface="Times New Roman"/>
            </a:endParaRPr>
          </a:p>
          <a:p>
            <a:r>
              <a:rPr lang="en-US" sz="1400" b="0" u="none" strike="noStrike">
                <a:solidFill>
                  <a:srgbClr val="000000"/>
                </a:solidFill>
                <a:effectLst/>
                <a:uFillTx/>
                <a:latin typeface="Arial"/>
              </a:rPr>
              <a:t>Azimuth</a:t>
            </a:r>
            <a:endParaRPr lang="en-US" sz="1400" b="0" u="none" strike="noStrike">
              <a:effectLst/>
              <a:uFillTx/>
              <a:latin typeface="Times New Roman"/>
            </a:endParaRPr>
          </a:p>
          <a:p>
            <a:endParaRPr lang="en-US" sz="1400" b="0" u="none" strike="noStrike">
              <a:effectLst/>
              <a:uFillTx/>
              <a:latin typeface="Times New Roman"/>
            </a:endParaRPr>
          </a:p>
        </xdr:txBody>
      </xdr:sp>
      <xdr:sp>
        <xdr:nvSpPr>
          <xdr:cNvPr id="21" name="Text Box 997"/>
          <xdr:cNvSpPr/>
        </xdr:nvSpPr>
        <xdr:spPr>
          <a:xfrm rot="19884600">
            <a:off x="12191760" y="5652360"/>
            <a:ext cx="739080" cy="491400"/>
          </a:xfrm>
          <a:prstGeom prst="rect">
            <a:avLst/>
          </a:prstGeom>
          <a:noFill/>
          <a:ln w="0">
            <a:noFill/>
          </a:ln>
        </xdr:spPr>
        <xdr:style>
          <a:lnRef idx="0"/>
          <a:fillRef idx="0"/>
          <a:effectRef idx="0"/>
          <a:fontRef idx="minor"/>
        </xdr:style>
        <xdr:txBody>
          <a:bodyPr wrap="none" lIns="90000" rIns="90000" tIns="46800" bIns="46800" anchor="t" rot="-1715400">
            <a:spAutoFit/>
          </a:bodyPr>
          <a:p>
            <a:r>
              <a:rPr lang="en-US" sz="1400" b="0" u="none" strike="noStrike">
                <a:solidFill>
                  <a:srgbClr val="000000"/>
                </a:solidFill>
                <a:effectLst/>
                <a:uFillTx/>
                <a:latin typeface="Arial"/>
              </a:rPr>
              <a:t>+ Wind</a:t>
            </a:r>
            <a:endParaRPr lang="en-US" sz="1400" b="0" u="none" strike="noStrike">
              <a:effectLst/>
              <a:uFillTx/>
              <a:latin typeface="Times New Roman"/>
            </a:endParaRPr>
          </a:p>
          <a:p>
            <a:endParaRPr lang="en-US" sz="1400" b="0" u="none" strike="noStrike">
              <a:effectLst/>
              <a:uFillTx/>
              <a:latin typeface="Times New Roman"/>
            </a:endParaRPr>
          </a:p>
        </xdr:txBody>
      </xdr:sp>
    </xdr:grpSp>
    <xdr:clientData/>
  </xdr:twoCellAnchor>
  <xdr:twoCellAnchor editAs="oneCell">
    <xdr:from>
      <xdr:col>5</xdr:col>
      <xdr:colOff>1680120</xdr:colOff>
      <xdr:row>108</xdr:row>
      <xdr:rowOff>180720</xdr:rowOff>
    </xdr:from>
    <xdr:to>
      <xdr:col>7</xdr:col>
      <xdr:colOff>1441440</xdr:colOff>
      <xdr:row>114</xdr:row>
      <xdr:rowOff>162360</xdr:rowOff>
    </xdr:to>
    <xdr:grpSp>
      <xdr:nvGrpSpPr>
        <xdr:cNvPr id="22" name="Group 27"/>
        <xdr:cNvGrpSpPr/>
      </xdr:nvGrpSpPr>
      <xdr:grpSpPr>
        <a:xfrm>
          <a:off x="15450840" y="25345800"/>
          <a:ext cx="3334320" cy="1276920"/>
          <a:chOff x="15450840" y="25345800"/>
          <a:chExt cx="3334320" cy="1276920"/>
        </a:xfrm>
      </xdr:grpSpPr>
      <xdr:sp>
        <xdr:nvSpPr>
          <xdr:cNvPr id="23" name="Rectangle 998"/>
          <xdr:cNvSpPr/>
        </xdr:nvSpPr>
        <xdr:spPr>
          <a:xfrm>
            <a:off x="15450840" y="25345800"/>
            <a:ext cx="3334320" cy="1276920"/>
          </a:xfrm>
          <a:prstGeom prst="rect">
            <a:avLst/>
          </a:prstGeom>
          <a:solidFill>
            <a:srgbClr val="b4b4b4"/>
          </a:solidFill>
          <a:ln w="9360">
            <a:solidFill>
              <a:srgbClr val="b4b4b4"/>
            </a:solidFill>
            <a:miter/>
          </a:ln>
        </xdr:spPr>
        <xdr:style>
          <a:lnRef idx="0"/>
          <a:fillRef idx="0"/>
          <a:effectRef idx="0"/>
          <a:fontRef idx="minor"/>
        </xdr:style>
      </xdr:sp>
      <xdr:sp>
        <xdr:nvSpPr>
          <xdr:cNvPr id="24" name="Text Box 999"/>
          <xdr:cNvSpPr/>
        </xdr:nvSpPr>
        <xdr:spPr>
          <a:xfrm>
            <a:off x="15450840" y="25440840"/>
            <a:ext cx="3314520" cy="1076760"/>
          </a:xfrm>
          <a:prstGeom prst="rect">
            <a:avLst/>
          </a:prstGeom>
          <a:noFill/>
          <a:ln w="9360">
            <a:solidFill>
              <a:srgbClr val="b4b4b4"/>
            </a:solidFill>
            <a:miter/>
          </a:ln>
        </xdr:spPr>
        <xdr:style>
          <a:lnRef idx="0"/>
          <a:fillRef idx="0"/>
          <a:effectRef idx="0"/>
          <a:fontRef idx="minor"/>
        </xdr:style>
        <xdr:txBody>
          <a:bodyPr lIns="90000" rIns="90000" tIns="46800" bIns="46800" anchor="t">
            <a:noAutofit/>
          </a:bodyPr>
          <a:p>
            <a:r>
              <a:rPr lang="en-US" sz="1200" b="1" u="none" strike="noStrike">
                <a:solidFill>
                  <a:srgbClr val="000000"/>
                </a:solidFill>
                <a:effectLst/>
                <a:uFillTx/>
                <a:latin typeface="Times New Roman"/>
              </a:rPr>
              <a:t>For any stage, Payload is attached to that</a:t>
            </a:r>
            <a:endParaRPr lang="en-US" sz="1200" b="0" u="none" strike="noStrike">
              <a:effectLst/>
              <a:uFillTx/>
              <a:latin typeface="Times New Roman"/>
            </a:endParaRPr>
          </a:p>
          <a:p>
            <a:r>
              <a:rPr lang="en-US" sz="1200" b="1" u="none" strike="noStrike">
                <a:solidFill>
                  <a:srgbClr val="000000"/>
                </a:solidFill>
                <a:effectLst/>
                <a:uFillTx/>
                <a:latin typeface="Times New Roman"/>
              </a:rPr>
              <a:t>specific stage.  Otherwise, it is zero.  For</a:t>
            </a:r>
            <a:endParaRPr lang="en-US" sz="1200" b="0" u="none" strike="noStrike">
              <a:effectLst/>
              <a:uFillTx/>
              <a:latin typeface="Times New Roman"/>
            </a:endParaRPr>
          </a:p>
          <a:p>
            <a:r>
              <a:rPr lang="en-US" sz="1200" b="1" u="none" strike="noStrike">
                <a:solidFill>
                  <a:srgbClr val="000000"/>
                </a:solidFill>
                <a:effectLst/>
                <a:uFillTx/>
                <a:latin typeface="Times New Roman"/>
              </a:rPr>
              <a:t>example, consider a two stage rocket whose</a:t>
            </a:r>
            <a:endParaRPr lang="en-US" sz="1200" b="0" u="none" strike="noStrike">
              <a:effectLst/>
              <a:uFillTx/>
              <a:latin typeface="Times New Roman"/>
            </a:endParaRPr>
          </a:p>
          <a:p>
            <a:r>
              <a:rPr lang="en-US" sz="1200" b="1" u="none" strike="noStrike">
                <a:solidFill>
                  <a:srgbClr val="000000"/>
                </a:solidFill>
                <a:effectLst/>
                <a:uFillTx/>
                <a:latin typeface="Times New Roman"/>
              </a:rPr>
              <a:t>Payload rides atop Stage 2.  Then  Payload</a:t>
            </a:r>
            <a:endParaRPr lang="en-US" sz="1200" b="0" u="none" strike="noStrike">
              <a:effectLst/>
              <a:uFillTx/>
              <a:latin typeface="Times New Roman"/>
            </a:endParaRPr>
          </a:p>
          <a:p>
            <a:r>
              <a:rPr lang="en-US" sz="1200" b="1" u="none" strike="noStrike">
                <a:solidFill>
                  <a:srgbClr val="000000"/>
                </a:solidFill>
                <a:effectLst/>
                <a:uFillTx/>
                <a:latin typeface="Times New Roman"/>
              </a:rPr>
              <a:t>weight = 0 for Stage 1.</a:t>
            </a:r>
            <a:endParaRPr lang="en-US" sz="1200" b="0" u="none" strike="noStrike">
              <a:effectLst/>
              <a:uFillTx/>
              <a:latin typeface="Times New Roman"/>
            </a:endParaRPr>
          </a:p>
          <a:p>
            <a:endParaRPr lang="en-US" sz="1200" b="0" u="none" strike="noStrike">
              <a:effectLst/>
              <a:uFillTx/>
              <a:latin typeface="Times New Roman"/>
            </a:endParaRPr>
          </a:p>
        </xdr:txBody>
      </xdr:sp>
    </xdr:grpSp>
    <xdr:clientData/>
  </xdr:twoCellAnchor>
  <xdr:twoCellAnchor editAs="absolute">
    <xdr:from>
      <xdr:col>1</xdr:col>
      <xdr:colOff>1530720</xdr:colOff>
      <xdr:row>551</xdr:row>
      <xdr:rowOff>19440</xdr:rowOff>
    </xdr:from>
    <xdr:to>
      <xdr:col>3</xdr:col>
      <xdr:colOff>2268000</xdr:colOff>
      <xdr:row>563</xdr:row>
      <xdr:rowOff>75960</xdr:rowOff>
    </xdr:to>
    <xdr:grpSp>
      <xdr:nvGrpSpPr>
        <xdr:cNvPr id="25" name="Group 32"/>
        <xdr:cNvGrpSpPr/>
      </xdr:nvGrpSpPr>
      <xdr:grpSpPr>
        <a:xfrm>
          <a:off x="4661280" y="110118960"/>
          <a:ext cx="5266800" cy="2342520"/>
          <a:chOff x="4661280" y="110118960"/>
          <a:chExt cx="5266800" cy="2342520"/>
        </a:xfrm>
      </xdr:grpSpPr>
      <xdr:sp>
        <xdr:nvSpPr>
          <xdr:cNvPr id="26" name="Rectangle 30"/>
          <xdr:cNvSpPr/>
        </xdr:nvSpPr>
        <xdr:spPr>
          <a:xfrm>
            <a:off x="4661280" y="110118960"/>
            <a:ext cx="5266800" cy="2342520"/>
          </a:xfrm>
          <a:prstGeom prst="rect">
            <a:avLst/>
          </a:prstGeom>
          <a:gradFill rotWithShape="0">
            <a:gsLst>
              <a:gs pos="0">
                <a:srgbClr val="bcbcbc"/>
              </a:gs>
              <a:gs pos="100000">
                <a:srgbClr val="ededed"/>
              </a:gs>
            </a:gsLst>
            <a:lin ang="16200000"/>
          </a:gradFill>
          <a:ln w="9360">
            <a:solidFill>
              <a:srgbClr val="000000"/>
            </a:solidFill>
            <a:miter/>
          </a:ln>
          <a:effectLst>
            <a:outerShdw dist="20160" dir="5400000" rotWithShape="0">
              <a:srgbClr val="000000">
                <a:alpha val="38000"/>
              </a:srgbClr>
            </a:outerShdw>
          </a:effectLst>
        </xdr:spPr>
        <xdr:style>
          <a:lnRef idx="0"/>
          <a:fillRef idx="0"/>
          <a:effectRef idx="0"/>
          <a:fontRef idx="minor"/>
        </xdr:style>
        <xdr:txBody>
          <a:bodyPr lIns="90000" rIns="90000" tIns="46800" bIns="46800" anchor="ctr">
            <a:noAutofit/>
          </a:bodyPr>
          <a:p>
            <a:pPr algn="ctr"/>
            <a:r>
              <a:rPr lang="en-US" sz="1200" b="1" u="none" strike="noStrike">
                <a:solidFill>
                  <a:srgbClr val="000000"/>
                </a:solidFill>
                <a:effectLst/>
                <a:uFillTx/>
                <a:latin typeface="Cambria"/>
              </a:rPr>
              <a:t>California State University, Long Beach</a:t>
            </a:r>
            <a:endParaRPr lang="en-US" sz="1200" b="0" u="none" strike="noStrike">
              <a:effectLst/>
              <a:uFillTx/>
              <a:latin typeface="Times New Roman"/>
            </a:endParaRPr>
          </a:p>
          <a:p>
            <a:pPr algn="ctr"/>
            <a:r>
              <a:rPr lang="en-US" sz="1200" b="1" u="none" strike="noStrike">
                <a:solidFill>
                  <a:srgbClr val="000000"/>
                </a:solidFill>
                <a:effectLst/>
                <a:uFillTx/>
                <a:latin typeface="Cambria"/>
              </a:rPr>
              <a:t>and</a:t>
            </a:r>
            <a:endParaRPr lang="en-US" sz="1200" b="0" u="none" strike="noStrike">
              <a:effectLst/>
              <a:uFillTx/>
              <a:latin typeface="Times New Roman"/>
            </a:endParaRPr>
          </a:p>
          <a:p>
            <a:pPr algn="ctr"/>
            <a:r>
              <a:rPr lang="en-US" sz="1200" b="1" u="none" strike="noStrike">
                <a:solidFill>
                  <a:srgbClr val="000000"/>
                </a:solidFill>
                <a:effectLst/>
                <a:uFillTx/>
                <a:latin typeface="Cambria"/>
              </a:rPr>
              <a:t>Rocket Science and Engineering Technology</a:t>
            </a:r>
            <a:endParaRPr lang="en-US" sz="1200" b="0" u="none" strike="noStrike">
              <a:effectLst/>
              <a:uFillTx/>
              <a:latin typeface="Times New Roman"/>
            </a:endParaRPr>
          </a:p>
          <a:p>
            <a:pPr algn="ctr"/>
            <a:r>
              <a:rPr lang="en-US" sz="1200" b="1" u="none" strike="noStrike">
                <a:solidFill>
                  <a:srgbClr val="000000"/>
                </a:solidFill>
                <a:effectLst/>
                <a:uFillTx/>
                <a:latin typeface="Cambria"/>
              </a:rPr>
              <a:t>SkyAero 7.6.1</a:t>
            </a:r>
            <a:endParaRPr lang="en-US" sz="1200" b="0" u="none" strike="noStrike">
              <a:effectLst/>
              <a:uFillTx/>
              <a:latin typeface="Times New Roman"/>
            </a:endParaRPr>
          </a:p>
          <a:p>
            <a:pPr algn="ctr"/>
            <a:endParaRPr lang="en-US" sz="1100" b="0" u="none" strike="noStrike">
              <a:effectLst/>
              <a:uFillTx/>
              <a:latin typeface="Times New Roman"/>
            </a:endParaRPr>
          </a:p>
          <a:p>
            <a:pPr algn="ctr"/>
            <a:endParaRPr lang="en-US" sz="1100" b="0" u="none" strike="noStrike">
              <a:effectLst/>
              <a:uFillTx/>
              <a:latin typeface="Times New Roman"/>
            </a:endParaRPr>
          </a:p>
          <a:p>
            <a:pPr algn="ctr"/>
            <a:endParaRPr lang="en-US" sz="1100" b="0" u="none" strike="noStrike">
              <a:effectLst/>
              <a:uFillTx/>
              <a:latin typeface="Times New Roman"/>
            </a:endParaRPr>
          </a:p>
          <a:p>
            <a:pPr algn="ctr"/>
            <a:endParaRPr lang="en-US" sz="1100" b="0" u="none" strike="noStrike">
              <a:effectLst/>
              <a:uFillTx/>
              <a:latin typeface="Times New Roman"/>
            </a:endParaRPr>
          </a:p>
          <a:p>
            <a:pPr algn="ctr"/>
            <a:endParaRPr lang="en-US" sz="1100" b="0" u="none" strike="noStrike">
              <a:effectLst/>
              <a:uFillTx/>
              <a:latin typeface="Times New Roman"/>
            </a:endParaRPr>
          </a:p>
          <a:p>
            <a:pPr algn="ctr"/>
            <a:endParaRPr lang="en-US" sz="1100" b="0" u="none" strike="noStrike">
              <a:effectLst/>
              <a:uFillTx/>
              <a:latin typeface="Times New Roman"/>
            </a:endParaRPr>
          </a:p>
          <a:p>
            <a:pPr algn="ctr"/>
            <a:endParaRPr lang="en-US" sz="1100" b="0" u="none" strike="noStrike">
              <a:effectLst/>
              <a:uFillTx/>
              <a:latin typeface="Times New Roman"/>
            </a:endParaRPr>
          </a:p>
          <a:p>
            <a:pPr algn="ctr"/>
            <a:r>
              <a:rPr lang="en-US" sz="1100" b="1" u="none" strike="noStrike">
                <a:solidFill>
                  <a:srgbClr val="000000"/>
                </a:solidFill>
                <a:effectLst/>
                <a:uFillTx/>
                <a:latin typeface="Cambria"/>
              </a:rPr>
              <a:t>Written By: Charley Hoult, Armando Fuentes, Michael Tong, Hien Tran</a:t>
            </a:r>
            <a:endParaRPr lang="en-US" sz="1100" b="0" u="none" strike="noStrike">
              <a:effectLst/>
              <a:uFillTx/>
              <a:latin typeface="Times New Roman"/>
            </a:endParaRPr>
          </a:p>
        </xdr:txBody>
      </xdr:sp>
      <xdr:sp>
        <xdr:nvSpPr>
          <xdr:cNvPr id="27" name="Rectangle 28"/>
          <xdr:cNvSpPr/>
        </xdr:nvSpPr>
        <xdr:spPr>
          <a:xfrm>
            <a:off x="7471080" y="111271320"/>
            <a:ext cx="2154960" cy="485640"/>
          </a:xfrm>
          <a:prstGeom prst="rect">
            <a:avLst/>
          </a:prstGeom>
          <a:solidFill>
            <a:srgbClr val="a6a6a6"/>
          </a:solidFill>
          <a:ln w="0">
            <a:noFill/>
          </a:ln>
          <a:effectLst>
            <a:outerShdw dist="23040" dir="5400000" rotWithShape="0">
              <a:srgbClr val="000000">
                <a:alpha val="35000"/>
              </a:srgbClr>
            </a:outerShdw>
          </a:effectLst>
        </xdr:spPr>
        <xdr:style>
          <a:lnRef idx="0"/>
          <a:fillRef idx="0"/>
          <a:effectRef idx="0"/>
          <a:fontRef idx="minor"/>
        </xdr:style>
        <xdr:txBody>
          <a:bodyPr lIns="90000" rIns="90000" tIns="46800" bIns="46800" anchor="ctr">
            <a:noAutofit/>
          </a:bodyPr>
          <a:p>
            <a:pPr algn="ctr"/>
            <a:r>
              <a:rPr lang="en-US" sz="1100" b="1" u="none" strike="noStrike">
                <a:solidFill>
                  <a:srgbClr val="000000"/>
                </a:solidFill>
                <a:effectLst/>
                <a:uFillTx/>
                <a:latin typeface="Cambria"/>
              </a:rPr>
              <a:t>Clear Current Solution Data</a:t>
            </a:r>
            <a:endParaRPr lang="en-US" sz="1100" b="0" u="none" strike="noStrike">
              <a:effectLst/>
              <a:uFillTx/>
              <a:latin typeface="Times New Roman"/>
            </a:endParaRPr>
          </a:p>
        </xdr:txBody>
      </xdr:sp>
      <xdr:sp>
        <xdr:nvSpPr>
          <xdr:cNvPr id="28" name="Rectangle 29"/>
          <xdr:cNvSpPr/>
        </xdr:nvSpPr>
        <xdr:spPr>
          <a:xfrm>
            <a:off x="5013720" y="111271320"/>
            <a:ext cx="2124720" cy="495000"/>
          </a:xfrm>
          <a:prstGeom prst="rect">
            <a:avLst/>
          </a:prstGeom>
          <a:gradFill rotWithShape="0">
            <a:gsLst>
              <a:gs pos="0">
                <a:srgbClr val="769535"/>
              </a:gs>
              <a:gs pos="100000">
                <a:srgbClr val="9cc746"/>
              </a:gs>
            </a:gsLst>
            <a:lin ang="16200000"/>
          </a:gradFill>
          <a:ln w="0">
            <a:noFill/>
          </a:ln>
          <a:effectLst>
            <a:outerShdw dist="23040" dir="5400000" rotWithShape="0">
              <a:srgbClr val="000000">
                <a:alpha val="35000"/>
              </a:srgbClr>
            </a:outerShdw>
          </a:effectLst>
        </xdr:spPr>
        <xdr:style>
          <a:lnRef idx="0"/>
          <a:fillRef idx="0"/>
          <a:effectRef idx="0"/>
          <a:fontRef idx="minor"/>
        </xdr:style>
        <xdr:txBody>
          <a:bodyPr lIns="90000" rIns="90000" tIns="46800" bIns="46800" anchor="ctr">
            <a:noAutofit/>
          </a:bodyPr>
          <a:p>
            <a:pPr algn="ctr"/>
            <a:r>
              <a:rPr lang="en-US" sz="1100" b="1" u="none" strike="noStrike">
                <a:solidFill>
                  <a:srgbClr val="000000"/>
                </a:solidFill>
                <a:effectLst/>
                <a:uFillTx/>
                <a:latin typeface="Cambria"/>
              </a:rPr>
              <a:t>Run Simulation</a:t>
            </a:r>
            <a:endParaRPr lang="en-US" sz="1100" b="0" u="none" strike="noStrike">
              <a:effectLst/>
              <a:uFillTx/>
              <a:latin typeface="Times New Roman"/>
            </a:endParaRPr>
          </a:p>
        </xdr:txBody>
      </xdr:sp>
    </xdr:grpSp>
    <xdr:clientData/>
  </xdr:twoCellAnchor>
  <xdr:twoCellAnchor editAs="absolute">
    <xdr:from>
      <xdr:col>5</xdr:col>
      <xdr:colOff>61200</xdr:colOff>
      <xdr:row>20</xdr:row>
      <xdr:rowOff>0</xdr:rowOff>
    </xdr:from>
    <xdr:to>
      <xdr:col>5</xdr:col>
      <xdr:colOff>1753920</xdr:colOff>
      <xdr:row>27</xdr:row>
      <xdr:rowOff>9720</xdr:rowOff>
    </xdr:to>
    <xdr:grpSp>
      <xdr:nvGrpSpPr>
        <xdr:cNvPr id="29" name="Group 36"/>
        <xdr:cNvGrpSpPr/>
      </xdr:nvGrpSpPr>
      <xdr:grpSpPr>
        <a:xfrm>
          <a:off x="13831920" y="7810560"/>
          <a:ext cx="1692720" cy="1343160"/>
          <a:chOff x="13831920" y="7810560"/>
          <a:chExt cx="1692720" cy="1343160"/>
        </a:xfrm>
      </xdr:grpSpPr>
      <xdr:sp>
        <xdr:nvSpPr>
          <xdr:cNvPr id="30" name="Rectangle 35"/>
          <xdr:cNvSpPr/>
        </xdr:nvSpPr>
        <xdr:spPr>
          <a:xfrm>
            <a:off x="13831920" y="7810560"/>
            <a:ext cx="1692720" cy="1343160"/>
          </a:xfrm>
          <a:prstGeom prst="rect">
            <a:avLst/>
          </a:prstGeom>
          <a:gradFill rotWithShape="0">
            <a:gsLst>
              <a:gs pos="0">
                <a:srgbClr val="bcbcbc"/>
              </a:gs>
              <a:gs pos="100000">
                <a:srgbClr val="ededed"/>
              </a:gs>
            </a:gsLst>
            <a:lin ang="16200000"/>
          </a:gradFill>
          <a:ln w="9360">
            <a:solidFill>
              <a:srgbClr val="000000"/>
            </a:solidFill>
            <a:miter/>
          </a:ln>
          <a:effectLst>
            <a:outerShdw dist="20160" dir="5400000" rotWithShape="0">
              <a:srgbClr val="000000">
                <a:alpha val="38000"/>
              </a:srgbClr>
            </a:outerShdw>
          </a:effectLst>
        </xdr:spPr>
        <xdr:style>
          <a:lnRef idx="0"/>
          <a:fillRef idx="0"/>
          <a:effectRef idx="0"/>
          <a:fontRef idx="minor"/>
        </xdr:style>
      </xdr:sp>
      <xdr:sp>
        <xdr:nvSpPr>
          <xdr:cNvPr id="31" name="Rectangle 33"/>
          <xdr:cNvSpPr/>
        </xdr:nvSpPr>
        <xdr:spPr>
          <a:xfrm>
            <a:off x="13902120" y="7934400"/>
            <a:ext cx="1551960" cy="457200"/>
          </a:xfrm>
          <a:prstGeom prst="rect">
            <a:avLst/>
          </a:prstGeom>
          <a:gradFill rotWithShape="0">
            <a:gsLst>
              <a:gs pos="0">
                <a:srgbClr val="403785"/>
              </a:gs>
              <a:gs pos="100000">
                <a:srgbClr val="7465e5"/>
              </a:gs>
            </a:gsLst>
            <a:lin ang="16200000"/>
          </a:gradFill>
          <a:ln w="9360">
            <a:solidFill>
              <a:srgbClr val="4a7ebb"/>
            </a:solidFill>
            <a:miter/>
          </a:ln>
          <a:effectLst>
            <a:outerShdw dist="20160" dir="5400000" rotWithShape="0">
              <a:srgbClr val="000000">
                <a:alpha val="38000"/>
              </a:srgbClr>
            </a:outerShdw>
          </a:effectLst>
        </xdr:spPr>
        <xdr:style>
          <a:lnRef idx="0"/>
          <a:fillRef idx="0"/>
          <a:effectRef idx="0"/>
          <a:fontRef idx="minor"/>
        </xdr:style>
        <xdr:txBody>
          <a:bodyPr lIns="90000" rIns="90000" tIns="46800" bIns="46800" anchor="ctr">
            <a:noAutofit/>
          </a:bodyPr>
          <a:p>
            <a:pPr algn="ctr"/>
            <a:r>
              <a:rPr lang="en-US" sz="1100" b="0" u="none" strike="noStrike">
                <a:solidFill>
                  <a:srgbClr val="ffffff"/>
                </a:solidFill>
                <a:effectLst/>
                <a:uFillTx/>
                <a:latin typeface="Calibri"/>
              </a:rPr>
              <a:t>Clear Wind Profile</a:t>
            </a:r>
            <a:endParaRPr lang="en-US" sz="1100" b="0" u="none" strike="noStrike">
              <a:effectLst/>
              <a:uFillTx/>
              <a:latin typeface="Times New Roman"/>
            </a:endParaRPr>
          </a:p>
        </xdr:txBody>
      </xdr:sp>
      <xdr:sp>
        <xdr:nvSpPr>
          <xdr:cNvPr id="32" name="Rectangle 34"/>
          <xdr:cNvSpPr/>
        </xdr:nvSpPr>
        <xdr:spPr>
          <a:xfrm>
            <a:off x="13902120" y="8544240"/>
            <a:ext cx="1551960" cy="457200"/>
          </a:xfrm>
          <a:prstGeom prst="rect">
            <a:avLst/>
          </a:prstGeom>
          <a:gradFill rotWithShape="0">
            <a:gsLst>
              <a:gs pos="0">
                <a:srgbClr val="403785"/>
              </a:gs>
              <a:gs pos="100000">
                <a:srgbClr val="7465e5"/>
              </a:gs>
            </a:gsLst>
            <a:lin ang="5400000"/>
          </a:gradFill>
          <a:ln w="9360">
            <a:solidFill>
              <a:srgbClr val="7d60a0"/>
            </a:solidFill>
            <a:miter/>
          </a:ln>
          <a:effectLst>
            <a:outerShdw dist="20160" dir="5400000" rotWithShape="0">
              <a:srgbClr val="000000">
                <a:alpha val="38000"/>
              </a:srgbClr>
            </a:outerShdw>
          </a:effectLst>
        </xdr:spPr>
        <xdr:style>
          <a:lnRef idx="0"/>
          <a:fillRef idx="0"/>
          <a:effectRef idx="0"/>
          <a:fontRef idx="minor"/>
        </xdr:style>
        <xdr:txBody>
          <a:bodyPr lIns="90000" rIns="90000" tIns="46800" bIns="46800" anchor="ctr">
            <a:noAutofit/>
          </a:bodyPr>
          <a:p>
            <a:pPr algn="ctr"/>
            <a:r>
              <a:rPr lang="en-US" sz="1100" b="0" u="none" strike="noStrike">
                <a:solidFill>
                  <a:srgbClr val="ffffff"/>
                </a:solidFill>
                <a:effectLst/>
                <a:uFillTx/>
                <a:latin typeface="Calibri"/>
              </a:rPr>
              <a:t>Generate Wind Profile</a:t>
            </a:r>
            <a:endParaRPr lang="en-US" sz="1100" b="0" u="none" strike="noStrike">
              <a:effectLst/>
              <a:uFillTx/>
              <a:latin typeface="Times New Roman"/>
            </a:endParaRPr>
          </a:p>
        </xdr:txBody>
      </xdr:sp>
    </xdr:grpSp>
    <xdr:clientData/>
  </xdr:twoCellAnchor>
  <xdr:twoCellAnchor editAs="oneCell">
    <xdr:from>
      <xdr:col>4</xdr:col>
      <xdr:colOff>51840</xdr:colOff>
      <xdr:row>519</xdr:row>
      <xdr:rowOff>47520</xdr:rowOff>
    </xdr:from>
    <xdr:to>
      <xdr:col>5</xdr:col>
      <xdr:colOff>606240</xdr:colOff>
      <xdr:row>528</xdr:row>
      <xdr:rowOff>75960</xdr:rowOff>
    </xdr:to>
    <xdr:grpSp>
      <xdr:nvGrpSpPr>
        <xdr:cNvPr id="33" name="Group 27"/>
        <xdr:cNvGrpSpPr/>
      </xdr:nvGrpSpPr>
      <xdr:grpSpPr>
        <a:xfrm>
          <a:off x="10500120" y="104022360"/>
          <a:ext cx="3876840" cy="1771560"/>
          <a:chOff x="10500120" y="104022360"/>
          <a:chExt cx="3876840" cy="1771560"/>
        </a:xfrm>
      </xdr:grpSpPr>
      <xdr:sp>
        <xdr:nvSpPr>
          <xdr:cNvPr id="34" name="Rectangle 998"/>
          <xdr:cNvSpPr/>
        </xdr:nvSpPr>
        <xdr:spPr>
          <a:xfrm>
            <a:off x="10500120" y="104022360"/>
            <a:ext cx="3876840" cy="1771560"/>
          </a:xfrm>
          <a:prstGeom prst="rect">
            <a:avLst/>
          </a:prstGeom>
          <a:solidFill>
            <a:srgbClr val="b4b4b4"/>
          </a:solidFill>
          <a:ln w="9360">
            <a:solidFill>
              <a:srgbClr val="b4b4b4"/>
            </a:solidFill>
            <a:miter/>
          </a:ln>
        </xdr:spPr>
        <xdr:style>
          <a:lnRef idx="0"/>
          <a:fillRef idx="0"/>
          <a:effectRef idx="0"/>
          <a:fontRef idx="minor"/>
        </xdr:style>
      </xdr:sp>
      <xdr:sp>
        <xdr:nvSpPr>
          <xdr:cNvPr id="35" name="Text Box 999"/>
          <xdr:cNvSpPr/>
        </xdr:nvSpPr>
        <xdr:spPr>
          <a:xfrm>
            <a:off x="10500120" y="104155560"/>
            <a:ext cx="3857040" cy="1495440"/>
          </a:xfrm>
          <a:prstGeom prst="rect">
            <a:avLst/>
          </a:prstGeom>
          <a:noFill/>
          <a:ln w="9360">
            <a:solidFill>
              <a:srgbClr val="b4b4b4"/>
            </a:solidFill>
            <a:miter/>
          </a:ln>
        </xdr:spPr>
        <xdr:style>
          <a:lnRef idx="0"/>
          <a:fillRef idx="0"/>
          <a:effectRef idx="0"/>
          <a:fontRef idx="minor"/>
        </xdr:style>
        <xdr:txBody>
          <a:bodyPr lIns="90000" rIns="90000" tIns="46800" bIns="46800" anchor="t">
            <a:noAutofit/>
          </a:bodyPr>
          <a:p>
            <a:r>
              <a:rPr lang="en-US" sz="1200" b="1" u="none" strike="noStrike">
                <a:solidFill>
                  <a:srgbClr val="000000"/>
                </a:solidFill>
                <a:effectLst/>
                <a:uFillTx/>
                <a:latin typeface="Times New Roman"/>
              </a:rPr>
              <a:t>If one were to follow an expend stage, fill in the appropriate green cell to the lower left with the weight of the expended stage after separation.  This will wipe out the logic that enables following the upper stage, so: do not save the modified version back to replace the original.  Instead, save it to another file or delete it after getting answers.</a:t>
            </a:r>
            <a:endParaRPr lang="en-US" sz="1200" b="0" u="none" strike="noStrike">
              <a:effectLst/>
              <a:uFillTx/>
              <a:latin typeface="Times New Roman"/>
            </a:endParaRPr>
          </a:p>
          <a:p>
            <a:endParaRPr lang="en-US" sz="1200" b="0" u="none" strike="noStrike">
              <a:effectLst/>
              <a:uFillTx/>
              <a:latin typeface="Times New Roman"/>
            </a:endParaRPr>
          </a:p>
        </xdr:txBody>
      </xdr:sp>
    </xdr:grpSp>
    <xdr:clientData/>
  </xdr:twoCellAnchor>
  <xdr:twoCellAnchor editAs="oneCell">
    <xdr:from>
      <xdr:col>2</xdr:col>
      <xdr:colOff>8280</xdr:colOff>
      <xdr:row>523</xdr:row>
      <xdr:rowOff>141840</xdr:rowOff>
    </xdr:from>
    <xdr:to>
      <xdr:col>4</xdr:col>
      <xdr:colOff>54720</xdr:colOff>
      <xdr:row>533</xdr:row>
      <xdr:rowOff>94320</xdr:rowOff>
    </xdr:to>
    <xdr:cxnSp>
      <xdr:nvCxnSpPr>
        <xdr:cNvPr id="36" name="AutoShape 14169"/>
        <xdr:cNvCxnSpPr/>
      </xdr:nvCxnSpPr>
      <xdr:spPr>
        <a:xfrm flipV="1" rot="10800000">
          <a:off x="5313240" y="104907240"/>
          <a:ext cx="5190120" cy="1857960"/>
        </a:xfrm>
        <a:prstGeom prst="curvedConnector5">
          <a:avLst>
            <a:gd name="adj1" fmla="val 61549"/>
            <a:gd name="adj2" fmla="val 50000"/>
            <a:gd name="adj3" fmla="val 61549"/>
          </a:avLst>
        </a:prstGeom>
        <a:ln w="9360">
          <a:solidFill>
            <a:srgbClr val="000000"/>
          </a:solidFill>
          <a:miter/>
          <a:tailEnd len="med" type="triangle" w="med"/>
        </a:ln>
      </xdr:spPr>
    </xdr:cxn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322200</xdr:colOff>
      <xdr:row>9</xdr:row>
      <xdr:rowOff>105120</xdr:rowOff>
    </xdr:from>
    <xdr:to>
      <xdr:col>8</xdr:col>
      <xdr:colOff>835560</xdr:colOff>
      <xdr:row>21</xdr:row>
      <xdr:rowOff>38160</xdr:rowOff>
    </xdr:to>
    <xdr:pic>
      <xdr:nvPicPr>
        <xdr:cNvPr id="37" name="Picture 3"/>
        <xdr:cNvPicPr/>
      </xdr:nvPicPr>
      <xdr:blipFill>
        <a:blip r:embed="rId1"/>
        <a:stretch/>
      </xdr:blipFill>
      <xdr:spPr>
        <a:xfrm>
          <a:off x="4477680" y="2476800"/>
          <a:ext cx="5041440" cy="2219040"/>
        </a:xfrm>
        <a:prstGeom prst="rect">
          <a:avLst/>
        </a:prstGeom>
        <a:noFill/>
        <a:ln w="0">
          <a:noFill/>
        </a:ln>
      </xdr:spPr>
    </xdr:pic>
    <xdr:clientData/>
  </xdr:twoCellAnchor>
  <xdr:twoCellAnchor editAs="oneCell">
    <xdr:from>
      <xdr:col>0</xdr:col>
      <xdr:colOff>0</xdr:colOff>
      <xdr:row>10</xdr:row>
      <xdr:rowOff>162360</xdr:rowOff>
    </xdr:from>
    <xdr:to>
      <xdr:col>5</xdr:col>
      <xdr:colOff>142560</xdr:colOff>
      <xdr:row>19</xdr:row>
      <xdr:rowOff>28080</xdr:rowOff>
    </xdr:to>
    <xdr:pic>
      <xdr:nvPicPr>
        <xdr:cNvPr id="38" name="Picture 6"/>
        <xdr:cNvPicPr/>
      </xdr:nvPicPr>
      <xdr:blipFill>
        <a:blip r:embed="rId2"/>
        <a:stretch/>
      </xdr:blipFill>
      <xdr:spPr>
        <a:xfrm>
          <a:off x="0" y="2724480"/>
          <a:ext cx="5394600" cy="15804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N576"/>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A1" activeCellId="0" sqref="A1"/>
    </sheetView>
  </sheetViews>
  <sheetFormatPr defaultColWidth="9.13671875" defaultRowHeight="15" customHeight="false" zeroHeight="false" outlineLevelRow="0" outlineLevelCol="0"/>
  <cols>
    <col collapsed="false" customWidth="true" hidden="false" outlineLevel="0" max="1" min="1" style="1" width="44.41"/>
    <col collapsed="false" customWidth="true" hidden="false" outlineLevel="0" max="2" min="2" style="1" width="30.85"/>
    <col collapsed="false" customWidth="true" hidden="false" outlineLevel="0" max="3" min="3" style="1" width="33.41"/>
    <col collapsed="false" customWidth="true" hidden="false" outlineLevel="0" max="4" min="4" style="1" width="39.56"/>
    <col collapsed="false" customWidth="true" hidden="false" outlineLevel="0" max="5" min="5" style="1" width="47.14"/>
    <col collapsed="false" customWidth="true" hidden="false" outlineLevel="0" max="6" min="6" style="1" width="26.13"/>
    <col collapsed="false" customWidth="true" hidden="false" outlineLevel="0" max="7" min="7" style="1" width="24.56"/>
    <col collapsed="false" customWidth="true" hidden="false" outlineLevel="0" max="8" min="8" style="1" width="33.14"/>
    <col collapsed="false" customWidth="true" hidden="false" outlineLevel="0" max="9" min="9" style="1" width="20.85"/>
    <col collapsed="false" customWidth="true" hidden="false" outlineLevel="0" max="10" min="10" style="1" width="20.99"/>
    <col collapsed="false" customWidth="true" hidden="false" outlineLevel="0" max="11" min="11" style="1" width="15.7"/>
    <col collapsed="false" customWidth="true" hidden="false" outlineLevel="0" max="12" min="12" style="1" width="16.13"/>
    <col collapsed="false" customWidth="true" hidden="false" outlineLevel="0" max="13" min="13" style="1" width="14.7"/>
    <col collapsed="false" customWidth="true" hidden="false" outlineLevel="0" max="14" min="14" style="1" width="12.85"/>
    <col collapsed="false" customWidth="true" hidden="false" outlineLevel="0" max="15" min="15" style="1" width="15.56"/>
    <col collapsed="false" customWidth="false" hidden="false" outlineLevel="0" max="23" min="16" style="1" width="9.14"/>
    <col collapsed="false" customWidth="true" hidden="false" outlineLevel="0" max="24" min="24" style="1" width="10.28"/>
    <col collapsed="false" customWidth="false" hidden="false" outlineLevel="0" max="34" min="25" style="1" width="9.14"/>
    <col collapsed="false" customWidth="true" hidden="false" outlineLevel="0" max="35" min="35" style="1" width="10.13"/>
    <col collapsed="false" customWidth="true" hidden="false" outlineLevel="0" max="36" min="36" style="1" width="9.85"/>
    <col collapsed="false" customWidth="false" hidden="false" outlineLevel="0" max="257" min="37" style="1" width="9.14"/>
  </cols>
  <sheetData>
    <row r="3" customFormat="false" ht="15" hidden="false" customHeight="false" outlineLevel="0" collapsed="false">
      <c r="A3" s="2" t="s">
        <v>0</v>
      </c>
      <c r="B3" s="2"/>
      <c r="C3" s="2"/>
      <c r="D3" s="2"/>
      <c r="F3" s="2" t="s">
        <v>1</v>
      </c>
      <c r="G3" s="2"/>
      <c r="H3" s="2"/>
    </row>
    <row r="4" customFormat="false" ht="15" hidden="false" customHeight="false" outlineLevel="0" collapsed="false">
      <c r="A4" s="3" t="s">
        <v>2</v>
      </c>
      <c r="B4" s="3" t="s">
        <v>3</v>
      </c>
      <c r="C4" s="3" t="s">
        <v>4</v>
      </c>
      <c r="D4" s="3" t="s">
        <v>5</v>
      </c>
      <c r="F4" s="4" t="s">
        <v>2</v>
      </c>
      <c r="G4" s="3" t="s">
        <v>3</v>
      </c>
      <c r="H4" s="3" t="s">
        <v>5</v>
      </c>
    </row>
    <row r="5" customFormat="false" ht="25.5" hidden="false" customHeight="true" outlineLevel="0" collapsed="false">
      <c r="A5" s="5" t="s">
        <v>6</v>
      </c>
      <c r="B5" s="6" t="n">
        <v>32.174</v>
      </c>
      <c r="C5" s="1" t="s">
        <v>7</v>
      </c>
      <c r="F5" s="7" t="s">
        <v>8</v>
      </c>
      <c r="G5" s="6" t="n">
        <f aca="false">PI()/180</f>
        <v>0.0174532925199433</v>
      </c>
      <c r="H5" s="8" t="s">
        <v>9</v>
      </c>
      <c r="I5" s="8"/>
    </row>
    <row r="6" customFormat="false" ht="30" hidden="false" customHeight="true" outlineLevel="0" collapsed="false">
      <c r="A6" s="9" t="s">
        <v>10</v>
      </c>
      <c r="B6" s="6" t="n">
        <v>20855437.3</v>
      </c>
      <c r="C6" s="1" t="s">
        <v>11</v>
      </c>
      <c r="D6" s="1" t="s">
        <v>12</v>
      </c>
      <c r="F6" s="7" t="s">
        <v>13</v>
      </c>
      <c r="G6" s="10" t="n">
        <f aca="false">B12/(B10*G7)</f>
        <v>0.00217717079900691</v>
      </c>
    </row>
    <row r="7" customFormat="false" ht="31.5" hidden="false" customHeight="true" outlineLevel="0" collapsed="false">
      <c r="A7" s="9" t="s">
        <v>14</v>
      </c>
      <c r="B7" s="6" t="n">
        <v>20925597.9</v>
      </c>
      <c r="C7" s="1" t="s">
        <v>11</v>
      </c>
      <c r="D7" s="1" t="s">
        <v>15</v>
      </c>
      <c r="F7" s="7" t="s">
        <v>16</v>
      </c>
      <c r="G7" s="10" t="n">
        <f aca="false">G9-B13*B65+459.67</f>
        <v>566.4386476</v>
      </c>
    </row>
    <row r="8" customFormat="false" ht="28.5" hidden="false" customHeight="true" outlineLevel="0" collapsed="false">
      <c r="A8" s="9" t="s">
        <v>17</v>
      </c>
      <c r="B8" s="6" t="n">
        <v>27900</v>
      </c>
      <c r="C8" s="1" t="s">
        <v>11</v>
      </c>
      <c r="D8" s="1" t="s">
        <v>18</v>
      </c>
      <c r="F8" s="7" t="s">
        <v>19</v>
      </c>
      <c r="G8" s="10" t="n">
        <f aca="false">1/SQRT((COS(B74*G5)/B9)^2+(SIN(B74*G5)/B8)^2)</f>
        <v>39190.8679976605</v>
      </c>
    </row>
    <row r="9" customFormat="false" ht="32.25" hidden="false" customHeight="true" outlineLevel="0" collapsed="false">
      <c r="A9" s="9" t="s">
        <v>20</v>
      </c>
      <c r="B9" s="6" t="n">
        <v>52500</v>
      </c>
      <c r="C9" s="1" t="s">
        <v>11</v>
      </c>
      <c r="D9" s="1" t="s">
        <v>21</v>
      </c>
      <c r="F9" s="7" t="s">
        <v>22</v>
      </c>
      <c r="G9" s="11" t="n">
        <v>100</v>
      </c>
    </row>
    <row r="10" customFormat="false" ht="32.25" hidden="false" customHeight="true" outlineLevel="0" collapsed="false">
      <c r="A10" s="9" t="s">
        <v>23</v>
      </c>
      <c r="B10" s="6" t="n">
        <v>1716</v>
      </c>
      <c r="C10" s="1" t="s">
        <v>24</v>
      </c>
      <c r="D10" s="1" t="s">
        <v>25</v>
      </c>
      <c r="F10" s="7" t="s">
        <v>26</v>
      </c>
      <c r="G10" s="10" t="n">
        <f aca="false">B12*(G11/G7)^(-B5/(B13*B10))</f>
        <v>477.089150494212</v>
      </c>
    </row>
    <row r="11" customFormat="false" ht="30" hidden="false" customHeight="true" outlineLevel="0" collapsed="false">
      <c r="A11" s="9" t="s">
        <v>27</v>
      </c>
      <c r="B11" s="6" t="n">
        <v>1.405</v>
      </c>
      <c r="D11" s="1" t="s">
        <v>28</v>
      </c>
      <c r="F11" s="7" t="s">
        <v>29</v>
      </c>
      <c r="G11" s="10" t="n">
        <f aca="false">G7+B13*G8</f>
        <v>426.676174146743</v>
      </c>
    </row>
    <row r="12" customFormat="false" ht="27.75" hidden="false" customHeight="true" outlineLevel="0" collapsed="false">
      <c r="A12" s="9" t="s">
        <v>30</v>
      </c>
      <c r="B12" s="6" t="n">
        <v>2116.229</v>
      </c>
      <c r="C12" s="1" t="s">
        <v>31</v>
      </c>
      <c r="D12" s="1" t="s">
        <v>32</v>
      </c>
      <c r="F12" s="12"/>
      <c r="G12" s="12"/>
    </row>
    <row r="13" customFormat="false" ht="30" hidden="false" customHeight="true" outlineLevel="0" collapsed="false">
      <c r="A13" s="9" t="s">
        <v>33</v>
      </c>
      <c r="B13" s="6" t="n">
        <v>-0.0035662</v>
      </c>
      <c r="C13" s="13" t="s">
        <v>34</v>
      </c>
      <c r="D13" s="1" t="s">
        <v>35</v>
      </c>
    </row>
    <row r="14" customFormat="false" ht="45" hidden="false" customHeight="true" outlineLevel="0" collapsed="false">
      <c r="A14" s="9" t="s">
        <v>36</v>
      </c>
      <c r="B14" s="6" t="n">
        <f aca="false">PI()</f>
        <v>3.14159265358979</v>
      </c>
    </row>
    <row r="15" customFormat="false" ht="47.25" hidden="false" customHeight="true" outlineLevel="0" collapsed="false">
      <c r="A15" s="14" t="s">
        <v>37</v>
      </c>
      <c r="B15" s="6" t="n">
        <v>20925597.9</v>
      </c>
    </row>
    <row r="16" customFormat="false" ht="33" hidden="false" customHeight="true" outlineLevel="0" collapsed="false">
      <c r="A16" s="14" t="s">
        <v>38</v>
      </c>
      <c r="B16" s="6" t="n">
        <v>20855437.3</v>
      </c>
    </row>
    <row r="17" customFormat="false" ht="41.25" hidden="false" customHeight="true" outlineLevel="0" collapsed="false">
      <c r="E17" s="8"/>
      <c r="F17" s="15" t="s">
        <v>39</v>
      </c>
      <c r="G17" s="16" t="n">
        <f aca="false">B73</f>
        <v>0</v>
      </c>
    </row>
    <row r="18" customFormat="false" ht="53.25" hidden="false" customHeight="true" outlineLevel="0" collapsed="false">
      <c r="F18" s="15" t="s">
        <v>40</v>
      </c>
      <c r="G18" s="17" t="s">
        <v>41</v>
      </c>
    </row>
    <row r="19" customFormat="false" ht="22.5" hidden="false" customHeight="true" outlineLevel="0" collapsed="false">
      <c r="A19" s="18" t="s">
        <v>42</v>
      </c>
      <c r="J19" s="1" t="s">
        <v>43</v>
      </c>
    </row>
    <row r="20" customFormat="false" ht="45" hidden="false" customHeight="false" outlineLevel="0" collapsed="false">
      <c r="A20" s="19" t="s">
        <v>44</v>
      </c>
      <c r="B20" s="20" t="s">
        <v>45</v>
      </c>
      <c r="C20" s="20" t="s">
        <v>46</v>
      </c>
      <c r="D20" s="21" t="s">
        <v>47</v>
      </c>
      <c r="F20" s="22" t="s">
        <v>48</v>
      </c>
      <c r="G20" s="23" t="s">
        <v>49</v>
      </c>
      <c r="H20" s="23" t="str">
        <f aca="false">IF(inputsheet!G18=TRUE(),("In-Plane Wind Component, ft/s"),IF(inputsheet!G18=FALSE(),("Cross-Plane Wind Component, ft/s"),"No Winds, ft/s"))</f>
        <v>No Winds, ft/s</v>
      </c>
      <c r="I20" s="24" t="s">
        <v>50</v>
      </c>
      <c r="K20" s="20" t="s">
        <v>51</v>
      </c>
      <c r="L20" s="23" t="s">
        <v>49</v>
      </c>
      <c r="M20" s="20" t="s">
        <v>52</v>
      </c>
      <c r="N20" s="20" t="s">
        <v>53</v>
      </c>
    </row>
    <row r="21" customFormat="false" ht="15" hidden="false" customHeight="false" outlineLevel="0" collapsed="false">
      <c r="B21" s="25" t="n">
        <v>0</v>
      </c>
      <c r="C21" s="25" t="n">
        <v>0</v>
      </c>
      <c r="D21" s="10" t="n">
        <f aca="false">(C22-C21)/(B22-B21)</f>
        <v>0.46890593</v>
      </c>
      <c r="G21" s="26" t="n">
        <v>0</v>
      </c>
      <c r="H21" s="0"/>
      <c r="I21" s="1" t="n">
        <f aca="false">(H22-H21)/(G22-G21)</f>
        <v>0</v>
      </c>
      <c r="L21" s="26" t="n">
        <v>0</v>
      </c>
      <c r="M21" s="11" t="n">
        <v>0</v>
      </c>
      <c r="N21" s="11" t="n">
        <v>0</v>
      </c>
    </row>
    <row r="22" customFormat="false" ht="15" hidden="false" customHeight="false" outlineLevel="0" collapsed="false">
      <c r="B22" s="25" t="n">
        <v>0.1</v>
      </c>
      <c r="C22" s="25" t="n">
        <v>0.046890593</v>
      </c>
      <c r="D22" s="10" t="n">
        <f aca="false">(C23-C22)/(B23-B22)</f>
        <v>0.59083927</v>
      </c>
      <c r="G22" s="27" t="n">
        <v>5</v>
      </c>
      <c r="H22" s="0"/>
      <c r="I22" s="1" t="n">
        <f aca="false">(H23-H22)/(G23-G22)</f>
        <v>0</v>
      </c>
      <c r="K22" s="8"/>
      <c r="L22" s="27" t="n">
        <v>65</v>
      </c>
      <c r="M22" s="11" t="n">
        <v>-6</v>
      </c>
      <c r="N22" s="11" t="n">
        <v>-6</v>
      </c>
    </row>
    <row r="23" customFormat="false" ht="15" hidden="false" customHeight="false" outlineLevel="0" collapsed="false">
      <c r="B23" s="25" t="n">
        <v>0.2</v>
      </c>
      <c r="C23" s="25" t="n">
        <v>0.10597452</v>
      </c>
      <c r="D23" s="10" t="n">
        <f aca="false">(C24-C23)/(B24-B23)</f>
        <v>0.5782041</v>
      </c>
      <c r="G23" s="27" t="n">
        <v>10</v>
      </c>
      <c r="H23" s="0"/>
      <c r="I23" s="1" t="n">
        <f aca="false">(H24-H23)/(G24-G23)</f>
        <v>0</v>
      </c>
      <c r="K23" s="8"/>
      <c r="L23" s="27" t="n">
        <v>400</v>
      </c>
      <c r="M23" s="11" t="n">
        <v>-11</v>
      </c>
      <c r="N23" s="11" t="n">
        <v>-11</v>
      </c>
    </row>
    <row r="24" customFormat="false" ht="15" hidden="false" customHeight="false" outlineLevel="0" collapsed="false">
      <c r="B24" s="25" t="n">
        <v>0.3</v>
      </c>
      <c r="C24" s="25" t="n">
        <v>0.16379493</v>
      </c>
      <c r="D24" s="10" t="n">
        <f aca="false">(C25-C24)/(B25-B24)</f>
        <v>0.5425294</v>
      </c>
      <c r="G24" s="26" t="n">
        <v>15</v>
      </c>
      <c r="H24" s="0"/>
      <c r="I24" s="1" t="n">
        <f aca="false">(H25-H24)/(G25-G24)</f>
        <v>0</v>
      </c>
      <c r="L24" s="27" t="n">
        <v>600</v>
      </c>
      <c r="M24" s="11"/>
      <c r="N24" s="11"/>
    </row>
    <row r="25" customFormat="false" ht="15" hidden="false" customHeight="false" outlineLevel="0" collapsed="false">
      <c r="B25" s="25" t="n">
        <v>0.4</v>
      </c>
      <c r="C25" s="25" t="n">
        <v>0.21804787</v>
      </c>
      <c r="D25" s="10" t="n">
        <f aca="false">(C26-C25)/(B26-B25)</f>
        <v>0.5018508</v>
      </c>
      <c r="G25" s="27" t="n">
        <v>20</v>
      </c>
      <c r="H25" s="0"/>
      <c r="I25" s="1" t="n">
        <f aca="false">(H26-H25)/(G26-G25)</f>
        <v>0</v>
      </c>
      <c r="L25" s="27" t="n">
        <v>650</v>
      </c>
      <c r="M25" s="11"/>
      <c r="N25" s="11"/>
    </row>
    <row r="26" customFormat="false" ht="15" hidden="false" customHeight="false" outlineLevel="0" collapsed="false">
      <c r="B26" s="28" t="n">
        <v>0.5</v>
      </c>
      <c r="C26" s="28" t="n">
        <v>0.26823295</v>
      </c>
      <c r="D26" s="10" t="n">
        <f aca="false">(C27-C26)/(B27-B26)</f>
        <v>0.4428315</v>
      </c>
      <c r="G26" s="27" t="n">
        <v>25</v>
      </c>
      <c r="H26" s="0"/>
      <c r="I26" s="1" t="n">
        <f aca="false">(H27-H26)/(G27-G26)</f>
        <v>-0</v>
      </c>
      <c r="L26" s="27" t="n">
        <v>700</v>
      </c>
      <c r="M26" s="11"/>
      <c r="N26" s="11"/>
    </row>
    <row r="27" customFormat="false" ht="15" hidden="false" customHeight="false" outlineLevel="0" collapsed="false">
      <c r="B27" s="29" t="n">
        <v>0.7</v>
      </c>
      <c r="C27" s="29" t="n">
        <v>0.35679925</v>
      </c>
      <c r="D27" s="10" t="n">
        <f aca="false">(C28-C27)/(B28-B27)</f>
        <v>0.37347705</v>
      </c>
      <c r="G27" s="27" t="n">
        <f aca="false">B78</f>
        <v>23.536205079543</v>
      </c>
      <c r="H27" s="0"/>
      <c r="I27" s="1" t="n">
        <f aca="false">(H28-H27)/(G28-G27)</f>
        <v>0</v>
      </c>
      <c r="L27" s="27" t="n">
        <v>750</v>
      </c>
      <c r="M27" s="11"/>
      <c r="N27" s="11"/>
    </row>
    <row r="28" customFormat="false" ht="15" hidden="false" customHeight="false" outlineLevel="0" collapsed="false">
      <c r="B28" s="29" t="n">
        <v>0.9</v>
      </c>
      <c r="C28" s="29" t="n">
        <v>0.43149466</v>
      </c>
      <c r="D28" s="10" t="n">
        <f aca="false">(C29-C28)/(B29-B28)</f>
        <v>0.2925749</v>
      </c>
      <c r="G28" s="27" t="n">
        <v>50</v>
      </c>
      <c r="H28" s="0"/>
      <c r="I28" s="1" t="n">
        <f aca="false">(H29-H28)/(G29-G28)</f>
        <v>0</v>
      </c>
      <c r="L28" s="27" t="n">
        <v>800</v>
      </c>
      <c r="M28" s="11"/>
      <c r="N28" s="11"/>
    </row>
    <row r="29" customFormat="false" ht="15" hidden="false" customHeight="false" outlineLevel="0" collapsed="false">
      <c r="B29" s="29" t="n">
        <v>1.3</v>
      </c>
      <c r="C29" s="29" t="n">
        <v>0.54852462</v>
      </c>
      <c r="D29" s="10" t="n">
        <f aca="false">(C30-C29)/(B30-B29)</f>
        <v>0.214596525</v>
      </c>
      <c r="G29" s="27" t="n">
        <v>55</v>
      </c>
      <c r="H29" s="0"/>
      <c r="I29" s="1" t="n">
        <f aca="false">(H30-H29)/(G30-G29)</f>
        <v>0</v>
      </c>
      <c r="L29" s="27" t="n">
        <v>850</v>
      </c>
      <c r="M29" s="11"/>
      <c r="N29" s="11"/>
    </row>
    <row r="30" customFormat="false" ht="15" hidden="false" customHeight="false" outlineLevel="0" collapsed="false">
      <c r="B30" s="29" t="n">
        <v>1.7</v>
      </c>
      <c r="C30" s="29" t="n">
        <v>0.63436323</v>
      </c>
      <c r="D30" s="10" t="n">
        <f aca="false">(C31-C30)/(B31-B30)</f>
        <v>0.15618584</v>
      </c>
      <c r="G30" s="26" t="n">
        <v>65</v>
      </c>
      <c r="H30" s="0"/>
      <c r="I30" s="1" t="n">
        <f aca="false">(H31-H30)/(G31-G30)</f>
        <v>0</v>
      </c>
      <c r="L30" s="27" t="n">
        <v>900</v>
      </c>
      <c r="M30" s="11"/>
      <c r="N30" s="11"/>
    </row>
    <row r="31" customFormat="false" ht="15" hidden="false" customHeight="false" outlineLevel="0" collapsed="false">
      <c r="B31" s="29" t="n">
        <v>2.2</v>
      </c>
      <c r="C31" s="29" t="n">
        <v>0.71245615</v>
      </c>
      <c r="D31" s="10" t="n">
        <f aca="false">(C32-C31)/(B32-B31)</f>
        <v>0.101009566666667</v>
      </c>
      <c r="G31" s="27" t="n">
        <v>70</v>
      </c>
      <c r="H31" s="0"/>
      <c r="I31" s="1" t="n">
        <f aca="false">(H32-H31)/(G32-G31)</f>
        <v>0</v>
      </c>
      <c r="L31" s="27" t="n">
        <v>1000</v>
      </c>
      <c r="M31" s="11"/>
      <c r="N31" s="11"/>
    </row>
    <row r="32" customFormat="false" ht="15" hidden="false" customHeight="false" outlineLevel="0" collapsed="false">
      <c r="B32" s="29" t="n">
        <v>3.1</v>
      </c>
      <c r="C32" s="29" t="n">
        <v>0.80336476</v>
      </c>
      <c r="D32" s="10" t="n">
        <f aca="false">(C33-C32)/(B33-B32)</f>
        <v>0.0492006157894737</v>
      </c>
      <c r="G32" s="27" t="n">
        <v>80</v>
      </c>
      <c r="H32" s="0"/>
      <c r="I32" s="1" t="n">
        <f aca="false">(H33-H32)/(G33-G32)</f>
        <v>0</v>
      </c>
      <c r="L32" s="27" t="n">
        <v>1100</v>
      </c>
      <c r="M32" s="11"/>
      <c r="N32" s="11"/>
    </row>
    <row r="33" customFormat="false" ht="15" hidden="false" customHeight="false" outlineLevel="0" collapsed="false">
      <c r="B33" s="30" t="n">
        <v>5</v>
      </c>
      <c r="C33" s="28" t="n">
        <v>0.89684593</v>
      </c>
      <c r="D33" s="10" t="n">
        <f aca="false">(C34-C33)/(B34-B33)</f>
        <v>0.01415292</v>
      </c>
      <c r="G33" s="26" t="n">
        <v>90</v>
      </c>
      <c r="H33" s="0"/>
      <c r="I33" s="1" t="n">
        <f aca="false">(H34-H33)/(G34-G33)</f>
        <v>0</v>
      </c>
      <c r="L33" s="27" t="n">
        <v>1200</v>
      </c>
      <c r="M33" s="11"/>
      <c r="N33" s="11"/>
    </row>
    <row r="34" customFormat="false" ht="15" hidden="false" customHeight="false" outlineLevel="0" collapsed="false">
      <c r="B34" s="29" t="n">
        <v>10</v>
      </c>
      <c r="C34" s="29" t="n">
        <v>0.96761053</v>
      </c>
      <c r="D34" s="10" t="n">
        <f aca="false">(C35-C34)/(B35-B34)</f>
        <v>0.00397976333333335</v>
      </c>
      <c r="G34" s="27" t="n">
        <v>100</v>
      </c>
      <c r="H34" s="0"/>
      <c r="I34" s="1" t="n">
        <f aca="false">(H35-H34)/(G35-G34)</f>
        <v>0</v>
      </c>
      <c r="L34" s="27" t="n">
        <v>1300</v>
      </c>
      <c r="M34" s="11"/>
      <c r="N34" s="11"/>
    </row>
    <row r="35" customFormat="false" ht="15" hidden="false" customHeight="false" outlineLevel="0" collapsed="false">
      <c r="B35" s="29" t="n">
        <v>13</v>
      </c>
      <c r="C35" s="29" t="n">
        <v>0.97954982</v>
      </c>
      <c r="D35" s="10" t="n">
        <f aca="false">(C36-C35)/(B36-B35)</f>
        <v>0.00240085499999998</v>
      </c>
      <c r="G35" s="27" t="n">
        <v>125</v>
      </c>
      <c r="H35" s="0"/>
      <c r="I35" s="1" t="n">
        <f aca="false">(H36-H35)/(G36-G35)</f>
        <v>0</v>
      </c>
      <c r="L35" s="27" t="n">
        <v>1400</v>
      </c>
      <c r="M35" s="11"/>
      <c r="N35" s="11"/>
    </row>
    <row r="36" customFormat="false" ht="15" hidden="false" customHeight="false" outlineLevel="0" collapsed="false">
      <c r="B36" s="29" t="n">
        <v>15</v>
      </c>
      <c r="C36" s="29" t="n">
        <v>0.98435153</v>
      </c>
      <c r="D36" s="10" t="n">
        <f aca="false">(C37-C36)/(B37-B36)</f>
        <v>0.00152790333333334</v>
      </c>
      <c r="G36" s="26" t="n">
        <v>150</v>
      </c>
      <c r="H36" s="0"/>
      <c r="I36" s="1" t="n">
        <f aca="false">(H37-H36)/(G37-G36)</f>
        <v>0</v>
      </c>
      <c r="L36" s="27" t="n">
        <v>1500</v>
      </c>
      <c r="M36" s="11"/>
      <c r="N36" s="11"/>
    </row>
    <row r="37" customFormat="false" ht="15" hidden="false" customHeight="false" outlineLevel="0" collapsed="false">
      <c r="B37" s="29" t="n">
        <v>18</v>
      </c>
      <c r="C37" s="29" t="n">
        <v>0.98893524</v>
      </c>
      <c r="D37" s="10" t="n">
        <f aca="false">(C38-C37)/(B38-B37)</f>
        <v>0.00101486000000001</v>
      </c>
      <c r="G37" s="27" t="n">
        <v>200</v>
      </c>
      <c r="H37" s="0"/>
      <c r="I37" s="1" t="n">
        <f aca="false">(H38-H37)/(G38-G37)</f>
        <v>0</v>
      </c>
      <c r="L37" s="27" t="n">
        <v>1600</v>
      </c>
      <c r="M37" s="11"/>
      <c r="N37" s="11"/>
    </row>
    <row r="38" customFormat="false" ht="15" hidden="false" customHeight="false" outlineLevel="0" collapsed="false">
      <c r="B38" s="29" t="n">
        <v>20</v>
      </c>
      <c r="C38" s="29" t="n">
        <v>0.99096496</v>
      </c>
      <c r="D38" s="10" t="n">
        <f aca="false">(C39-C38)/(B39-B38)</f>
        <v>0.000714873333333347</v>
      </c>
      <c r="G38" s="27" t="n">
        <v>300</v>
      </c>
      <c r="H38" s="0"/>
      <c r="I38" s="1" t="n">
        <f aca="false">(H39-H38)/(G39-G38)</f>
        <v>0</v>
      </c>
      <c r="L38" s="27" t="n">
        <v>1700</v>
      </c>
      <c r="M38" s="11"/>
      <c r="N38" s="11"/>
    </row>
    <row r="39" customFormat="false" ht="15" hidden="false" customHeight="false" outlineLevel="0" collapsed="false">
      <c r="B39" s="29" t="n">
        <v>23</v>
      </c>
      <c r="C39" s="29" t="n">
        <v>0.99310958</v>
      </c>
      <c r="D39" s="10" t="n">
        <f aca="false">(C40-C39)/(B40-B39)</f>
        <v>0.000517164999999986</v>
      </c>
      <c r="G39" s="26" t="n">
        <v>400</v>
      </c>
      <c r="H39" s="0"/>
      <c r="I39" s="1" t="n">
        <f aca="false">(H40-H39)/(G40-G39)</f>
        <v>0</v>
      </c>
      <c r="L39" s="27" t="n">
        <v>1800</v>
      </c>
      <c r="M39" s="11"/>
      <c r="N39" s="11"/>
    </row>
    <row r="40" customFormat="false" ht="15" hidden="false" customHeight="false" outlineLevel="0" collapsed="false">
      <c r="B40" s="29" t="n">
        <v>25</v>
      </c>
      <c r="C40" s="29" t="n">
        <v>0.99414391</v>
      </c>
      <c r="D40" s="10" t="n">
        <f aca="false">(C41-C40)/(B41-B40)</f>
        <v>0.000388690000000006</v>
      </c>
      <c r="G40" s="27" t="n">
        <v>600</v>
      </c>
      <c r="H40" s="0"/>
      <c r="I40" s="1" t="n">
        <f aca="false">(H41-H40)/(G41-G40)</f>
        <v>0</v>
      </c>
      <c r="L40" s="27" t="n">
        <v>1900</v>
      </c>
      <c r="M40" s="11"/>
      <c r="N40" s="11"/>
    </row>
    <row r="41" customFormat="false" ht="15" hidden="false" customHeight="false" outlineLevel="0" collapsed="false">
      <c r="B41" s="29" t="n">
        <v>28</v>
      </c>
      <c r="C41" s="29" t="n">
        <v>0.99530998</v>
      </c>
      <c r="D41" s="10" t="n">
        <f aca="false">(C42-C41)/(B42-B41)</f>
        <v>0.000283676666666658</v>
      </c>
      <c r="G41" s="27" t="n">
        <v>1500</v>
      </c>
      <c r="H41" s="0"/>
      <c r="I41" s="1" t="n">
        <f aca="false">(H42-H41)/(G42-G41)</f>
        <v>0</v>
      </c>
      <c r="L41" s="27" t="n">
        <v>2000</v>
      </c>
      <c r="M41" s="11"/>
      <c r="N41" s="11"/>
    </row>
    <row r="42" customFormat="false" ht="15" hidden="false" customHeight="false" outlineLevel="0" collapsed="false">
      <c r="B42" s="29" t="n">
        <v>31</v>
      </c>
      <c r="C42" s="29" t="n">
        <v>0.99616101</v>
      </c>
      <c r="D42" s="10" t="n">
        <f aca="false">(C43-C42)/(B43-B42)</f>
        <v>0.000213217333333312</v>
      </c>
      <c r="G42" s="27" t="n">
        <v>2000</v>
      </c>
      <c r="H42" s="0"/>
      <c r="I42" s="1" t="n">
        <f aca="false">(H43-H42)/(G43-G42)</f>
        <v>0</v>
      </c>
      <c r="L42" s="27" t="n">
        <v>2100</v>
      </c>
      <c r="M42" s="11"/>
      <c r="N42" s="11"/>
    </row>
    <row r="43" customFormat="false" ht="15" hidden="false" customHeight="false" outlineLevel="0" collapsed="false">
      <c r="B43" s="29" t="n">
        <v>34</v>
      </c>
      <c r="C43" s="29" t="n">
        <v>0.996800662</v>
      </c>
      <c r="D43" s="10" t="n">
        <f aca="false">(C44-C43)/(B44-B43)</f>
        <v>0.000164182666666698</v>
      </c>
      <c r="G43" s="27" t="n">
        <v>2500</v>
      </c>
      <c r="H43" s="0"/>
      <c r="I43" s="1" t="n">
        <f aca="false">(H44-H43)/(G44-G43)</f>
        <v>0</v>
      </c>
      <c r="L43" s="27" t="n">
        <v>2200</v>
      </c>
      <c r="M43" s="11"/>
      <c r="N43" s="11"/>
    </row>
    <row r="44" customFormat="false" ht="15" hidden="false" customHeight="false" outlineLevel="0" collapsed="false">
      <c r="B44" s="29" t="n">
        <v>37</v>
      </c>
      <c r="C44" s="29" t="n">
        <v>0.99729321</v>
      </c>
      <c r="D44" s="10" t="n">
        <f aca="false">(C45-C44)/(B45-B44)</f>
        <v>0.000129086666666667</v>
      </c>
      <c r="G44" s="27" t="n">
        <v>3000</v>
      </c>
      <c r="H44" s="0"/>
      <c r="I44" s="1" t="n">
        <f aca="false">(H45-H44)/(G45-G44)</f>
        <v>0</v>
      </c>
      <c r="L44" s="27" t="n">
        <v>2300</v>
      </c>
      <c r="M44" s="11"/>
      <c r="N44" s="11"/>
    </row>
    <row r="45" customFormat="false" ht="15" hidden="false" customHeight="false" outlineLevel="0" collapsed="false">
      <c r="B45" s="29" t="n">
        <v>40</v>
      </c>
      <c r="C45" s="29" t="n">
        <v>0.99768047</v>
      </c>
      <c r="D45" s="10" t="n">
        <f aca="false">(C46-C45)/(B46-B45)</f>
        <v>0.000100179999999968</v>
      </c>
      <c r="G45" s="27" t="n">
        <v>3500</v>
      </c>
      <c r="H45" s="0"/>
      <c r="I45" s="1" t="n">
        <f aca="false">(H46-H45)/(G46-G45)</f>
        <v>0</v>
      </c>
      <c r="L45" s="27" t="n">
        <v>2400</v>
      </c>
      <c r="M45" s="11"/>
      <c r="N45" s="11"/>
    </row>
    <row r="46" customFormat="false" ht="15" hidden="false" customHeight="false" outlineLevel="0" collapsed="false">
      <c r="B46" s="29" t="n">
        <v>43</v>
      </c>
      <c r="C46" s="29" t="n">
        <v>0.99798101</v>
      </c>
      <c r="D46" s="10" t="n">
        <f aca="false">(C47-C46)/(B47-B46)</f>
        <v>8.70000000000222E-005</v>
      </c>
      <c r="G46" s="27" t="n">
        <v>4000</v>
      </c>
      <c r="H46" s="0"/>
      <c r="I46" s="1" t="n">
        <f aca="false">(H47-H46)/(G47-G46)</f>
        <v>0</v>
      </c>
      <c r="L46" s="27" t="n">
        <v>2500</v>
      </c>
      <c r="M46" s="11"/>
      <c r="N46" s="11"/>
    </row>
    <row r="47" customFormat="false" ht="15" hidden="false" customHeight="false" outlineLevel="0" collapsed="false">
      <c r="B47" s="29" t="n">
        <v>46</v>
      </c>
      <c r="C47" s="29" t="n">
        <v>0.99824201</v>
      </c>
      <c r="D47" s="10" t="n">
        <f aca="false">(C48-C47)/(B48-B47)</f>
        <v>6.90666666666543E-005</v>
      </c>
      <c r="G47" s="27" t="n">
        <v>5000</v>
      </c>
      <c r="H47" s="0"/>
      <c r="I47" s="1" t="n">
        <f aca="false">(H48-H47)/(G48-G47)</f>
        <v>0</v>
      </c>
      <c r="L47" s="27" t="n">
        <v>2600</v>
      </c>
      <c r="M47" s="11"/>
      <c r="N47" s="11"/>
    </row>
    <row r="48" customFormat="false" ht="15" hidden="false" customHeight="false" outlineLevel="0" collapsed="false">
      <c r="B48" s="29" t="n">
        <v>49</v>
      </c>
      <c r="C48" s="29" t="n">
        <v>0.99844921</v>
      </c>
      <c r="D48" s="10" t="n">
        <f aca="false">(C49-C48)/(B49-B48)</f>
        <v>5.75266666666593E-005</v>
      </c>
      <c r="G48" s="27" t="n">
        <v>6000</v>
      </c>
      <c r="H48" s="0"/>
      <c r="I48" s="1" t="n">
        <f aca="false">(H49-H48)/(G49-G48)</f>
        <v>0</v>
      </c>
      <c r="L48" s="27" t="n">
        <v>2700</v>
      </c>
      <c r="M48" s="11"/>
      <c r="N48" s="11"/>
    </row>
    <row r="49" customFormat="false" ht="15" hidden="false" customHeight="false" outlineLevel="0" collapsed="false">
      <c r="B49" s="29" t="n">
        <v>52</v>
      </c>
      <c r="C49" s="29" t="n">
        <v>0.99862179</v>
      </c>
      <c r="D49" s="10" t="n">
        <f aca="false">(C50-C49)/(B50-B49)</f>
        <v>4.84133333333488E-005</v>
      </c>
      <c r="G49" s="27" t="n">
        <v>7000</v>
      </c>
      <c r="H49" s="0"/>
      <c r="I49" s="1" t="n">
        <f aca="false">(H50-H49)/(G50-G49)</f>
        <v>0</v>
      </c>
      <c r="L49" s="27" t="n">
        <v>2800</v>
      </c>
      <c r="M49" s="11"/>
      <c r="N49" s="11"/>
    </row>
    <row r="50" customFormat="false" ht="15" hidden="false" customHeight="false" outlineLevel="0" collapsed="false">
      <c r="B50" s="29" t="n">
        <v>55</v>
      </c>
      <c r="C50" s="29" t="n">
        <v>0.99876703</v>
      </c>
      <c r="D50" s="10" t="n">
        <f aca="false">(C51-C50)/(B51-B50)</f>
        <v>4.11200000000056E-005</v>
      </c>
      <c r="G50" s="27" t="n">
        <v>8000</v>
      </c>
      <c r="H50" s="0"/>
      <c r="I50" s="1" t="n">
        <f aca="false">(H51-H50)/(G51-G50)</f>
        <v>0</v>
      </c>
      <c r="L50" s="27" t="n">
        <v>2900</v>
      </c>
      <c r="M50" s="11"/>
      <c r="N50" s="11"/>
    </row>
    <row r="51" customFormat="false" ht="15" hidden="false" customHeight="false" outlineLevel="0" collapsed="false">
      <c r="B51" s="29" t="n">
        <v>58</v>
      </c>
      <c r="C51" s="29" t="n">
        <v>0.99889039</v>
      </c>
      <c r="D51" s="10" t="n">
        <f aca="false">(C52-C51)/(B52-B51)</f>
        <v>3.52166666666524E-005</v>
      </c>
      <c r="G51" s="27" t="n">
        <v>9000</v>
      </c>
      <c r="H51" s="0"/>
      <c r="I51" s="1" t="n">
        <f aca="false">(H52-H51)/(G52-G51)</f>
        <v>0</v>
      </c>
      <c r="L51" s="27" t="n">
        <v>3000</v>
      </c>
      <c r="M51" s="11"/>
      <c r="N51" s="11"/>
    </row>
    <row r="52" customFormat="false" ht="15" hidden="false" customHeight="false" outlineLevel="0" collapsed="false">
      <c r="B52" s="29" t="n">
        <v>61</v>
      </c>
      <c r="C52" s="29" t="n">
        <v>0.99899604</v>
      </c>
      <c r="D52" s="10" t="n">
        <f aca="false">(C53-C52)/(B53-B52)</f>
        <v>3.03933333333598E-005</v>
      </c>
      <c r="G52" s="27" t="n">
        <v>10000</v>
      </c>
      <c r="H52" s="0"/>
      <c r="I52" s="1" t="n">
        <f aca="false">(H53-H52)/(G53-G52)</f>
        <v>0</v>
      </c>
      <c r="L52" s="27" t="n">
        <v>4000</v>
      </c>
      <c r="M52" s="11"/>
      <c r="N52" s="11"/>
    </row>
    <row r="53" customFormat="false" ht="15" hidden="false" customHeight="false" outlineLevel="0" collapsed="false">
      <c r="B53" s="29" t="n">
        <v>64</v>
      </c>
      <c r="C53" s="29" t="n">
        <v>0.99908722</v>
      </c>
      <c r="D53" s="10" t="n">
        <f aca="false">(C54-C53)/(B54-B53)</f>
        <v>2.39233333333052E-005</v>
      </c>
      <c r="G53" s="27" t="n">
        <v>11000</v>
      </c>
      <c r="H53" s="0"/>
      <c r="I53" s="1" t="n">
        <f aca="false">(H54-H53)/(G54-G53)</f>
        <v>0</v>
      </c>
      <c r="L53" s="27" t="n">
        <v>5000</v>
      </c>
      <c r="M53" s="11"/>
      <c r="N53" s="11"/>
    </row>
    <row r="54" customFormat="false" ht="15" hidden="false" customHeight="false" outlineLevel="0" collapsed="false">
      <c r="B54" s="29" t="n">
        <v>67</v>
      </c>
      <c r="C54" s="29" t="n">
        <v>0.99915899</v>
      </c>
      <c r="D54" s="10" t="n">
        <f aca="false">(C55-C54)/(B55-B54)</f>
        <v>2.55666666666802E-005</v>
      </c>
      <c r="G54" s="27" t="n">
        <v>12000</v>
      </c>
      <c r="H54" s="0"/>
      <c r="I54" s="1" t="n">
        <f aca="false">(H55-H54)/(G55-G54)</f>
        <v>0</v>
      </c>
      <c r="L54" s="27" t="n">
        <v>6000</v>
      </c>
      <c r="M54" s="11"/>
      <c r="N54" s="11"/>
    </row>
    <row r="55" customFormat="false" ht="15" hidden="false" customHeight="false" outlineLevel="0" collapsed="false">
      <c r="B55" s="29" t="n">
        <v>70</v>
      </c>
      <c r="C55" s="29" t="n">
        <v>0.99923569</v>
      </c>
      <c r="D55" s="10" t="n">
        <f aca="false">(C56-C55)/(B56-B55)</f>
        <v>2.029666666666E-005</v>
      </c>
      <c r="G55" s="27" t="n">
        <v>13000</v>
      </c>
      <c r="H55" s="0"/>
      <c r="I55" s="1" t="n">
        <f aca="false">(H56-H55)/(G56-G55)</f>
        <v>0</v>
      </c>
      <c r="L55" s="27" t="n">
        <v>7000</v>
      </c>
      <c r="M55" s="11"/>
      <c r="N55" s="11"/>
    </row>
    <row r="56" customFormat="false" ht="15" hidden="false" customHeight="false" outlineLevel="0" collapsed="false">
      <c r="B56" s="29" t="n">
        <v>73</v>
      </c>
      <c r="C56" s="29" t="n">
        <v>0.99929658</v>
      </c>
      <c r="D56" s="10" t="n">
        <f aca="false">(C57-C56)/(B57-B56)</f>
        <v>1.79433333333442E-005</v>
      </c>
      <c r="G56" s="27" t="n">
        <v>14000</v>
      </c>
      <c r="H56" s="0"/>
      <c r="I56" s="1" t="n">
        <f aca="false">(H57-H56)/(G57-G56)</f>
        <v>0</v>
      </c>
      <c r="L56" s="27" t="n">
        <v>8000</v>
      </c>
      <c r="M56" s="11"/>
      <c r="N56" s="11"/>
    </row>
    <row r="57" customFormat="false" ht="15" hidden="false" customHeight="false" outlineLevel="0" collapsed="false">
      <c r="B57" s="29" t="n">
        <v>76</v>
      </c>
      <c r="C57" s="29" t="n">
        <v>0.99935041</v>
      </c>
      <c r="D57" s="10" t="n">
        <f aca="false">(C58-C57)/(B58-B57)</f>
        <v>1.59333333333104E-005</v>
      </c>
      <c r="G57" s="27" t="n">
        <v>15000</v>
      </c>
      <c r="H57" s="0"/>
      <c r="I57" s="1" t="n">
        <f aca="false">(H58-H57)/(G58-G57)</f>
        <v>0</v>
      </c>
      <c r="L57" s="27" t="n">
        <v>9000</v>
      </c>
      <c r="M57" s="11"/>
      <c r="N57" s="11"/>
    </row>
    <row r="58" customFormat="false" ht="15" hidden="false" customHeight="false" outlineLevel="0" collapsed="false">
      <c r="B58" s="29" t="n">
        <v>79</v>
      </c>
      <c r="C58" s="29" t="n">
        <v>0.99939821</v>
      </c>
      <c r="D58" s="10" t="n">
        <f aca="false">(C59-C58)/(B59-B58)</f>
        <v>1.42166666666776E-005</v>
      </c>
      <c r="G58" s="27" t="n">
        <v>16000</v>
      </c>
      <c r="H58" s="0"/>
      <c r="I58" s="1" t="n">
        <f aca="false">(H59-H58)/(G59-G58)</f>
        <v>0</v>
      </c>
      <c r="L58" s="27" t="n">
        <v>10000</v>
      </c>
      <c r="M58" s="11"/>
      <c r="N58" s="11"/>
    </row>
    <row r="59" customFormat="false" ht="15" hidden="false" customHeight="false" outlineLevel="0" collapsed="false">
      <c r="B59" s="29" t="n">
        <v>82</v>
      </c>
      <c r="C59" s="29" t="n">
        <v>0.99944086</v>
      </c>
      <c r="D59" s="10" t="n">
        <f aca="false">(C60-C59)/(B60-B59)</f>
        <v>1.27366666666795E-005</v>
      </c>
      <c r="G59" s="27" t="n">
        <v>17000</v>
      </c>
      <c r="H59" s="0"/>
      <c r="I59" s="1" t="n">
        <f aca="false">(H60-H59)/(G60-G59)</f>
        <v>0</v>
      </c>
      <c r="L59" s="27" t="n">
        <v>11000</v>
      </c>
      <c r="M59" s="11"/>
      <c r="N59" s="11"/>
    </row>
    <row r="60" customFormat="false" ht="15" hidden="false" customHeight="false" outlineLevel="0" collapsed="false">
      <c r="B60" s="29" t="n">
        <v>85</v>
      </c>
      <c r="C60" s="29" t="n">
        <v>0.99947907</v>
      </c>
      <c r="D60" s="10" t="n">
        <f aca="false">(C61-C60)/(B61-B60)</f>
        <v>1.08949999999923E-005</v>
      </c>
      <c r="G60" s="27" t="n">
        <v>18000</v>
      </c>
      <c r="H60" s="0"/>
      <c r="I60" s="1" t="n">
        <f aca="false">(H61-H60)/(G61-G60)</f>
        <v>0</v>
      </c>
      <c r="L60" s="27" t="n">
        <v>12000</v>
      </c>
      <c r="M60" s="11"/>
      <c r="N60" s="11"/>
    </row>
    <row r="61" customFormat="false" ht="15" hidden="false" customHeight="false" outlineLevel="0" collapsed="false">
      <c r="B61" s="29" t="n">
        <v>91</v>
      </c>
      <c r="C61" s="29" t="n">
        <v>0.99954444</v>
      </c>
      <c r="D61" s="10" t="n">
        <f aca="false">(C62-C61)/(B62-B61)</f>
        <v>8.5252747252771E-006</v>
      </c>
      <c r="G61" s="27" t="n">
        <v>19000</v>
      </c>
      <c r="H61" s="0"/>
      <c r="I61" s="1" t="n">
        <f aca="false">(H62-H61)/(G62-G61)</f>
        <v>0</v>
      </c>
      <c r="L61" s="27" t="n">
        <v>13000</v>
      </c>
      <c r="M61" s="11"/>
      <c r="N61" s="11"/>
    </row>
    <row r="62" customFormat="false" ht="15" hidden="false" customHeight="false" outlineLevel="0" collapsed="false">
      <c r="B62" s="29" t="n">
        <v>100.1</v>
      </c>
      <c r="C62" s="29" t="n">
        <v>0.99962202</v>
      </c>
      <c r="D62" s="10" t="n">
        <v>0</v>
      </c>
      <c r="G62" s="31" t="n">
        <v>60000</v>
      </c>
      <c r="H62" s="0"/>
      <c r="L62" s="27" t="n">
        <v>50000</v>
      </c>
      <c r="M62" s="11"/>
      <c r="N62" s="11"/>
    </row>
    <row r="63" customFormat="false" ht="15" hidden="false" customHeight="false" outlineLevel="0" collapsed="false">
      <c r="A63" s="18" t="s">
        <v>54</v>
      </c>
    </row>
    <row r="64" customFormat="false" ht="16.5" hidden="false" customHeight="true" outlineLevel="0" collapsed="false">
      <c r="A64" s="3" t="s">
        <v>55</v>
      </c>
      <c r="B64" s="3" t="s">
        <v>3</v>
      </c>
      <c r="C64" s="3" t="s">
        <v>4</v>
      </c>
      <c r="D64" s="3" t="s">
        <v>5</v>
      </c>
      <c r="E64" s="3" t="s">
        <v>3</v>
      </c>
      <c r="F64" s="3" t="s">
        <v>4</v>
      </c>
      <c r="G64" s="3" t="s">
        <v>5</v>
      </c>
    </row>
    <row r="65" customFormat="false" ht="15" hidden="false" customHeight="true" outlineLevel="0" collapsed="false">
      <c r="A65" s="9" t="s">
        <v>56</v>
      </c>
      <c r="B65" s="32" t="n">
        <v>1898</v>
      </c>
      <c r="C65" s="1" t="s">
        <v>11</v>
      </c>
      <c r="D65" s="1" t="s">
        <v>57</v>
      </c>
    </row>
    <row r="66" customFormat="false" ht="15" hidden="false" customHeight="true" outlineLevel="0" collapsed="false">
      <c r="A66" s="9" t="s">
        <v>58</v>
      </c>
      <c r="B66" s="32" t="n">
        <v>0</v>
      </c>
      <c r="C66" s="1" t="s">
        <v>11</v>
      </c>
    </row>
    <row r="67" customFormat="false" ht="15" hidden="false" customHeight="true" outlineLevel="0" collapsed="false">
      <c r="A67" s="9" t="s">
        <v>59</v>
      </c>
      <c r="B67" s="32" t="n">
        <v>0</v>
      </c>
      <c r="C67" s="1" t="s">
        <v>60</v>
      </c>
      <c r="D67" s="1" t="s">
        <v>61</v>
      </c>
    </row>
    <row r="68" customFormat="false" ht="15" hidden="false" customHeight="true" outlineLevel="0" collapsed="false">
      <c r="A68" s="9" t="s">
        <v>62</v>
      </c>
      <c r="B68" s="32" t="n">
        <v>0</v>
      </c>
      <c r="C68" s="1" t="s">
        <v>60</v>
      </c>
      <c r="D68" s="1" t="s">
        <v>63</v>
      </c>
    </row>
    <row r="69" customFormat="false" ht="30.75" hidden="false" customHeight="true" outlineLevel="0" collapsed="false">
      <c r="A69" s="9" t="s">
        <v>64</v>
      </c>
      <c r="B69" s="32" t="n">
        <v>85</v>
      </c>
      <c r="C69" s="1" t="s">
        <v>65</v>
      </c>
      <c r="D69" s="33" t="s">
        <v>66</v>
      </c>
      <c r="E69" s="1" t="n">
        <f aca="false">G5*B69</f>
        <v>1.48352986419518</v>
      </c>
      <c r="F69" s="1" t="s">
        <v>67</v>
      </c>
      <c r="G69" s="1" t="s">
        <v>68</v>
      </c>
    </row>
    <row r="70" customFormat="false" ht="30.75" hidden="false" customHeight="true" outlineLevel="0" collapsed="false">
      <c r="A70" s="9" t="s">
        <v>69</v>
      </c>
      <c r="B70" s="32" t="n">
        <v>12</v>
      </c>
      <c r="C70" s="1" t="s">
        <v>11</v>
      </c>
      <c r="D70" s="33" t="s">
        <v>70</v>
      </c>
    </row>
    <row r="71" customFormat="false" ht="15" hidden="false" customHeight="true" outlineLevel="0" collapsed="false">
      <c r="A71" s="9" t="s">
        <v>71</v>
      </c>
      <c r="B71" s="32" t="n">
        <v>350</v>
      </c>
      <c r="C71" s="1" t="s">
        <v>11</v>
      </c>
      <c r="D71" s="1" t="s">
        <v>72</v>
      </c>
    </row>
    <row r="72" customFormat="false" ht="15" hidden="false" customHeight="true" outlineLevel="0" collapsed="false">
      <c r="A72" s="9" t="s">
        <v>73</v>
      </c>
      <c r="B72" s="32" t="n">
        <v>1898</v>
      </c>
      <c r="C72" s="1" t="s">
        <v>11</v>
      </c>
      <c r="D72" s="34" t="s">
        <v>74</v>
      </c>
      <c r="H72" s="35"/>
    </row>
    <row r="73" customFormat="false" ht="15" hidden="false" customHeight="true" outlineLevel="0" collapsed="false">
      <c r="A73" s="9" t="s">
        <v>75</v>
      </c>
      <c r="B73" s="32" t="n">
        <v>0</v>
      </c>
      <c r="C73" s="1" t="s">
        <v>65</v>
      </c>
    </row>
    <row r="74" customFormat="false" ht="15" hidden="false" customHeight="true" outlineLevel="0" collapsed="false">
      <c r="A74" s="9" t="s">
        <v>76</v>
      </c>
      <c r="B74" s="32" t="n">
        <v>34</v>
      </c>
      <c r="C74" s="1" t="s">
        <v>65</v>
      </c>
      <c r="D74" s="1" t="s">
        <v>77</v>
      </c>
    </row>
    <row r="75" customFormat="false" ht="15" hidden="false" customHeight="true" outlineLevel="0" collapsed="false">
      <c r="A75" s="9" t="s">
        <v>78</v>
      </c>
      <c r="B75" s="10" t="n">
        <f aca="false">2*PI()/B71</f>
        <v>0.0179519580205131</v>
      </c>
      <c r="C75" s="1" t="s">
        <v>79</v>
      </c>
      <c r="D75" s="13" t="s">
        <v>80</v>
      </c>
    </row>
    <row r="76" customFormat="false" ht="15" hidden="false" customHeight="true" outlineLevel="0" collapsed="false">
      <c r="A76" s="9" t="s">
        <v>81</v>
      </c>
      <c r="B76" s="10" t="n">
        <f aca="false">32.0876228*(1+0.00530224*(SIN(B74*G5))^2-0.000058*(SIN(2*B74*G5))^2)</f>
        <v>32.1392239366819</v>
      </c>
      <c r="C76" s="1" t="s">
        <v>82</v>
      </c>
      <c r="D76" s="1" t="s">
        <v>83</v>
      </c>
      <c r="E76" s="36" t="s">
        <v>84</v>
      </c>
      <c r="J76" s="18"/>
    </row>
    <row r="77" customFormat="false" ht="15" hidden="false" customHeight="true" outlineLevel="0" collapsed="false">
      <c r="A77" s="9" t="s">
        <v>85</v>
      </c>
      <c r="B77" s="10" t="n">
        <f aca="false">SQRT(((B15^2*COS(B75*B74))^2+(B16^2*SIN(B75*B74))^2)/((B15*COS(B75*B74))^2+(B16*SIN(B75*B74))^2))</f>
        <v>20902678.3940442</v>
      </c>
      <c r="C77" s="1" t="s">
        <v>11</v>
      </c>
      <c r="E77" s="36"/>
      <c r="J77" s="8"/>
      <c r="K77" s="8"/>
      <c r="L77" s="8"/>
      <c r="M77" s="8"/>
    </row>
    <row r="78" customFormat="false" ht="15" hidden="false" customHeight="true" outlineLevel="0" collapsed="false">
      <c r="A78" s="9" t="s">
        <v>86</v>
      </c>
      <c r="B78" s="10" t="n">
        <f aca="false">0.140365*EXP(SQRT(2*PI()*B75*B70)-0.387621*(B75*B70)^1.2)/B75</f>
        <v>23.536205079543</v>
      </c>
      <c r="C78" s="1" t="s">
        <v>11</v>
      </c>
      <c r="E78" s="36"/>
      <c r="J78" s="8"/>
      <c r="K78" s="8"/>
      <c r="L78" s="8"/>
      <c r="M78" s="8"/>
    </row>
    <row r="79" customFormat="false" ht="15" hidden="false" customHeight="true" outlineLevel="0" collapsed="false">
      <c r="E79" s="36"/>
      <c r="J79" s="8"/>
      <c r="K79" s="8"/>
      <c r="L79" s="8"/>
      <c r="M79" s="8"/>
    </row>
    <row r="80" customFormat="false" ht="15" hidden="false" customHeight="true" outlineLevel="0" collapsed="false">
      <c r="A80" s="2" t="s">
        <v>87</v>
      </c>
      <c r="B80" s="2"/>
      <c r="C80" s="2"/>
      <c r="F80" s="37"/>
    </row>
    <row r="81" customFormat="false" ht="18" hidden="false" customHeight="false" outlineLevel="0" collapsed="false">
      <c r="A81" s="38" t="s">
        <v>88</v>
      </c>
      <c r="B81" s="38" t="s">
        <v>89</v>
      </c>
      <c r="C81" s="38" t="s">
        <v>90</v>
      </c>
      <c r="D81" s="38" t="s">
        <v>91</v>
      </c>
      <c r="E81" s="38" t="s">
        <v>92</v>
      </c>
      <c r="F81" s="39" t="s">
        <v>93</v>
      </c>
      <c r="K81" s="8"/>
      <c r="L81" s="8"/>
      <c r="M81" s="8"/>
      <c r="N81" s="8"/>
    </row>
    <row r="82" customFormat="false" ht="15" hidden="false" customHeight="false" outlineLevel="0" collapsed="false">
      <c r="A82" s="40" t="s">
        <v>94</v>
      </c>
      <c r="B82" s="11" t="b">
        <f aca="false">FALSE()</f>
        <v>0</v>
      </c>
      <c r="C82" s="11" t="n">
        <v>1</v>
      </c>
      <c r="D82" s="10" t="n">
        <f aca="false">IF(AND(B82=TRUE(),B84=FALSE()),0,FALSE())</f>
        <v>0</v>
      </c>
      <c r="E82" s="10" t="n">
        <f aca="false">IF(B82=TRUE(),IF(AND(B83=FALSE(),B85=FALSE(),B93=FALSE()),D82+C82,D82+C82),FALSE())</f>
        <v>0</v>
      </c>
      <c r="F82" s="41" t="str">
        <f aca="false">IF(OR(AND(B82=TRUE(),B84=TRUE()),AND(B82=FALSE(),B84=FALSE())),"ERROR",IF(B82=TRUE(),"OK",""))</f>
        <v/>
      </c>
      <c r="M82" s="8"/>
      <c r="N82" s="8"/>
    </row>
    <row r="83" customFormat="false" ht="15" hidden="false" customHeight="false" outlineLevel="0" collapsed="false">
      <c r="A83" s="9" t="s">
        <v>95</v>
      </c>
      <c r="B83" s="11" t="b">
        <f aca="false">FALSE()</f>
        <v>0</v>
      </c>
      <c r="C83" s="11" t="n">
        <v>10</v>
      </c>
      <c r="D83" s="10" t="n">
        <f aca="false">IF(AND(B82=TRUE(),B83=TRUE()),E82,FALSE())</f>
        <v>0</v>
      </c>
      <c r="E83" s="10" t="n">
        <f aca="false">IF(AND(B82=TRUE(),B83=TRUE()),IF(B85=FALSE(),D83+C83,D83+C83),FALSE())</f>
        <v>0</v>
      </c>
      <c r="F83" s="41" t="str">
        <f aca="false">IF(B83=TRUE(),IF(B82=FALSE(),"ERROR","OK"),"")</f>
        <v/>
      </c>
      <c r="M83" s="8"/>
      <c r="N83" s="8"/>
    </row>
    <row r="84" customFormat="false" ht="15" hidden="false" customHeight="false" outlineLevel="0" collapsed="false">
      <c r="A84" s="40" t="s">
        <v>96</v>
      </c>
      <c r="B84" s="11" t="b">
        <f aca="false">TRUE()</f>
        <v>1</v>
      </c>
      <c r="C84" s="42" t="str">
        <f aca="false">IF(B84=TRUE(),"C85 for 1st stage total burn time","")</f>
        <v>C85 for 1st stage total burn time</v>
      </c>
      <c r="D84" s="10" t="n">
        <f aca="false">IF(AND(B82=FALSE(),B84=TRUE()),0,FALSE())</f>
        <v>0</v>
      </c>
      <c r="E84" s="10"/>
      <c r="F84" s="41" t="str">
        <f aca="false">IF(OR(AND(B82=TRUE(),B84=TRUE()),AND(B82=FALSE(),B84=FALSE())),"ERROR",IF(B84=TRUE(),"OK",""))</f>
        <v>OK</v>
      </c>
      <c r="M84" s="8"/>
      <c r="N84" s="8"/>
    </row>
    <row r="85" customFormat="false" ht="15" hidden="false" customHeight="false" outlineLevel="0" collapsed="false">
      <c r="A85" s="9" t="s">
        <v>97</v>
      </c>
      <c r="B85" s="11" t="b">
        <f aca="false">TRUE()</f>
        <v>1</v>
      </c>
      <c r="C85" s="11" t="n">
        <v>7.08</v>
      </c>
      <c r="D85" s="10" t="n">
        <f aca="false">IF(AND(B85=TRUE(),B82=TRUE(),B83=TRUE()),E83,IF(AND(B85=TRUE(),B82=TRUE()),E82,IF(AND(B85=TRUE(),B84=TRUE()),D84,FALSE())))</f>
        <v>0</v>
      </c>
      <c r="E85" s="10" t="n">
        <f aca="false">IF(B85=TRUE(),D85+C85,FALSE())</f>
        <v>7.08</v>
      </c>
      <c r="F85" s="41" t="str">
        <f aca="false">IF(AND(B85=FALSE(),B84=TRUE()),"ERROR",IF(B85=TRUE(),"OK",""))</f>
        <v>OK</v>
      </c>
      <c r="M85" s="8"/>
      <c r="N85" s="8"/>
    </row>
    <row r="86" customFormat="false" ht="15" hidden="false" customHeight="false" outlineLevel="0" collapsed="false">
      <c r="A86" s="9" t="s">
        <v>98</v>
      </c>
      <c r="B86" s="11" t="b">
        <f aca="false">TRUE()</f>
        <v>1</v>
      </c>
      <c r="C86" s="11" t="n">
        <v>9999</v>
      </c>
      <c r="D86" s="10" t="n">
        <f aca="false">IF(B86=TRUE(),E85,FALSE())</f>
        <v>7.08</v>
      </c>
      <c r="E86" s="10" t="n">
        <f aca="false">IF(B86=TRUE(),IF(AND(B87=FALSE(),B88=FALSE(),B93=FALSE(),B94=FALSE()),D86+C86,D86+C86),FALSE())</f>
        <v>10006.08</v>
      </c>
      <c r="F86" s="41" t="str">
        <f aca="false">IF(B86=TRUE(),IF(B85=TRUE(),"OK","ERROR"),IF(B85=TRUE(),IF(AND(B87=FALSE(),B88=FALSE()),"ERROR",""),""))</f>
        <v>OK</v>
      </c>
      <c r="M86" s="8"/>
      <c r="N86" s="8"/>
    </row>
    <row r="87" customFormat="false" ht="15" hidden="false" customHeight="false" outlineLevel="0" collapsed="false">
      <c r="A87" s="9" t="s">
        <v>99</v>
      </c>
      <c r="B87" s="11" t="b">
        <f aca="false">FALSE()</f>
        <v>0</v>
      </c>
      <c r="C87" s="11" t="n">
        <v>3</v>
      </c>
      <c r="D87" s="10" t="n">
        <f aca="false">IF(AND(B87=TRUE(),B85=TRUE(),B86=TRUE()),E86,IF(AND(B87=TRUE(),B85=TRUE(),B86=FALSE()),E85,FALSE()))</f>
        <v>0</v>
      </c>
      <c r="E87" s="10" t="n">
        <f aca="false">IF(B87=TRUE(),IF(AND(B88=FALSE(),B93=FALSE(),B94=FALSE()),D87+C87,D87+C87),FALSE())</f>
        <v>0</v>
      </c>
      <c r="F87" s="41" t="str">
        <f aca="false">IF(B87=TRUE(),IF(B85=FALSE(),"ERROR","OK"),"")</f>
        <v/>
      </c>
      <c r="M87" s="8"/>
      <c r="N87" s="8"/>
    </row>
    <row r="88" customFormat="false" ht="15" hidden="false" customHeight="false" outlineLevel="0" collapsed="false">
      <c r="A88" s="9" t="s">
        <v>100</v>
      </c>
      <c r="B88" s="11" t="b">
        <f aca="false">FALSE()</f>
        <v>0</v>
      </c>
      <c r="C88" s="11" t="n">
        <v>1.07</v>
      </c>
      <c r="D88" s="10" t="n">
        <f aca="false">IF(B88=TRUE(),IF(B87=TRUE(),E87,E86),FALSE())</f>
        <v>0</v>
      </c>
      <c r="E88" s="10" t="n">
        <f aca="false">IF(D88=FALSE(),FALSE(),D88+C88)</f>
        <v>0</v>
      </c>
      <c r="F88" s="41" t="str">
        <f aca="false">IF(B88=TRUE(),IF(B85=TRUE(),IF(AND(B86=FALSE(),B87=FALSE()),"ERROR","OK"),"ERROR"),"")</f>
        <v/>
      </c>
      <c r="M88" s="8"/>
      <c r="N88" s="8"/>
    </row>
    <row r="89" customFormat="false" ht="15" hidden="false" customHeight="false" outlineLevel="0" collapsed="false">
      <c r="A89" s="9" t="s">
        <v>101</v>
      </c>
      <c r="B89" s="11" t="b">
        <f aca="false">FALSE()</f>
        <v>0</v>
      </c>
      <c r="C89" s="11" t="n">
        <v>500</v>
      </c>
      <c r="D89" s="10" t="n">
        <f aca="false">IF(B89=TRUE(),IF(B88=TRUE(),E88,FALSE()),FALSE())</f>
        <v>0</v>
      </c>
      <c r="E89" s="10" t="n">
        <f aca="false">IF(AND(B89=TRUE(),B88=TRUE()),IF(AND(B90=FALSE(),B91=FALSE(),B93=FALSE(),B94=FALSE()),D89+C89,D89+C89),FALSE())</f>
        <v>0</v>
      </c>
      <c r="F89" s="41" t="str">
        <f aca="false">IF(B89=TRUE(),IF(B88=FALSE(),"ERROR","OK"),IF(B88=TRUE(),IF(AND(B91=FALSE(),B90=FALSE()),"ERROR",""),""))</f>
        <v/>
      </c>
    </row>
    <row r="90" customFormat="false" ht="15" hidden="false" customHeight="false" outlineLevel="0" collapsed="false">
      <c r="A90" s="9" t="s">
        <v>102</v>
      </c>
      <c r="B90" s="11" t="b">
        <f aca="false">FALSE()</f>
        <v>0</v>
      </c>
      <c r="C90" s="11" t="n">
        <v>0.6</v>
      </c>
      <c r="D90" s="10" t="n">
        <f aca="false">IF(B90=TRUE(),IF(B89=TRUE(),E89,E88),FALSE())</f>
        <v>0</v>
      </c>
      <c r="E90" s="10" t="n">
        <f aca="false">IF(B90=TRUE(),IF(AND(B91=FALSE(),B93=FALSE(),B94=FALSE()),D90+C90,D90+C90),FALSE())</f>
        <v>0</v>
      </c>
      <c r="F90" s="41" t="str">
        <f aca="false">IF(B90=TRUE(),IF(B88=FALSE(),"ERROR","OK"),"")</f>
        <v/>
      </c>
    </row>
    <row r="91" customFormat="false" ht="15" hidden="false" customHeight="false" outlineLevel="0" collapsed="false">
      <c r="A91" s="9" t="s">
        <v>103</v>
      </c>
      <c r="B91" s="11" t="b">
        <f aca="false">FALSE()</f>
        <v>0</v>
      </c>
      <c r="C91" s="11" t="n">
        <v>7</v>
      </c>
      <c r="D91" s="10" t="n">
        <f aca="false">IF(B91=TRUE(),IF(B90=TRUE(),E90,E89),FALSE())</f>
        <v>0</v>
      </c>
      <c r="E91" s="10" t="n">
        <f aca="false">IF(D91=FALSE(),FALSE(),D91+C91)</f>
        <v>0</v>
      </c>
      <c r="F91" s="41" t="str">
        <f aca="false">IF(B91=TRUE(),IF(B88=FALSE(),"ERROR",IF(AND(B89=FALSE(),B90=FALSE()),"ERROR","OK")),"")</f>
        <v/>
      </c>
    </row>
    <row r="92" customFormat="false" ht="15" hidden="false" customHeight="false" outlineLevel="0" collapsed="false">
      <c r="A92" s="9" t="s">
        <v>104</v>
      </c>
      <c r="B92" s="11" t="b">
        <f aca="false">FALSE()</f>
        <v>0</v>
      </c>
      <c r="C92" s="11" t="n">
        <v>20</v>
      </c>
      <c r="D92" s="10" t="n">
        <f aca="false">IF(B92=TRUE(),IF(B91=TRUE(),E91,FALSE()),FALSE())</f>
        <v>0</v>
      </c>
      <c r="E92" s="10" t="n">
        <f aca="false">IF(AND(B92=TRUE(),B91=TRUE()),IF(AND(B93=FALSE(),B94=FALSE()),D92+C92,D92+C92),FALSE())</f>
        <v>0</v>
      </c>
      <c r="F92" s="41" t="str">
        <f aca="false">IF(B92=TRUE(),IF(B91=FALSE(),"ERROR","OK"),IF(B91=TRUE(),"ERROR",""))</f>
        <v/>
      </c>
    </row>
    <row r="93" customFormat="false" ht="15" hidden="false" customHeight="false" outlineLevel="0" collapsed="false">
      <c r="A93" s="9" t="s">
        <v>105</v>
      </c>
      <c r="B93" s="11" t="b">
        <f aca="false">FALSE()</f>
        <v>0</v>
      </c>
      <c r="C93" s="11" t="n">
        <v>4</v>
      </c>
      <c r="D93" s="10" t="n">
        <f aca="false">IF(B93=FALSE(),FALSE(),IF(B92=TRUE(),E92,IF(B90=TRUE(),E90,IF(B89=TRUE(),E89,IF(B87=TRUE(),E87,IF(B86=TRUE(),E86,IF(B82=TRUE(),E82,FALSE())))))))</f>
        <v>0</v>
      </c>
      <c r="E93" s="10" t="n">
        <f aca="false">IF(B93=TRUE(),IF(B94=TRUE(),D93+C93,D93+C93),FALSE())</f>
        <v>0</v>
      </c>
      <c r="F93" s="41" t="str">
        <f aca="false">IF(B93=TRUE(),IF(AND(B92=FALSE(),B90=FALSE(),B89=FALSE(),B87=FALSE(),B86=FALSE(),B82=FALSE()),"ERROR",IF(AND(B83=TRUE(),B85=FALSE()),"ERROR","OK")),"")</f>
        <v/>
      </c>
    </row>
    <row r="94" customFormat="false" ht="13.5" hidden="false" customHeight="true" outlineLevel="0" collapsed="false">
      <c r="A94" s="9" t="s">
        <v>106</v>
      </c>
      <c r="B94" s="11" t="b">
        <f aca="false">FALSE()</f>
        <v>0</v>
      </c>
      <c r="C94" s="11" t="n">
        <v>999</v>
      </c>
      <c r="D94" s="10" t="n">
        <f aca="false">IF(B94=FALSE(),FALSE(),IF(B93=TRUE(),E93,IF(B92=TRUE(),E92,IF(B90=TRUE(),E90,IF(B89=TRUE(),E89,IF(B87=TRUE(),E87,IF(B86=TRUE(),E86,FALSE())))))))</f>
        <v>0</v>
      </c>
      <c r="E94" s="10" t="n">
        <f aca="false">IF(B94=TRUE(),D94+C94,FALSE())</f>
        <v>0</v>
      </c>
      <c r="F94" s="41" t="str">
        <f aca="false">IF(B94=TRUE(),IF(AND(B93=FALSE(),B92=FALSE(),B90=FALSE(),B89=FALSE(),B87=FALSE(),B86=FALSE()),"ERROR",IF(AND(B83=TRUE(),B85=FALSE()),"ERROR","OK")),"")</f>
        <v/>
      </c>
    </row>
    <row r="95" customFormat="false" ht="15" hidden="false" customHeight="false" outlineLevel="0" collapsed="false">
      <c r="A95" s="43"/>
      <c r="F95" s="37"/>
    </row>
    <row r="96" customFormat="false" ht="15" hidden="false" customHeight="false" outlineLevel="0" collapsed="false">
      <c r="A96" s="9" t="s">
        <v>107</v>
      </c>
      <c r="B96" s="11" t="n">
        <v>0.05</v>
      </c>
      <c r="C96" s="1" t="s">
        <v>108</v>
      </c>
      <c r="D96" s="1" t="s">
        <v>109</v>
      </c>
      <c r="F96" s="37"/>
    </row>
    <row r="97" customFormat="false" ht="15" hidden="false" customHeight="false" outlineLevel="0" collapsed="false">
      <c r="A97" s="9" t="s">
        <v>107</v>
      </c>
      <c r="B97" s="11" t="n">
        <v>0.001</v>
      </c>
      <c r="C97" s="1" t="s">
        <v>108</v>
      </c>
      <c r="D97" s="1" t="s">
        <v>110</v>
      </c>
      <c r="G97" s="8"/>
    </row>
    <row r="98" customFormat="false" ht="15" hidden="false" customHeight="false" outlineLevel="0" collapsed="false">
      <c r="A98" s="9" t="s">
        <v>107</v>
      </c>
      <c r="B98" s="11" t="n">
        <v>0.0005</v>
      </c>
      <c r="C98" s="1" t="s">
        <v>108</v>
      </c>
      <c r="D98" s="1" t="s">
        <v>111</v>
      </c>
      <c r="G98" s="8"/>
    </row>
    <row r="99" customFormat="false" ht="15" hidden="false" customHeight="false" outlineLevel="0" collapsed="false">
      <c r="G99" s="8"/>
    </row>
    <row r="100" customFormat="false" ht="15" hidden="false" customHeight="false" outlineLevel="0" collapsed="false">
      <c r="A100" s="18" t="s">
        <v>112</v>
      </c>
      <c r="B100" s="44"/>
      <c r="E100" s="8"/>
      <c r="G100" s="8"/>
    </row>
    <row r="101" customFormat="false" ht="18" hidden="false" customHeight="false" outlineLevel="0" collapsed="false">
      <c r="A101" s="9" t="s">
        <v>113</v>
      </c>
      <c r="B101" s="31" t="n">
        <f aca="false">D94</f>
        <v>0</v>
      </c>
      <c r="C101" s="1" t="s">
        <v>108</v>
      </c>
      <c r="D101" s="1" t="s">
        <v>114</v>
      </c>
      <c r="E101" s="45" t="s">
        <v>115</v>
      </c>
      <c r="F101" s="27" t="n">
        <v>0.89</v>
      </c>
      <c r="G101" s="8" t="s">
        <v>116</v>
      </c>
    </row>
    <row r="102" customFormat="false" ht="18" hidden="false" customHeight="false" outlineLevel="0" collapsed="false">
      <c r="A102" s="9" t="s">
        <v>117</v>
      </c>
      <c r="B102" s="31" t="n">
        <f aca="false">D93</f>
        <v>0</v>
      </c>
      <c r="C102" s="1" t="s">
        <v>108</v>
      </c>
      <c r="D102" s="1" t="s">
        <v>118</v>
      </c>
      <c r="E102" s="45" t="s">
        <v>119</v>
      </c>
      <c r="F102" s="46" t="n">
        <f aca="false">0.25*PI()*B104^2</f>
        <v>78.5398163397448</v>
      </c>
      <c r="G102" s="8" t="s">
        <v>120</v>
      </c>
    </row>
    <row r="103" customFormat="false" ht="15" hidden="false" customHeight="false" outlineLevel="0" collapsed="false">
      <c r="A103" s="9" t="s">
        <v>121</v>
      </c>
      <c r="B103" s="11" t="n">
        <v>2</v>
      </c>
      <c r="C103" s="1" t="s">
        <v>108</v>
      </c>
      <c r="D103" s="1" t="s">
        <v>122</v>
      </c>
      <c r="E103" s="45" t="s">
        <v>123</v>
      </c>
      <c r="F103" s="27" t="n">
        <v>0.87</v>
      </c>
      <c r="G103" s="1" t="s">
        <v>116</v>
      </c>
    </row>
    <row r="104" customFormat="false" ht="18" hidden="false" customHeight="false" outlineLevel="0" collapsed="false">
      <c r="A104" s="9" t="s">
        <v>124</v>
      </c>
      <c r="B104" s="11" t="n">
        <v>10</v>
      </c>
      <c r="C104" s="1" t="s">
        <v>11</v>
      </c>
      <c r="D104" s="1" t="s">
        <v>125</v>
      </c>
      <c r="E104" s="45" t="s">
        <v>126</v>
      </c>
      <c r="F104" s="46" t="n">
        <f aca="false">0.25*PI()*B105^2</f>
        <v>7.06858347057703</v>
      </c>
      <c r="G104" s="1" t="s">
        <v>120</v>
      </c>
    </row>
    <row r="105" customFormat="false" ht="18" hidden="false" customHeight="false" outlineLevel="0" collapsed="false">
      <c r="A105" s="9" t="s">
        <v>127</v>
      </c>
      <c r="B105" s="11" t="n">
        <v>3</v>
      </c>
      <c r="C105" s="1" t="s">
        <v>11</v>
      </c>
      <c r="D105" s="1" t="s">
        <v>128</v>
      </c>
      <c r="E105" s="45" t="s">
        <v>129</v>
      </c>
      <c r="F105" s="46" t="n">
        <f aca="false">0.25*PI()*B106^2</f>
        <v>9.62112750161874</v>
      </c>
      <c r="G105" s="44" t="s">
        <v>120</v>
      </c>
    </row>
    <row r="106" customFormat="false" ht="15" hidden="false" customHeight="false" outlineLevel="0" collapsed="false">
      <c r="A106" s="9" t="s">
        <v>130</v>
      </c>
      <c r="B106" s="11" t="n">
        <v>3.5</v>
      </c>
      <c r="C106" s="1" t="s">
        <v>11</v>
      </c>
      <c r="D106" s="1" t="s">
        <v>131</v>
      </c>
      <c r="E106" s="45" t="s">
        <v>132</v>
      </c>
      <c r="F106" s="27" t="n">
        <v>1</v>
      </c>
      <c r="G106" s="1" t="s">
        <v>116</v>
      </c>
    </row>
    <row r="107" customFormat="false" ht="15" hidden="false" customHeight="false" outlineLevel="0" collapsed="false">
      <c r="A107" s="9" t="s">
        <v>133</v>
      </c>
      <c r="B107" s="31" t="n">
        <f aca="false">D83</f>
        <v>0</v>
      </c>
      <c r="C107" s="1" t="s">
        <v>108</v>
      </c>
      <c r="D107" s="1" t="s">
        <v>134</v>
      </c>
    </row>
    <row r="109" customFormat="false" ht="15" hidden="false" customHeight="false" outlineLevel="0" collapsed="false">
      <c r="A109" s="18" t="s">
        <v>135</v>
      </c>
    </row>
    <row r="110" customFormat="false" ht="15" hidden="false" customHeight="false" outlineLevel="0" collapsed="false">
      <c r="A110" s="3" t="s">
        <v>55</v>
      </c>
      <c r="B110" s="3" t="s">
        <v>3</v>
      </c>
      <c r="C110" s="3" t="s">
        <v>136</v>
      </c>
      <c r="D110" s="3" t="s">
        <v>4</v>
      </c>
      <c r="E110" s="3" t="s">
        <v>5</v>
      </c>
      <c r="G110" s="47"/>
      <c r="H110" s="48"/>
    </row>
    <row r="111" customFormat="false" ht="18" hidden="false" customHeight="false" outlineLevel="0" collapsed="false">
      <c r="A111" s="45" t="s">
        <v>137</v>
      </c>
      <c r="B111" s="11" t="n">
        <v>10</v>
      </c>
      <c r="C111" s="10" t="n">
        <f aca="false">IF(B$84=TRUE(),B111,IF(B82=TRUE(),B111,0))</f>
        <v>10</v>
      </c>
      <c r="D111" s="10" t="s">
        <v>138</v>
      </c>
      <c r="E111" s="10" t="s">
        <v>139</v>
      </c>
      <c r="G111" s="44"/>
      <c r="H111" s="44"/>
    </row>
    <row r="112" customFormat="false" ht="18" hidden="false" customHeight="false" outlineLevel="0" collapsed="false">
      <c r="A112" s="45" t="s">
        <v>140</v>
      </c>
      <c r="B112" s="11" t="n">
        <v>41</v>
      </c>
      <c r="C112" s="10" t="n">
        <f aca="false">IF(B$84=TRUE(),B112,IF(B82=TRUE(),B112,0))</f>
        <v>41</v>
      </c>
      <c r="D112" s="10" t="s">
        <v>138</v>
      </c>
      <c r="E112" s="10" t="s">
        <v>141</v>
      </c>
      <c r="G112" s="44"/>
      <c r="H112" s="44"/>
    </row>
    <row r="113" customFormat="false" ht="18" hidden="false" customHeight="false" outlineLevel="0" collapsed="false">
      <c r="A113" s="45" t="s">
        <v>142</v>
      </c>
      <c r="B113" s="11" t="n">
        <v>10</v>
      </c>
      <c r="C113" s="10" t="n">
        <f aca="false">IF(OR(B$84=TRUE(),B82=TRUE()),IF(OR(B87=TRUE(),B88=TRUE()),0,B113),0)</f>
        <v>10</v>
      </c>
      <c r="D113" s="10" t="s">
        <v>138</v>
      </c>
      <c r="E113" s="10" t="s">
        <v>143</v>
      </c>
      <c r="G113" s="44"/>
      <c r="H113" s="44"/>
    </row>
    <row r="114" customFormat="false" ht="18" hidden="false" customHeight="false" outlineLevel="0" collapsed="false">
      <c r="A114" s="45" t="s">
        <v>144</v>
      </c>
      <c r="B114" s="31" t="n">
        <f aca="false">C85</f>
        <v>7.08</v>
      </c>
      <c r="C114" s="10" t="n">
        <f aca="false">IF(B84=TRUE(),B114,IF(B85=TRUE(),B114,0))</f>
        <v>7.08</v>
      </c>
      <c r="D114" s="10" t="s">
        <v>108</v>
      </c>
      <c r="E114" s="10" t="s">
        <v>145</v>
      </c>
      <c r="G114" s="44"/>
      <c r="H114" s="44"/>
    </row>
    <row r="115" customFormat="false" ht="15" hidden="false" customHeight="false" outlineLevel="0" collapsed="false">
      <c r="A115" s="45" t="s">
        <v>146</v>
      </c>
      <c r="B115" s="31" t="n">
        <f aca="false">IF(B85=TRUE(),IF(B82=TRUE(),IF(B83=TRUE(),C83+C82,C82),0),FALSE())</f>
        <v>0</v>
      </c>
      <c r="C115" s="10" t="n">
        <f aca="false">IF(B82=TRUE(),B115,FALSE())</f>
        <v>0</v>
      </c>
      <c r="D115" s="10" t="s">
        <v>108</v>
      </c>
      <c r="E115" s="10" t="s">
        <v>147</v>
      </c>
      <c r="G115" s="44"/>
      <c r="H115" s="44"/>
    </row>
    <row r="116" customFormat="false" ht="15" hidden="false" customHeight="false" outlineLevel="0" collapsed="false">
      <c r="A116" s="45" t="s">
        <v>148</v>
      </c>
      <c r="B116" s="31" t="n">
        <f aca="false">IF(OR(B87=TRUE(),B88=TRUE()),IF(B86=TRUE(),E86,E85),FALSE())</f>
        <v>0</v>
      </c>
      <c r="C116" s="10" t="n">
        <f aca="false">IF(AND(B86=TRUE(),B87=TRUE()),B116,FALSE())</f>
        <v>0</v>
      </c>
      <c r="D116" s="10" t="s">
        <v>108</v>
      </c>
      <c r="E116" s="10" t="s">
        <v>149</v>
      </c>
      <c r="F116" s="44"/>
      <c r="G116" s="44"/>
      <c r="H116" s="44"/>
      <c r="I116" s="44"/>
      <c r="J116" s="44"/>
    </row>
    <row r="117" customFormat="false" ht="15" hidden="false" customHeight="false" outlineLevel="0" collapsed="false">
      <c r="E117" s="45" t="s">
        <v>150</v>
      </c>
      <c r="F117" s="27" t="n">
        <f aca="false">PI()*(6.25/12/2)^2</f>
        <v>0.213052887206339</v>
      </c>
      <c r="G117" s="44" t="s">
        <v>120</v>
      </c>
    </row>
    <row r="118" customFormat="false" ht="15" hidden="false" customHeight="false" outlineLevel="0" collapsed="false">
      <c r="A118" s="49" t="s">
        <v>151</v>
      </c>
      <c r="B118" s="50" t="s">
        <v>152</v>
      </c>
      <c r="C118" s="51" t="s">
        <v>153</v>
      </c>
      <c r="D118" s="52" t="b">
        <f aca="false">FALSE()</f>
        <v>0</v>
      </c>
      <c r="E118" s="45" t="s">
        <v>154</v>
      </c>
      <c r="F118" s="27" t="n">
        <f aca="false">PI()*(6.25/12/2)^2</f>
        <v>0.213052887206339</v>
      </c>
      <c r="G118" s="44" t="s">
        <v>120</v>
      </c>
    </row>
    <row r="119" customFormat="false" ht="15" hidden="false" customHeight="false" outlineLevel="0" collapsed="false">
      <c r="A119" s="53" t="s">
        <v>155</v>
      </c>
      <c r="B119" s="53" t="s">
        <v>156</v>
      </c>
      <c r="C119" s="53" t="s">
        <v>157</v>
      </c>
      <c r="D119" s="53" t="s">
        <v>158</v>
      </c>
      <c r="E119" s="54" t="s">
        <v>159</v>
      </c>
      <c r="F119" s="45" t="s">
        <v>160</v>
      </c>
      <c r="G119" s="45" t="s">
        <v>161</v>
      </c>
      <c r="H119" s="45" t="s">
        <v>162</v>
      </c>
      <c r="I119" s="55"/>
      <c r="J119" s="56"/>
      <c r="K119" s="44"/>
      <c r="L119" s="44"/>
    </row>
    <row r="120" customFormat="false" ht="15" hidden="false" customHeight="false" outlineLevel="0" collapsed="false">
      <c r="A120" s="57" t="n">
        <v>0</v>
      </c>
      <c r="B120" s="10" t="n">
        <f aca="false">IF(B82=TRUE(),D85,D84)</f>
        <v>0</v>
      </c>
      <c r="C120" s="58" t="n">
        <v>0</v>
      </c>
      <c r="D120" s="10" t="n">
        <f aca="false">IF($D$118=TRUE(),C120,IF(C120&gt;0,C120+B$12*B$244,0))</f>
        <v>0</v>
      </c>
      <c r="E120" s="59" t="n">
        <v>0</v>
      </c>
      <c r="F120" s="27" t="n">
        <v>0.6904</v>
      </c>
      <c r="G120" s="27" t="n">
        <v>0.004</v>
      </c>
      <c r="H120" s="10" t="n">
        <f aca="false">F120+G120*B$244/F$117</f>
        <v>0.690713537173215</v>
      </c>
      <c r="I120" s="44"/>
      <c r="J120" s="44"/>
      <c r="K120" s="44"/>
      <c r="L120" s="44"/>
    </row>
    <row r="121" customFormat="false" ht="15" hidden="false" customHeight="false" outlineLevel="0" collapsed="false">
      <c r="A121" s="27" t="n">
        <v>0.05</v>
      </c>
      <c r="B121" s="10" t="n">
        <f aca="false">B$120+A121</f>
        <v>0.05</v>
      </c>
      <c r="C121" s="58" t="n">
        <v>84.71826</v>
      </c>
      <c r="D121" s="10" t="n">
        <f aca="false">IF($D$118=TRUE(),C121,IF(C121&gt;0,C121+B$12*B$244,0))</f>
        <v>120.0592843</v>
      </c>
      <c r="E121" s="59" t="n">
        <v>0.1</v>
      </c>
      <c r="F121" s="27" t="n">
        <v>0.4862</v>
      </c>
      <c r="G121" s="27" t="n">
        <v>0.0052</v>
      </c>
      <c r="H121" s="10" t="n">
        <f aca="false">F121+G121*B$244/F$117</f>
        <v>0.48660759832518</v>
      </c>
      <c r="I121" s="44"/>
      <c r="J121" s="44"/>
      <c r="K121" s="44"/>
      <c r="L121" s="44"/>
    </row>
    <row r="122" customFormat="false" ht="15" hidden="false" customHeight="false" outlineLevel="0" collapsed="false">
      <c r="A122" s="27" t="n">
        <v>0.1</v>
      </c>
      <c r="B122" s="10" t="n">
        <f aca="false">B$120+A122</f>
        <v>0.1</v>
      </c>
      <c r="C122" s="58" t="n">
        <v>169.4365</v>
      </c>
      <c r="D122" s="10" t="n">
        <f aca="false">IF($D$118=TRUE(),C122,IF(C122&gt;0,C122+B$12*B$244,0))</f>
        <v>204.7775243</v>
      </c>
      <c r="E122" s="59" t="n">
        <v>0.2</v>
      </c>
      <c r="F122" s="27" t="n">
        <v>0.4619</v>
      </c>
      <c r="G122" s="27" t="n">
        <v>0.0055</v>
      </c>
      <c r="H122" s="10" t="n">
        <f aca="false">F122+G122*B$244/F$117</f>
        <v>0.462331113613171</v>
      </c>
      <c r="I122" s="44"/>
      <c r="J122" s="44"/>
      <c r="K122" s="44"/>
      <c r="L122" s="44"/>
    </row>
    <row r="123" customFormat="false" ht="15" hidden="false" customHeight="false" outlineLevel="0" collapsed="false">
      <c r="A123" s="27" t="n">
        <v>0.2</v>
      </c>
      <c r="B123" s="10" t="n">
        <f aca="false">B$120+A123</f>
        <v>0.2</v>
      </c>
      <c r="C123" s="58" t="n">
        <v>338.873077</v>
      </c>
      <c r="D123" s="10" t="n">
        <f aca="false">IF($D$118=TRUE(),C123,IF(C123&gt;0,C123+B$12*B$244,0))</f>
        <v>374.2141013</v>
      </c>
      <c r="E123" s="59" t="n">
        <v>0.3</v>
      </c>
      <c r="F123" s="27" t="n">
        <v>0.4477</v>
      </c>
      <c r="G123" s="27" t="n">
        <v>0.0057</v>
      </c>
      <c r="H123" s="10" t="n">
        <f aca="false">F123+G123*B$244/F$117</f>
        <v>0.448146790471832</v>
      </c>
      <c r="I123" s="44"/>
      <c r="J123" s="44"/>
      <c r="K123" s="44"/>
      <c r="L123" s="44"/>
    </row>
    <row r="124" customFormat="false" ht="15" hidden="false" customHeight="false" outlineLevel="0" collapsed="false">
      <c r="A124" s="27" t="n">
        <v>0.26</v>
      </c>
      <c r="B124" s="10" t="n">
        <f aca="false">B$120+A124</f>
        <v>0.26</v>
      </c>
      <c r="C124" s="58" t="n">
        <v>440.535</v>
      </c>
      <c r="D124" s="10" t="n">
        <f aca="false">IF($D$118=TRUE(),C124,IF(C124&gt;0,C124+B$12*B$244,0))</f>
        <v>475.8760243</v>
      </c>
      <c r="E124" s="59" t="n">
        <v>0.4</v>
      </c>
      <c r="F124" s="27" t="n">
        <v>0.4369</v>
      </c>
      <c r="G124" s="27" t="n">
        <v>0.0058</v>
      </c>
      <c r="H124" s="10" t="n">
        <f aca="false">F124+G124*B$244/F$117</f>
        <v>0.437354628901162</v>
      </c>
      <c r="I124" s="44"/>
      <c r="J124" s="44"/>
      <c r="K124" s="44"/>
      <c r="L124" s="44"/>
    </row>
    <row r="125" customFormat="false" ht="15" hidden="false" customHeight="false" outlineLevel="0" collapsed="false">
      <c r="A125" s="27" t="n">
        <v>0.78</v>
      </c>
      <c r="B125" s="10" t="n">
        <f aca="false">B$120+A125</f>
        <v>0.78</v>
      </c>
      <c r="C125" s="58" t="n">
        <v>476.61</v>
      </c>
      <c r="D125" s="10" t="n">
        <f aca="false">IF($D$118=TRUE(),C125,IF(C125&gt;0,C125+B$12*B$244,0))</f>
        <v>511.9510243</v>
      </c>
      <c r="E125" s="59" t="n">
        <v>0.5</v>
      </c>
      <c r="F125" s="27" t="n">
        <v>0.4277</v>
      </c>
      <c r="G125" s="60" t="n">
        <v>0.006</v>
      </c>
      <c r="H125" s="10" t="n">
        <f aca="false">F125+G125*B$244/F$117</f>
        <v>0.428170305759823</v>
      </c>
      <c r="I125" s="44"/>
      <c r="J125" s="44"/>
      <c r="K125" s="44"/>
      <c r="L125" s="44"/>
    </row>
    <row r="126" customFormat="false" ht="15" hidden="false" customHeight="false" outlineLevel="0" collapsed="false">
      <c r="A126" s="27" t="n">
        <v>1.31</v>
      </c>
      <c r="B126" s="10" t="n">
        <f aca="false">B$120+A126</f>
        <v>1.31</v>
      </c>
      <c r="C126" s="58" t="n">
        <v>495.606</v>
      </c>
      <c r="D126" s="10" t="n">
        <f aca="false">IF($D$118=TRUE(),C126,IF(C126&gt;0,C126+B$12*B$244,0))</f>
        <v>530.9470243</v>
      </c>
      <c r="E126" s="59" t="n">
        <v>0.6</v>
      </c>
      <c r="F126" s="27" t="n">
        <v>0.4192</v>
      </c>
      <c r="G126" s="27" t="n">
        <v>0.0061</v>
      </c>
      <c r="H126" s="10" t="n">
        <f aca="false">F126+G126*B$244/F$117</f>
        <v>0.419678144189153</v>
      </c>
      <c r="I126" s="44"/>
      <c r="J126" s="44"/>
      <c r="K126" s="44"/>
      <c r="L126" s="44"/>
    </row>
    <row r="127" customFormat="false" ht="15" hidden="false" customHeight="false" outlineLevel="0" collapsed="false">
      <c r="A127" s="57" t="n">
        <v>1.83</v>
      </c>
      <c r="B127" s="10" t="n">
        <f aca="false">B$120+A127</f>
        <v>1.83</v>
      </c>
      <c r="C127" s="58" t="n">
        <v>501.025</v>
      </c>
      <c r="D127" s="10" t="n">
        <f aca="false">IF($D$118=TRUE(),C127,IF(C127&gt;0,C127+B$12*B$244,0))</f>
        <v>536.3660243</v>
      </c>
      <c r="E127" s="59" t="n">
        <v>0.7</v>
      </c>
      <c r="F127" s="27" t="n">
        <v>0.411</v>
      </c>
      <c r="G127" s="11" t="n">
        <v>0.0062</v>
      </c>
      <c r="H127" s="10" t="n">
        <f aca="false">F127+G127*B$244/F$117</f>
        <v>0.411485982618483</v>
      </c>
      <c r="I127" s="44"/>
      <c r="J127" s="44"/>
      <c r="K127" s="44"/>
      <c r="L127" s="44"/>
    </row>
    <row r="128" customFormat="false" ht="15" hidden="false" customHeight="false" outlineLevel="0" collapsed="false">
      <c r="A128" s="57" t="n">
        <v>2.36</v>
      </c>
      <c r="B128" s="10" t="n">
        <f aca="false">B$120+A128</f>
        <v>2.36</v>
      </c>
      <c r="C128" s="58" t="n">
        <v>499.73</v>
      </c>
      <c r="D128" s="10" t="n">
        <f aca="false">IF($D$118=TRUE(),C128,IF(C128&gt;0,C128+B$12*B$244,0))</f>
        <v>535.0710243</v>
      </c>
      <c r="E128" s="59" t="n">
        <v>0.8</v>
      </c>
      <c r="F128" s="11" t="n">
        <v>0.403</v>
      </c>
      <c r="G128" s="27" t="n">
        <v>0.0063</v>
      </c>
      <c r="H128" s="10" t="n">
        <f aca="false">F128+G128*B$244/F$117</f>
        <v>0.403493821047814</v>
      </c>
      <c r="I128" s="44"/>
      <c r="J128" s="44"/>
      <c r="K128" s="44"/>
      <c r="L128" s="44"/>
    </row>
    <row r="129" customFormat="false" ht="15" hidden="false" customHeight="false" outlineLevel="0" collapsed="false">
      <c r="A129" s="57" t="n">
        <v>2.88</v>
      </c>
      <c r="B129" s="10" t="n">
        <f aca="false">B$120+A129</f>
        <v>2.88</v>
      </c>
      <c r="C129" s="58" t="n">
        <v>483.257</v>
      </c>
      <c r="D129" s="10" t="n">
        <f aca="false">IF($D$118=TRUE(),C129,IF(C129&gt;0,C129+B$12*B$244,0))</f>
        <v>518.5980243</v>
      </c>
      <c r="E129" s="59" t="n">
        <v>0.9</v>
      </c>
      <c r="F129" s="11" t="n">
        <v>0.395</v>
      </c>
      <c r="G129" s="27" t="n">
        <v>0.0064</v>
      </c>
      <c r="H129" s="10" t="n">
        <f aca="false">F129+G129*B$244/F$117</f>
        <v>0.395501659477144</v>
      </c>
      <c r="I129" s="44"/>
      <c r="J129" s="44"/>
      <c r="K129" s="44"/>
      <c r="L129" s="44"/>
    </row>
    <row r="130" customFormat="false" ht="15" hidden="false" customHeight="false" outlineLevel="0" collapsed="false">
      <c r="A130" s="57" t="n">
        <v>3.41</v>
      </c>
      <c r="B130" s="10" t="n">
        <f aca="false">B$120+A130</f>
        <v>3.41</v>
      </c>
      <c r="C130" s="58" t="n">
        <v>431.401</v>
      </c>
      <c r="D130" s="10" t="n">
        <f aca="false">IF($D$118=TRUE(),C130,IF(C130&gt;0,C130+B$12*B$244,0))</f>
        <v>466.7420243</v>
      </c>
      <c r="E130" s="59" t="n">
        <v>1</v>
      </c>
      <c r="F130" s="11" t="n">
        <v>0.52</v>
      </c>
      <c r="G130" s="27" t="n">
        <v>0.008</v>
      </c>
      <c r="H130" s="10" t="n">
        <f aca="false">F130+G130*B$244/F$117</f>
        <v>0.52062707434643</v>
      </c>
      <c r="I130" s="44"/>
      <c r="J130" s="44"/>
      <c r="K130" s="44"/>
      <c r="L130" s="44"/>
    </row>
    <row r="131" customFormat="false" ht="15" hidden="false" customHeight="false" outlineLevel="0" collapsed="false">
      <c r="A131" s="57" t="n">
        <v>3.93</v>
      </c>
      <c r="B131" s="10" t="n">
        <f aca="false">B$120+A131</f>
        <v>3.93</v>
      </c>
      <c r="C131" s="58" t="n">
        <v>375.42</v>
      </c>
      <c r="D131" s="10" t="n">
        <f aca="false">IF($D$118=TRUE(),C131,IF(C131&gt;0,C131+B$12*B$244,0))</f>
        <v>410.7610243</v>
      </c>
      <c r="E131" s="59" t="n">
        <v>2</v>
      </c>
      <c r="F131" s="59" t="n">
        <v>0.52</v>
      </c>
      <c r="G131" s="27" t="n">
        <v>0.008</v>
      </c>
      <c r="H131" s="10" t="n">
        <f aca="false">F131+G131*B$244/F$117</f>
        <v>0.52062707434643</v>
      </c>
      <c r="I131" s="44"/>
      <c r="J131" s="44"/>
      <c r="K131" s="44"/>
      <c r="L131" s="44"/>
    </row>
    <row r="132" customFormat="false" ht="15" hidden="false" customHeight="false" outlineLevel="0" collapsed="false">
      <c r="A132" s="57" t="n">
        <v>4.45</v>
      </c>
      <c r="B132" s="10" t="n">
        <f aca="false">B$120+A132</f>
        <v>4.45</v>
      </c>
      <c r="C132" s="58" t="n">
        <v>307.487</v>
      </c>
      <c r="D132" s="10" t="n">
        <f aca="false">IF($D$118=TRUE(),C132,IF(C132&gt;0,C132+B$12*B$244,0))</f>
        <v>342.8280243</v>
      </c>
      <c r="E132" s="59"/>
      <c r="F132" s="59"/>
      <c r="G132" s="27" t="s">
        <v>163</v>
      </c>
      <c r="H132" s="10" t="e">
        <f aca="false">F132+G132*B$244/F$117</f>
        <v>#VALUE!</v>
      </c>
      <c r="I132" s="44"/>
      <c r="J132" s="44"/>
      <c r="K132" s="44"/>
      <c r="L132" s="44"/>
    </row>
    <row r="133" customFormat="false" ht="15" hidden="false" customHeight="false" outlineLevel="0" collapsed="false">
      <c r="A133" s="57" t="n">
        <v>4.98</v>
      </c>
      <c r="B133" s="10" t="n">
        <f aca="false">B$120+A133</f>
        <v>4.98</v>
      </c>
      <c r="C133" s="58" t="n">
        <v>253.807</v>
      </c>
      <c r="D133" s="10" t="n">
        <f aca="false">IF($D$118=TRUE(),C133,IF(C133&gt;0,C133+B$12*B$244,0))</f>
        <v>289.1480243</v>
      </c>
      <c r="E133" s="59"/>
      <c r="F133" s="59"/>
      <c r="G133" s="27" t="s">
        <v>163</v>
      </c>
      <c r="H133" s="10" t="e">
        <f aca="false">F133+G133*B$244/F$117</f>
        <v>#VALUE!</v>
      </c>
      <c r="I133" s="44"/>
      <c r="J133" s="44"/>
      <c r="K133" s="44"/>
      <c r="L133" s="44"/>
    </row>
    <row r="134" customFormat="false" ht="15" hidden="false" customHeight="false" outlineLevel="0" collapsed="false">
      <c r="A134" s="57" t="n">
        <v>5.5</v>
      </c>
      <c r="B134" s="10" t="n">
        <f aca="false">B$120+A134</f>
        <v>5.5</v>
      </c>
      <c r="C134" s="58" t="n">
        <v>172.591</v>
      </c>
      <c r="D134" s="10" t="n">
        <f aca="false">IF($D$118=TRUE(),C134,IF(C134&gt;0,C134+B$12*B$244,0))</f>
        <v>207.9320243</v>
      </c>
      <c r="E134" s="59"/>
      <c r="F134" s="59"/>
      <c r="G134" s="27" t="s">
        <v>163</v>
      </c>
      <c r="H134" s="10" t="e">
        <f aca="false">F134+G134*B$244/F$117</f>
        <v>#VALUE!</v>
      </c>
      <c r="I134" s="44"/>
      <c r="J134" s="44"/>
      <c r="K134" s="44"/>
      <c r="L134" s="44"/>
    </row>
    <row r="135" customFormat="false" ht="15" hidden="false" customHeight="false" outlineLevel="0" collapsed="false">
      <c r="A135" s="57" t="n">
        <v>6.03</v>
      </c>
      <c r="B135" s="10" t="n">
        <f aca="false">B$120+A135</f>
        <v>6.03</v>
      </c>
      <c r="C135" s="58" t="n">
        <v>61.08</v>
      </c>
      <c r="D135" s="10" t="n">
        <f aca="false">IF($D$118=TRUE(),C135,IF(C135&gt;0,C135+B$12*B$244,0))</f>
        <v>96.4210243</v>
      </c>
      <c r="E135" s="61"/>
      <c r="F135" s="61"/>
      <c r="G135" s="61"/>
      <c r="H135" s="61"/>
      <c r="I135" s="44"/>
      <c r="J135" s="44"/>
      <c r="K135" s="44"/>
      <c r="L135" s="44"/>
    </row>
    <row r="136" customFormat="false" ht="15" hidden="false" customHeight="false" outlineLevel="0" collapsed="false">
      <c r="A136" s="57" t="n">
        <v>6.55</v>
      </c>
      <c r="B136" s="10" t="n">
        <f aca="false">B$120+A136</f>
        <v>6.55</v>
      </c>
      <c r="C136" s="58" t="n">
        <v>4.724</v>
      </c>
      <c r="D136" s="10" t="n">
        <f aca="false">IF($D$118=TRUE(),C136,IF(C136&gt;0,C136+B$12*B$244,0))</f>
        <v>40.0650243</v>
      </c>
      <c r="E136" s="61"/>
      <c r="F136" s="61"/>
      <c r="G136" s="61"/>
      <c r="H136" s="61"/>
      <c r="I136" s="44"/>
      <c r="J136" s="44"/>
      <c r="K136" s="44"/>
      <c r="L136" s="44"/>
    </row>
    <row r="137" customFormat="false" ht="15" hidden="false" customHeight="false" outlineLevel="0" collapsed="false">
      <c r="A137" s="57" t="n">
        <v>7.08</v>
      </c>
      <c r="B137" s="10" t="n">
        <f aca="false">B$120+A137</f>
        <v>7.08</v>
      </c>
      <c r="C137" s="58" t="n">
        <v>0</v>
      </c>
      <c r="D137" s="10" t="n">
        <f aca="false">IF($D$118=TRUE(),C137,IF(C137&gt;0,C137+B$12*B$244,0))</f>
        <v>0</v>
      </c>
      <c r="E137" s="61"/>
      <c r="F137" s="61"/>
      <c r="G137" s="61"/>
      <c r="H137" s="61"/>
      <c r="I137" s="44"/>
      <c r="J137" s="44"/>
      <c r="K137" s="44"/>
      <c r="L137" s="44"/>
    </row>
    <row r="138" customFormat="false" ht="15" hidden="false" customHeight="false" outlineLevel="0" collapsed="false">
      <c r="A138" s="57" t="n">
        <v>15</v>
      </c>
      <c r="B138" s="10" t="n">
        <f aca="false">B$120+A138</f>
        <v>15</v>
      </c>
      <c r="C138" s="58" t="n">
        <v>0</v>
      </c>
      <c r="D138" s="10" t="n">
        <f aca="false">IF($D$118=TRUE(),C138,IF(C138&gt;0,C138+B$12*B$244,0))</f>
        <v>0</v>
      </c>
      <c r="E138" s="61"/>
      <c r="F138" s="61"/>
      <c r="G138" s="61"/>
      <c r="H138" s="61"/>
      <c r="I138" s="44"/>
      <c r="J138" s="44"/>
      <c r="K138" s="44"/>
      <c r="L138" s="44"/>
    </row>
    <row r="139" customFormat="false" ht="15" hidden="false" customHeight="false" outlineLevel="0" collapsed="false">
      <c r="A139" s="57" t="n">
        <v>16</v>
      </c>
      <c r="B139" s="10" t="n">
        <f aca="false">B$120+A139</f>
        <v>16</v>
      </c>
      <c r="C139" s="58" t="n">
        <v>0</v>
      </c>
      <c r="D139" s="10" t="n">
        <f aca="false">IF($D$118=TRUE(),C139,IF(C139&gt;0,C139+B$12*B$244,0))</f>
        <v>0</v>
      </c>
      <c r="E139" s="61"/>
      <c r="F139" s="61"/>
      <c r="G139" s="61"/>
      <c r="H139" s="61"/>
      <c r="I139" s="44"/>
      <c r="J139" s="44"/>
      <c r="K139" s="44"/>
      <c r="L139" s="44"/>
    </row>
    <row r="140" customFormat="false" ht="15" hidden="false" customHeight="false" outlineLevel="0" collapsed="false">
      <c r="A140" s="57" t="n">
        <v>17</v>
      </c>
      <c r="B140" s="10" t="n">
        <f aca="false">B$120+A140</f>
        <v>17</v>
      </c>
      <c r="C140" s="58" t="n">
        <v>0</v>
      </c>
      <c r="D140" s="10" t="n">
        <f aca="false">IF($D$118=TRUE(),C140,IF(C140&gt;0,C140+B$12*B$244,0))</f>
        <v>0</v>
      </c>
      <c r="E140" s="61"/>
      <c r="F140" s="61"/>
      <c r="G140" s="61"/>
      <c r="K140" s="61"/>
      <c r="L140" s="61"/>
    </row>
    <row r="141" customFormat="false" ht="15" hidden="false" customHeight="false" outlineLevel="0" collapsed="false">
      <c r="A141" s="57" t="n">
        <v>18</v>
      </c>
      <c r="B141" s="10" t="n">
        <f aca="false">B$120+A141</f>
        <v>18</v>
      </c>
      <c r="C141" s="58" t="n">
        <v>0</v>
      </c>
      <c r="D141" s="10" t="n">
        <f aca="false">IF($D$118=TRUE(),C141,IF(C141&gt;0,C141+B$12*B$244,0))</f>
        <v>0</v>
      </c>
      <c r="K141" s="61"/>
      <c r="L141" s="61"/>
    </row>
    <row r="142" customFormat="false" ht="15" hidden="false" customHeight="false" outlineLevel="0" collapsed="false">
      <c r="A142" s="57" t="n">
        <v>19</v>
      </c>
      <c r="B142" s="10" t="n">
        <f aca="false">B$120+A142</f>
        <v>19</v>
      </c>
      <c r="C142" s="58" t="n">
        <v>0</v>
      </c>
      <c r="D142" s="10" t="n">
        <f aca="false">IF($D$118=TRUE(),C142,IF(C142&gt;0,C142+B$12*B$244,0))</f>
        <v>0</v>
      </c>
      <c r="K142" s="61"/>
      <c r="L142" s="61"/>
    </row>
    <row r="143" customFormat="false" ht="15" hidden="false" customHeight="false" outlineLevel="0" collapsed="false">
      <c r="A143" s="57" t="n">
        <v>20</v>
      </c>
      <c r="B143" s="10" t="n">
        <f aca="false">B$120+A143</f>
        <v>20</v>
      </c>
      <c r="C143" s="58" t="n">
        <v>0</v>
      </c>
      <c r="D143" s="10" t="n">
        <f aca="false">IF($D$118=TRUE(),C143,IF(C143&gt;0,C143+B$12*B$244,0))</f>
        <v>0</v>
      </c>
      <c r="K143" s="61"/>
      <c r="L143" s="61"/>
    </row>
    <row r="144" customFormat="false" ht="15" hidden="false" customHeight="false" outlineLevel="0" collapsed="false">
      <c r="A144" s="57" t="n">
        <v>21</v>
      </c>
      <c r="B144" s="10" t="n">
        <f aca="false">B$120+A144</f>
        <v>21</v>
      </c>
      <c r="C144" s="58" t="n">
        <v>0</v>
      </c>
      <c r="D144" s="10" t="n">
        <f aca="false">IF($D$118=TRUE(),C144,IF(C144&gt;0,C144+B$12*B$244,0))</f>
        <v>0</v>
      </c>
      <c r="K144" s="61"/>
      <c r="L144" s="61"/>
    </row>
    <row r="145" customFormat="false" ht="15" hidden="false" customHeight="false" outlineLevel="0" collapsed="false">
      <c r="A145" s="57" t="n">
        <v>22</v>
      </c>
      <c r="B145" s="10" t="n">
        <f aca="false">B$120+A145</f>
        <v>22</v>
      </c>
      <c r="C145" s="58" t="n">
        <v>0</v>
      </c>
      <c r="D145" s="10" t="n">
        <f aca="false">IF($D$118=TRUE(),C145,IF(C145&gt;0,C145+B$12*B$244,0))</f>
        <v>0</v>
      </c>
      <c r="K145" s="61"/>
      <c r="L145" s="61"/>
    </row>
    <row r="146" customFormat="false" ht="15" hidden="false" customHeight="false" outlineLevel="0" collapsed="false">
      <c r="A146" s="57" t="n">
        <v>23</v>
      </c>
      <c r="B146" s="10" t="n">
        <f aca="false">B$120+A146</f>
        <v>23</v>
      </c>
      <c r="C146" s="58" t="n">
        <v>0</v>
      </c>
      <c r="D146" s="10" t="n">
        <f aca="false">IF($D$118=TRUE(),C146,IF(C146&gt;0,C146+B$12*B$244,0))</f>
        <v>0</v>
      </c>
      <c r="K146" s="61"/>
      <c r="L146" s="61"/>
    </row>
    <row r="147" customFormat="false" ht="15" hidden="false" customHeight="false" outlineLevel="0" collapsed="false">
      <c r="A147" s="57" t="n">
        <v>24</v>
      </c>
      <c r="B147" s="10" t="n">
        <f aca="false">B$120+A147</f>
        <v>24</v>
      </c>
      <c r="C147" s="58" t="n">
        <v>0</v>
      </c>
      <c r="D147" s="10" t="n">
        <f aca="false">IF($D$118=TRUE(),C147,IF(C147&gt;0,C147+B$12*B$244,0))</f>
        <v>0</v>
      </c>
      <c r="K147" s="61"/>
      <c r="L147" s="61"/>
    </row>
    <row r="148" customFormat="false" ht="15" hidden="false" customHeight="false" outlineLevel="0" collapsed="false">
      <c r="A148" s="57" t="n">
        <v>25</v>
      </c>
      <c r="B148" s="10" t="n">
        <f aca="false">B$120+A148</f>
        <v>25</v>
      </c>
      <c r="C148" s="58" t="n">
        <v>0</v>
      </c>
      <c r="D148" s="10" t="n">
        <f aca="false">IF($D$118=TRUE(),C148,IF(C148&gt;0,C148+B$12*B$244,0))</f>
        <v>0</v>
      </c>
      <c r="K148" s="61"/>
      <c r="L148" s="61"/>
    </row>
    <row r="149" customFormat="false" ht="15" hidden="false" customHeight="false" outlineLevel="0" collapsed="false">
      <c r="A149" s="57" t="n">
        <v>26</v>
      </c>
      <c r="B149" s="10" t="n">
        <f aca="false">B$120+A149</f>
        <v>26</v>
      </c>
      <c r="C149" s="58" t="n">
        <v>0</v>
      </c>
      <c r="D149" s="10" t="n">
        <f aca="false">IF($D$118=TRUE(),C149,IF(C149&gt;0,C149+B$12*B$244,0))</f>
        <v>0</v>
      </c>
      <c r="K149" s="61"/>
      <c r="L149" s="61"/>
    </row>
    <row r="150" customFormat="false" ht="15" hidden="false" customHeight="false" outlineLevel="0" collapsed="false">
      <c r="A150" s="57" t="n">
        <v>27</v>
      </c>
      <c r="B150" s="10" t="n">
        <f aca="false">B$120+A150</f>
        <v>27</v>
      </c>
      <c r="C150" s="58" t="n">
        <v>0</v>
      </c>
      <c r="D150" s="10" t="n">
        <f aca="false">IF($D$118=TRUE(),C150,IF(C150&gt;0,C150+B$12*B$244,0))</f>
        <v>0</v>
      </c>
      <c r="K150" s="61"/>
      <c r="L150" s="61"/>
    </row>
    <row r="151" customFormat="false" ht="15" hidden="false" customHeight="false" outlineLevel="0" collapsed="false">
      <c r="A151" s="57" t="n">
        <v>28</v>
      </c>
      <c r="B151" s="10" t="n">
        <f aca="false">B$120+A151</f>
        <v>28</v>
      </c>
      <c r="C151" s="58" t="n">
        <v>0</v>
      </c>
      <c r="D151" s="10" t="n">
        <f aca="false">IF($D$118=TRUE(),C151,IF(C151&gt;0,C151+B$12*B$244,0))</f>
        <v>0</v>
      </c>
    </row>
    <row r="152" customFormat="false" ht="15" hidden="false" customHeight="false" outlineLevel="0" collapsed="false">
      <c r="A152" s="57" t="n">
        <v>29</v>
      </c>
      <c r="B152" s="10" t="n">
        <f aca="false">B$120+A152</f>
        <v>29</v>
      </c>
      <c r="C152" s="58" t="n">
        <v>0</v>
      </c>
      <c r="D152" s="10" t="n">
        <f aca="false">IF($D$118=TRUE(),C152,IF(C152&gt;0,C152+B$12*B$244,0))</f>
        <v>0</v>
      </c>
    </row>
    <row r="153" customFormat="false" ht="15" hidden="false" customHeight="false" outlineLevel="0" collapsed="false">
      <c r="A153" s="57" t="n">
        <v>30</v>
      </c>
      <c r="B153" s="10" t="n">
        <f aca="false">B$120+A153</f>
        <v>30</v>
      </c>
      <c r="C153" s="58" t="n">
        <v>0</v>
      </c>
      <c r="D153" s="10" t="n">
        <f aca="false">IF($D$118=TRUE(),C153,IF(C153&gt;0,C153+B$12*B$244,0))</f>
        <v>0</v>
      </c>
    </row>
    <row r="154" customFormat="false" ht="15" hidden="false" customHeight="false" outlineLevel="0" collapsed="false">
      <c r="A154" s="57" t="n">
        <v>31</v>
      </c>
      <c r="B154" s="10" t="n">
        <f aca="false">B$120+A154</f>
        <v>31</v>
      </c>
      <c r="C154" s="58" t="n">
        <v>0</v>
      </c>
      <c r="D154" s="10" t="n">
        <f aca="false">IF($D$118=TRUE(),C154,IF(C154&gt;0,C154+B$12*B$244,0))</f>
        <v>0</v>
      </c>
    </row>
    <row r="155" customFormat="false" ht="15" hidden="false" customHeight="false" outlineLevel="0" collapsed="false">
      <c r="A155" s="57" t="n">
        <v>32</v>
      </c>
      <c r="B155" s="10" t="n">
        <f aca="false">B$120+A155</f>
        <v>32</v>
      </c>
      <c r="C155" s="58" t="n">
        <v>0</v>
      </c>
      <c r="D155" s="10" t="n">
        <f aca="false">IF($D$118=TRUE(),C155,IF(C155&gt;0,C155+B$12*B$244,0))</f>
        <v>0</v>
      </c>
    </row>
    <row r="156" customFormat="false" ht="15" hidden="false" customHeight="false" outlineLevel="0" collapsed="false">
      <c r="A156" s="57" t="n">
        <v>33</v>
      </c>
      <c r="B156" s="10" t="n">
        <f aca="false">B$120+A156</f>
        <v>33</v>
      </c>
      <c r="C156" s="58" t="n">
        <v>0</v>
      </c>
      <c r="D156" s="10" t="n">
        <f aca="false">IF($D$118=TRUE(),C156,IF(C156&gt;0,C156+B$12*B$244,0))</f>
        <v>0</v>
      </c>
    </row>
    <row r="157" customFormat="false" ht="15" hidden="false" customHeight="false" outlineLevel="0" collapsed="false">
      <c r="A157" s="57" t="n">
        <v>34</v>
      </c>
      <c r="B157" s="10" t="n">
        <f aca="false">B$120+A157</f>
        <v>34</v>
      </c>
      <c r="C157" s="58" t="n">
        <v>0</v>
      </c>
      <c r="D157" s="10" t="n">
        <f aca="false">IF($D$118=TRUE(),C157,IF(C157&gt;0,C157+B$12*B$244,0))</f>
        <v>0</v>
      </c>
    </row>
    <row r="158" customFormat="false" ht="15" hidden="false" customHeight="false" outlineLevel="0" collapsed="false">
      <c r="A158" s="57" t="n">
        <v>35</v>
      </c>
      <c r="B158" s="10" t="n">
        <f aca="false">B$120+A158</f>
        <v>35</v>
      </c>
      <c r="C158" s="58" t="n">
        <v>0</v>
      </c>
      <c r="D158" s="10" t="n">
        <f aca="false">IF($D$118=TRUE(),C158,IF(C158&gt;0,C158+B$12*B$244,0))</f>
        <v>0</v>
      </c>
    </row>
    <row r="159" customFormat="false" ht="15" hidden="false" customHeight="false" outlineLevel="0" collapsed="false">
      <c r="A159" s="57" t="n">
        <v>36</v>
      </c>
      <c r="B159" s="10" t="n">
        <f aca="false">B$120+A159</f>
        <v>36</v>
      </c>
      <c r="C159" s="58" t="n">
        <v>0</v>
      </c>
      <c r="D159" s="10" t="n">
        <f aca="false">IF($D$118=TRUE(),C159,IF(C159&gt;0,C159+B$12*B$244,0))</f>
        <v>0</v>
      </c>
    </row>
    <row r="160" customFormat="false" ht="15" hidden="false" customHeight="false" outlineLevel="0" collapsed="false">
      <c r="A160" s="57" t="n">
        <v>37</v>
      </c>
      <c r="B160" s="10" t="n">
        <f aca="false">B$120+A160</f>
        <v>37</v>
      </c>
      <c r="C160" s="58" t="n">
        <v>0</v>
      </c>
      <c r="D160" s="10" t="n">
        <f aca="false">IF($D$118=TRUE(),C160,IF(C160&gt;0,C160+B$12*B$244,0))</f>
        <v>0</v>
      </c>
    </row>
    <row r="161" customFormat="false" ht="15" hidden="false" customHeight="false" outlineLevel="0" collapsed="false">
      <c r="A161" s="57" t="n">
        <v>38</v>
      </c>
      <c r="B161" s="10" t="n">
        <f aca="false">B$120+A161</f>
        <v>38</v>
      </c>
      <c r="C161" s="58" t="n">
        <v>0</v>
      </c>
      <c r="D161" s="10" t="n">
        <f aca="false">IF($D$118=TRUE(),C161,IF(C161&gt;0,C161+B$12*B$244,0))</f>
        <v>0</v>
      </c>
    </row>
    <row r="162" customFormat="false" ht="15" hidden="false" customHeight="false" outlineLevel="0" collapsed="false">
      <c r="A162" s="57" t="n">
        <v>39</v>
      </c>
      <c r="B162" s="10" t="n">
        <f aca="false">B$120+A162</f>
        <v>39</v>
      </c>
      <c r="C162" s="58" t="n">
        <v>0</v>
      </c>
      <c r="D162" s="10" t="n">
        <f aca="false">IF($D$118=TRUE(),C162,IF(C162&gt;0,C162+B$12*B$244,0))</f>
        <v>0</v>
      </c>
    </row>
    <row r="163" customFormat="false" ht="15" hidden="false" customHeight="false" outlineLevel="0" collapsed="false">
      <c r="A163" s="57" t="n">
        <v>40</v>
      </c>
      <c r="B163" s="10" t="n">
        <f aca="false">B$120+A163</f>
        <v>40</v>
      </c>
      <c r="C163" s="58" t="n">
        <v>0</v>
      </c>
      <c r="D163" s="10" t="n">
        <f aca="false">IF($D$118=TRUE(),C163,IF(C163&gt;0,C163+B$12*B$244,0))</f>
        <v>0</v>
      </c>
    </row>
    <row r="164" customFormat="false" ht="15" hidden="false" customHeight="false" outlineLevel="0" collapsed="false">
      <c r="A164" s="57" t="n">
        <v>41</v>
      </c>
      <c r="B164" s="10" t="n">
        <f aca="false">B$120+A164</f>
        <v>41</v>
      </c>
      <c r="C164" s="58" t="n">
        <v>0</v>
      </c>
      <c r="D164" s="10" t="n">
        <f aca="false">IF($D$118=TRUE(),C164,IF(C164&gt;0,C164+B$12*B$244,0))</f>
        <v>0</v>
      </c>
    </row>
    <row r="165" customFormat="false" ht="15" hidden="false" customHeight="false" outlineLevel="0" collapsed="false">
      <c r="A165" s="57" t="n">
        <v>42</v>
      </c>
      <c r="B165" s="10" t="n">
        <f aca="false">B$120+A165</f>
        <v>42</v>
      </c>
      <c r="C165" s="58" t="n">
        <v>0</v>
      </c>
      <c r="D165" s="10" t="n">
        <f aca="false">IF($D$118=TRUE(),C165,IF(C165&gt;0,C165+B$12*B$244,0))</f>
        <v>0</v>
      </c>
    </row>
    <row r="166" customFormat="false" ht="15" hidden="false" customHeight="false" outlineLevel="0" collapsed="false">
      <c r="A166" s="57" t="n">
        <v>43</v>
      </c>
      <c r="B166" s="10" t="n">
        <f aca="false">B$120+A166</f>
        <v>43</v>
      </c>
      <c r="C166" s="58" t="n">
        <v>0</v>
      </c>
      <c r="D166" s="10" t="n">
        <f aca="false">IF($D$118=TRUE(),C166,IF(C166&gt;0,C166+B$12*B$244,0))</f>
        <v>0</v>
      </c>
    </row>
    <row r="167" customFormat="false" ht="15" hidden="false" customHeight="false" outlineLevel="0" collapsed="false">
      <c r="A167" s="57" t="n">
        <v>44</v>
      </c>
      <c r="B167" s="10" t="n">
        <f aca="false">B$120+A167</f>
        <v>44</v>
      </c>
      <c r="C167" s="58" t="n">
        <v>0</v>
      </c>
      <c r="D167" s="10" t="n">
        <f aca="false">IF($D$118=TRUE(),C167,IF(C167&gt;0,C167+B$12*B$244,0))</f>
        <v>0</v>
      </c>
    </row>
    <row r="168" customFormat="false" ht="15" hidden="false" customHeight="false" outlineLevel="0" collapsed="false">
      <c r="A168" s="57" t="n">
        <v>45</v>
      </c>
      <c r="B168" s="10" t="n">
        <f aca="false">B$120+A168</f>
        <v>45</v>
      </c>
      <c r="C168" s="58" t="n">
        <v>0</v>
      </c>
      <c r="D168" s="10" t="n">
        <f aca="false">IF($D$118=TRUE(),C168,IF(C168&gt;0,C168+B$12*B$244,0))</f>
        <v>0</v>
      </c>
    </row>
    <row r="169" customFormat="false" ht="15" hidden="false" customHeight="false" outlineLevel="0" collapsed="false">
      <c r="A169" s="57" t="n">
        <v>46</v>
      </c>
      <c r="B169" s="10" t="n">
        <f aca="false">B$120+A169</f>
        <v>46</v>
      </c>
      <c r="C169" s="58" t="n">
        <v>0</v>
      </c>
      <c r="D169" s="10" t="n">
        <f aca="false">IF($D$118=TRUE(),C169,IF(C169&gt;0,C169+B$12*B$244,0))</f>
        <v>0</v>
      </c>
    </row>
    <row r="170" customFormat="false" ht="15" hidden="false" customHeight="false" outlineLevel="0" collapsed="false">
      <c r="A170" s="57" t="n">
        <v>47</v>
      </c>
      <c r="B170" s="10" t="n">
        <f aca="false">B$120+A170</f>
        <v>47</v>
      </c>
      <c r="C170" s="58" t="n">
        <v>0</v>
      </c>
      <c r="D170" s="10" t="n">
        <f aca="false">IF($D$118=TRUE(),C170,IF(C170&gt;0,C170+B$12*B$244,0))</f>
        <v>0</v>
      </c>
    </row>
    <row r="171" customFormat="false" ht="15" hidden="false" customHeight="false" outlineLevel="0" collapsed="false">
      <c r="A171" s="57" t="n">
        <v>48</v>
      </c>
      <c r="B171" s="10" t="n">
        <f aca="false">B$120+A171</f>
        <v>48</v>
      </c>
      <c r="C171" s="58" t="n">
        <v>0</v>
      </c>
      <c r="D171" s="10" t="n">
        <f aca="false">IF($D$118=TRUE(),C171,IF(C171&gt;0,C171+B$12*B$244,0))</f>
        <v>0</v>
      </c>
    </row>
    <row r="172" customFormat="false" ht="15" hidden="false" customHeight="false" outlineLevel="0" collapsed="false">
      <c r="A172" s="57" t="n">
        <v>49</v>
      </c>
      <c r="B172" s="10" t="n">
        <f aca="false">B$120+A172</f>
        <v>49</v>
      </c>
      <c r="C172" s="58" t="n">
        <v>0</v>
      </c>
      <c r="D172" s="10" t="n">
        <f aca="false">IF($D$118=TRUE(),C172,IF(C172&gt;0,C172+B$12*B$244,0))</f>
        <v>0</v>
      </c>
    </row>
    <row r="173" customFormat="false" ht="15" hidden="false" customHeight="false" outlineLevel="0" collapsed="false">
      <c r="A173" s="57" t="n">
        <v>50</v>
      </c>
      <c r="B173" s="10" t="n">
        <f aca="false">B$120+A173</f>
        <v>50</v>
      </c>
      <c r="C173" s="58" t="n">
        <v>0</v>
      </c>
      <c r="D173" s="10" t="n">
        <f aca="false">IF($D$118=TRUE(),C173,IF(C173&gt;0,C173+B$12*B$244,0))</f>
        <v>0</v>
      </c>
    </row>
    <row r="174" customFormat="false" ht="15" hidden="false" customHeight="false" outlineLevel="0" collapsed="false">
      <c r="A174" s="57" t="n">
        <v>51</v>
      </c>
      <c r="B174" s="10" t="n">
        <f aca="false">B$120+A174</f>
        <v>51</v>
      </c>
      <c r="C174" s="58" t="n">
        <v>0</v>
      </c>
      <c r="D174" s="10" t="n">
        <f aca="false">IF($D$118=TRUE(),C174,IF(C174&gt;0,C174+B$12*B$244,0))</f>
        <v>0</v>
      </c>
    </row>
    <row r="175" customFormat="false" ht="15" hidden="false" customHeight="false" outlineLevel="0" collapsed="false">
      <c r="A175" s="57" t="n">
        <v>52</v>
      </c>
      <c r="B175" s="10" t="n">
        <f aca="false">B$120+A175</f>
        <v>52</v>
      </c>
      <c r="C175" s="58" t="n">
        <v>0</v>
      </c>
      <c r="D175" s="10" t="n">
        <f aca="false">IF($D$118=TRUE(),C175,IF(C175&gt;0,C175+B$12*B$244,0))</f>
        <v>0</v>
      </c>
    </row>
    <row r="176" customFormat="false" ht="15" hidden="false" customHeight="false" outlineLevel="0" collapsed="false">
      <c r="A176" s="57" t="n">
        <v>53</v>
      </c>
      <c r="B176" s="10" t="n">
        <f aca="false">B$120+A176</f>
        <v>53</v>
      </c>
      <c r="C176" s="58" t="n">
        <v>0</v>
      </c>
      <c r="D176" s="10" t="n">
        <f aca="false">IF($D$118=TRUE(),C176,IF(C176&gt;0,C176+B$12*B$244,0))</f>
        <v>0</v>
      </c>
    </row>
    <row r="177" customFormat="false" ht="15" hidden="false" customHeight="false" outlineLevel="0" collapsed="false">
      <c r="A177" s="57" t="n">
        <v>54</v>
      </c>
      <c r="B177" s="10" t="n">
        <f aca="false">B$120+A177</f>
        <v>54</v>
      </c>
      <c r="C177" s="58" t="n">
        <v>0</v>
      </c>
      <c r="D177" s="10" t="n">
        <f aca="false">IF($D$118=TRUE(),C177,IF(C177&gt;0,C177+B$12*B$244,0))</f>
        <v>0</v>
      </c>
    </row>
    <row r="178" customFormat="false" ht="15" hidden="false" customHeight="false" outlineLevel="0" collapsed="false">
      <c r="A178" s="57" t="n">
        <v>55</v>
      </c>
      <c r="B178" s="10" t="n">
        <f aca="false">B$120+A178</f>
        <v>55</v>
      </c>
      <c r="C178" s="58" t="n">
        <v>0</v>
      </c>
      <c r="D178" s="10" t="n">
        <f aca="false">IF($D$118=TRUE(),C178,IF(C178&gt;0,C178+B$12*B$244,0))</f>
        <v>0</v>
      </c>
    </row>
    <row r="179" customFormat="false" ht="15" hidden="false" customHeight="false" outlineLevel="0" collapsed="false">
      <c r="A179" s="57" t="n">
        <v>56</v>
      </c>
      <c r="B179" s="10" t="n">
        <f aca="false">B$120+A179</f>
        <v>56</v>
      </c>
      <c r="C179" s="58" t="n">
        <v>0</v>
      </c>
      <c r="D179" s="10" t="n">
        <f aca="false">IF($D$118=TRUE(),C179,IF(C179&gt;0,C179+B$12*B$244,0))</f>
        <v>0</v>
      </c>
    </row>
    <row r="180" customFormat="false" ht="15" hidden="false" customHeight="false" outlineLevel="0" collapsed="false">
      <c r="A180" s="57" t="n">
        <v>57</v>
      </c>
      <c r="B180" s="10" t="n">
        <f aca="false">B$120+A180</f>
        <v>57</v>
      </c>
      <c r="C180" s="58" t="n">
        <v>0</v>
      </c>
      <c r="D180" s="10" t="n">
        <f aca="false">IF($D$118=TRUE(),C180,IF(C180&gt;0,C180+B$12*B$244,0))</f>
        <v>0</v>
      </c>
    </row>
    <row r="181" customFormat="false" ht="15" hidden="false" customHeight="false" outlineLevel="0" collapsed="false">
      <c r="A181" s="57" t="n">
        <v>58</v>
      </c>
      <c r="B181" s="10" t="n">
        <f aca="false">B$120+A181</f>
        <v>58</v>
      </c>
      <c r="C181" s="58" t="n">
        <v>0</v>
      </c>
      <c r="D181" s="10" t="n">
        <f aca="false">IF($D$118=TRUE(),C181,IF(C181&gt;0,C181+B$12*B$244,0))</f>
        <v>0</v>
      </c>
    </row>
    <row r="182" customFormat="false" ht="15" hidden="false" customHeight="false" outlineLevel="0" collapsed="false">
      <c r="A182" s="57" t="n">
        <v>59</v>
      </c>
      <c r="B182" s="10" t="n">
        <f aca="false">B$120+A182</f>
        <v>59</v>
      </c>
      <c r="C182" s="58" t="n">
        <v>0</v>
      </c>
      <c r="D182" s="10" t="n">
        <f aca="false">IF($D$118=TRUE(),C182,IF(C182&gt;0,C182+B$12*B$244,0))</f>
        <v>0</v>
      </c>
    </row>
    <row r="183" customFormat="false" ht="15" hidden="false" customHeight="false" outlineLevel="0" collapsed="false">
      <c r="A183" s="57" t="n">
        <v>60</v>
      </c>
      <c r="B183" s="10" t="n">
        <f aca="false">B$120+A183</f>
        <v>60</v>
      </c>
      <c r="C183" s="58" t="n">
        <v>0</v>
      </c>
      <c r="D183" s="10" t="n">
        <f aca="false">IF($D$118=TRUE(),C183,IF(C183&gt;0,C183+B$12*B$244,0))</f>
        <v>0</v>
      </c>
    </row>
    <row r="184" customFormat="false" ht="15" hidden="false" customHeight="false" outlineLevel="0" collapsed="false">
      <c r="A184" s="57" t="n">
        <v>61</v>
      </c>
      <c r="B184" s="10" t="n">
        <f aca="false">B$120+A184</f>
        <v>61</v>
      </c>
      <c r="C184" s="58" t="n">
        <v>0</v>
      </c>
      <c r="D184" s="10" t="n">
        <f aca="false">IF($D$118=TRUE(),C184,IF(C184&gt;0,C184+B$12*B$244,0))</f>
        <v>0</v>
      </c>
    </row>
    <row r="185" customFormat="false" ht="15" hidden="false" customHeight="false" outlineLevel="0" collapsed="false">
      <c r="A185" s="57" t="n">
        <v>62</v>
      </c>
      <c r="B185" s="10" t="n">
        <f aca="false">B$120+A185</f>
        <v>62</v>
      </c>
      <c r="C185" s="58" t="n">
        <v>0</v>
      </c>
      <c r="D185" s="10" t="n">
        <f aca="false">IF($D$118=TRUE(),C185,IF(C185&gt;0,C185+B$12*B$244,0))</f>
        <v>0</v>
      </c>
    </row>
    <row r="186" customFormat="false" ht="15" hidden="false" customHeight="false" outlineLevel="0" collapsed="false">
      <c r="A186" s="57" t="n">
        <v>63</v>
      </c>
      <c r="B186" s="10" t="n">
        <f aca="false">B$120+A186</f>
        <v>63</v>
      </c>
      <c r="C186" s="58" t="n">
        <v>0</v>
      </c>
      <c r="D186" s="10" t="n">
        <f aca="false">IF($D$118=TRUE(),C186,IF(C186&gt;0,C186+B$12*B$244,0))</f>
        <v>0</v>
      </c>
    </row>
    <row r="187" customFormat="false" ht="15" hidden="false" customHeight="false" outlineLevel="0" collapsed="false">
      <c r="A187" s="57" t="n">
        <v>64</v>
      </c>
      <c r="B187" s="10" t="n">
        <f aca="false">B$120+A187</f>
        <v>64</v>
      </c>
      <c r="C187" s="58" t="n">
        <v>0</v>
      </c>
      <c r="D187" s="10" t="n">
        <f aca="false">IF($D$118=TRUE(),C187,IF(C187&gt;0,C187+B$12*B$244,0))</f>
        <v>0</v>
      </c>
    </row>
    <row r="188" customFormat="false" ht="15" hidden="false" customHeight="false" outlineLevel="0" collapsed="false">
      <c r="A188" s="57" t="n">
        <v>65</v>
      </c>
      <c r="B188" s="10" t="n">
        <f aca="false">B$120+A188</f>
        <v>65</v>
      </c>
      <c r="C188" s="58" t="n">
        <v>0</v>
      </c>
      <c r="D188" s="10" t="n">
        <f aca="false">IF($D$118=TRUE(),C188,IF(C188&gt;0,C188+B$12*B$244,0))</f>
        <v>0</v>
      </c>
    </row>
    <row r="189" customFormat="false" ht="15" hidden="false" customHeight="false" outlineLevel="0" collapsed="false">
      <c r="A189" s="57" t="n">
        <v>66</v>
      </c>
      <c r="B189" s="10" t="n">
        <f aca="false">B$120+A189</f>
        <v>66</v>
      </c>
      <c r="C189" s="58" t="n">
        <v>0</v>
      </c>
      <c r="D189" s="10" t="n">
        <f aca="false">IF($D$118=TRUE(),C189,IF(C189&gt;0,C189+B$12*B$244,0))</f>
        <v>0</v>
      </c>
    </row>
    <row r="190" customFormat="false" ht="15" hidden="false" customHeight="false" outlineLevel="0" collapsed="false">
      <c r="A190" s="57" t="n">
        <v>67</v>
      </c>
      <c r="B190" s="10" t="n">
        <f aca="false">B$120+A190</f>
        <v>67</v>
      </c>
      <c r="C190" s="58" t="n">
        <v>0</v>
      </c>
      <c r="D190" s="10" t="n">
        <f aca="false">IF($D$118=TRUE(),C190,IF(C190&gt;0,C190+B$12*B$244,0))</f>
        <v>0</v>
      </c>
    </row>
    <row r="191" customFormat="false" ht="15" hidden="false" customHeight="false" outlineLevel="0" collapsed="false">
      <c r="A191" s="57" t="n">
        <v>68</v>
      </c>
      <c r="B191" s="10" t="n">
        <f aca="false">B$120+A191</f>
        <v>68</v>
      </c>
      <c r="C191" s="58" t="n">
        <v>0</v>
      </c>
      <c r="D191" s="10" t="n">
        <f aca="false">IF($D$118=TRUE(),C191,IF(C191&gt;0,C191+B$12*B$244,0))</f>
        <v>0</v>
      </c>
    </row>
    <row r="192" customFormat="false" ht="15" hidden="false" customHeight="false" outlineLevel="0" collapsed="false">
      <c r="A192" s="57" t="n">
        <v>69</v>
      </c>
      <c r="B192" s="10" t="n">
        <f aca="false">B$120+A192</f>
        <v>69</v>
      </c>
      <c r="C192" s="58" t="n">
        <v>0</v>
      </c>
      <c r="D192" s="10" t="n">
        <f aca="false">IF($D$118=TRUE(),C192,IF(C192&gt;0,C192+B$12*B$244,0))</f>
        <v>0</v>
      </c>
    </row>
    <row r="193" customFormat="false" ht="15" hidden="false" customHeight="false" outlineLevel="0" collapsed="false">
      <c r="A193" s="57" t="n">
        <v>70</v>
      </c>
      <c r="B193" s="10" t="n">
        <f aca="false">B$120+A193</f>
        <v>70</v>
      </c>
      <c r="C193" s="58" t="n">
        <v>0</v>
      </c>
      <c r="D193" s="10" t="n">
        <f aca="false">IF($D$118=TRUE(),C193,IF(C193&gt;0,C193+B$12*B$244,0))</f>
        <v>0</v>
      </c>
    </row>
    <row r="194" customFormat="false" ht="15" hidden="false" customHeight="false" outlineLevel="0" collapsed="false">
      <c r="A194" s="57" t="n">
        <v>71</v>
      </c>
      <c r="B194" s="10" t="n">
        <f aca="false">B$120+A194</f>
        <v>71</v>
      </c>
      <c r="C194" s="58" t="n">
        <v>0</v>
      </c>
      <c r="D194" s="10" t="n">
        <f aca="false">IF($D$118=TRUE(),C194,IF(C194&gt;0,C194+B$12*B$244,0))</f>
        <v>0</v>
      </c>
    </row>
    <row r="195" customFormat="false" ht="15" hidden="false" customHeight="false" outlineLevel="0" collapsed="false">
      <c r="A195" s="57" t="n">
        <v>72</v>
      </c>
      <c r="B195" s="10" t="n">
        <f aca="false">B$120+A195</f>
        <v>72</v>
      </c>
      <c r="C195" s="58" t="n">
        <v>0</v>
      </c>
      <c r="D195" s="10" t="n">
        <f aca="false">IF($D$118=TRUE(),C195,IF(C195&gt;0,C195+B$12*B$244,0))</f>
        <v>0</v>
      </c>
    </row>
    <row r="196" customFormat="false" ht="15" hidden="false" customHeight="false" outlineLevel="0" collapsed="false">
      <c r="A196" s="57" t="n">
        <v>73</v>
      </c>
      <c r="B196" s="10" t="n">
        <f aca="false">B$120+A196</f>
        <v>73</v>
      </c>
      <c r="C196" s="58" t="n">
        <v>0</v>
      </c>
      <c r="D196" s="10" t="n">
        <f aca="false">IF($D$118=TRUE(),C196,IF(C196&gt;0,C196+B$12*B$244,0))</f>
        <v>0</v>
      </c>
    </row>
    <row r="197" customFormat="false" ht="15" hidden="false" customHeight="false" outlineLevel="0" collapsed="false">
      <c r="A197" s="57" t="n">
        <v>74</v>
      </c>
      <c r="B197" s="10" t="n">
        <f aca="false">B$120+A197</f>
        <v>74</v>
      </c>
      <c r="C197" s="58" t="n">
        <v>0</v>
      </c>
      <c r="D197" s="10" t="n">
        <f aca="false">IF($D$118=TRUE(),C197,IF(C197&gt;0,C197+B$12*B$244,0))</f>
        <v>0</v>
      </c>
    </row>
    <row r="198" customFormat="false" ht="15" hidden="false" customHeight="false" outlineLevel="0" collapsed="false">
      <c r="A198" s="57" t="n">
        <v>75</v>
      </c>
      <c r="B198" s="10" t="n">
        <f aca="false">B$120+A198</f>
        <v>75</v>
      </c>
      <c r="C198" s="58" t="n">
        <v>0</v>
      </c>
      <c r="D198" s="10" t="n">
        <f aca="false">IF($D$118=TRUE(),C198,IF(C198&gt;0,C198+B$12*B$244,0))</f>
        <v>0</v>
      </c>
    </row>
    <row r="199" customFormat="false" ht="15" hidden="false" customHeight="false" outlineLevel="0" collapsed="false">
      <c r="A199" s="57" t="n">
        <v>76</v>
      </c>
      <c r="B199" s="10" t="n">
        <f aca="false">B$120+A199</f>
        <v>76</v>
      </c>
      <c r="C199" s="58" t="n">
        <v>0</v>
      </c>
      <c r="D199" s="10" t="n">
        <f aca="false">IF($D$118=TRUE(),C199,IF(C199&gt;0,C199+B$12*B$244,0))</f>
        <v>0</v>
      </c>
    </row>
    <row r="200" customFormat="false" ht="15" hidden="false" customHeight="false" outlineLevel="0" collapsed="false">
      <c r="A200" s="57" t="n">
        <v>77</v>
      </c>
      <c r="B200" s="10" t="n">
        <f aca="false">B$120+A200</f>
        <v>77</v>
      </c>
      <c r="C200" s="58" t="n">
        <v>0</v>
      </c>
      <c r="D200" s="10" t="n">
        <f aca="false">IF($D$118=TRUE(),C200,IF(C200&gt;0,C200+B$12*B$244,0))</f>
        <v>0</v>
      </c>
    </row>
    <row r="201" customFormat="false" ht="15" hidden="false" customHeight="false" outlineLevel="0" collapsed="false">
      <c r="A201" s="57" t="n">
        <v>78</v>
      </c>
      <c r="B201" s="10" t="n">
        <f aca="false">B$120+A201</f>
        <v>78</v>
      </c>
      <c r="C201" s="58" t="n">
        <v>0</v>
      </c>
      <c r="D201" s="10" t="n">
        <f aca="false">IF($D$118=TRUE(),C201,IF(C201&gt;0,C201+B$12*B$244,0))</f>
        <v>0</v>
      </c>
    </row>
    <row r="202" customFormat="false" ht="15" hidden="false" customHeight="false" outlineLevel="0" collapsed="false">
      <c r="A202" s="57" t="n">
        <v>79</v>
      </c>
      <c r="B202" s="10" t="n">
        <f aca="false">B$120+A202</f>
        <v>79</v>
      </c>
      <c r="C202" s="58" t="n">
        <v>0</v>
      </c>
      <c r="D202" s="10" t="n">
        <f aca="false">IF($D$118=TRUE(),C202,IF(C202&gt;0,C202+B$12*B$244,0))</f>
        <v>0</v>
      </c>
    </row>
    <row r="203" customFormat="false" ht="15" hidden="false" customHeight="false" outlineLevel="0" collapsed="false">
      <c r="A203" s="57" t="n">
        <v>80</v>
      </c>
      <c r="B203" s="10" t="n">
        <f aca="false">B$120+A203</f>
        <v>80</v>
      </c>
      <c r="C203" s="58" t="n">
        <v>0</v>
      </c>
      <c r="D203" s="10" t="n">
        <f aca="false">IF($D$118=TRUE(),C203,IF(C203&gt;0,C203+B$12*B$244,0))</f>
        <v>0</v>
      </c>
    </row>
    <row r="204" customFormat="false" ht="15" hidden="false" customHeight="false" outlineLevel="0" collapsed="false">
      <c r="A204" s="57" t="n">
        <v>81</v>
      </c>
      <c r="B204" s="10" t="n">
        <f aca="false">B$120+A204</f>
        <v>81</v>
      </c>
      <c r="C204" s="58" t="n">
        <v>0</v>
      </c>
      <c r="D204" s="10" t="n">
        <f aca="false">IF($D$118=TRUE(),C204,IF(C204&gt;0,C204+B$12*B$244,0))</f>
        <v>0</v>
      </c>
    </row>
    <row r="205" customFormat="false" ht="15" hidden="false" customHeight="false" outlineLevel="0" collapsed="false">
      <c r="A205" s="57" t="n">
        <v>82</v>
      </c>
      <c r="B205" s="10" t="n">
        <f aca="false">B$120+A205</f>
        <v>82</v>
      </c>
      <c r="C205" s="58" t="n">
        <v>0</v>
      </c>
      <c r="D205" s="10" t="n">
        <f aca="false">IF($D$118=TRUE(),C205,IF(C205&gt;0,C205+B$12*B$244,0))</f>
        <v>0</v>
      </c>
    </row>
    <row r="206" customFormat="false" ht="15" hidden="false" customHeight="false" outlineLevel="0" collapsed="false">
      <c r="A206" s="57" t="n">
        <v>83</v>
      </c>
      <c r="B206" s="10" t="n">
        <f aca="false">B$120+A206</f>
        <v>83</v>
      </c>
      <c r="C206" s="58" t="n">
        <v>0</v>
      </c>
      <c r="D206" s="10" t="n">
        <f aca="false">IF($D$118=TRUE(),C206,IF(C206&gt;0,C206+B$12*B$244,0))</f>
        <v>0</v>
      </c>
    </row>
    <row r="207" customFormat="false" ht="15" hidden="false" customHeight="false" outlineLevel="0" collapsed="false">
      <c r="A207" s="57" t="n">
        <v>84</v>
      </c>
      <c r="B207" s="10" t="n">
        <f aca="false">B$120+A207</f>
        <v>84</v>
      </c>
      <c r="C207" s="58" t="n">
        <v>0</v>
      </c>
      <c r="D207" s="10" t="n">
        <f aca="false">IF($D$118=TRUE(),C207,IF(C207&gt;0,C207+B$12*B$244,0))</f>
        <v>0</v>
      </c>
    </row>
    <row r="208" customFormat="false" ht="15" hidden="false" customHeight="false" outlineLevel="0" collapsed="false">
      <c r="A208" s="57" t="n">
        <v>85</v>
      </c>
      <c r="B208" s="10" t="n">
        <f aca="false">B$120+A208</f>
        <v>85</v>
      </c>
      <c r="C208" s="58" t="n">
        <v>0</v>
      </c>
      <c r="D208" s="10" t="n">
        <f aca="false">IF($D$118=TRUE(),C208,IF(C208&gt;0,C208+B$12*B$244,0))</f>
        <v>0</v>
      </c>
    </row>
    <row r="209" customFormat="false" ht="15" hidden="false" customHeight="false" outlineLevel="0" collapsed="false">
      <c r="A209" s="57" t="n">
        <v>86</v>
      </c>
      <c r="B209" s="10" t="n">
        <f aca="false">B$120+A209</f>
        <v>86</v>
      </c>
      <c r="C209" s="58" t="n">
        <v>0</v>
      </c>
      <c r="D209" s="10" t="n">
        <f aca="false">IF($D$118=TRUE(),C209,IF(C209&gt;0,C209+B$12*B$244,0))</f>
        <v>0</v>
      </c>
    </row>
    <row r="210" customFormat="false" ht="15" hidden="false" customHeight="false" outlineLevel="0" collapsed="false">
      <c r="A210" s="57" t="n">
        <v>87</v>
      </c>
      <c r="B210" s="10" t="n">
        <f aca="false">B$120+A210</f>
        <v>87</v>
      </c>
      <c r="C210" s="58" t="n">
        <v>0</v>
      </c>
      <c r="D210" s="10" t="n">
        <f aca="false">IF($D$118=TRUE(),C210,IF(C210&gt;0,C210+B$12*B$244,0))</f>
        <v>0</v>
      </c>
    </row>
    <row r="211" customFormat="false" ht="15" hidden="false" customHeight="false" outlineLevel="0" collapsed="false">
      <c r="A211" s="57" t="n">
        <v>88</v>
      </c>
      <c r="B211" s="10" t="n">
        <f aca="false">B$120+A211</f>
        <v>88</v>
      </c>
      <c r="C211" s="58" t="n">
        <v>0</v>
      </c>
      <c r="D211" s="10" t="n">
        <f aca="false">IF($D$118=TRUE(),C211,IF(C211&gt;0,C211+B$12*B$244,0))</f>
        <v>0</v>
      </c>
    </row>
    <row r="212" customFormat="false" ht="15" hidden="false" customHeight="false" outlineLevel="0" collapsed="false">
      <c r="A212" s="57" t="n">
        <v>89</v>
      </c>
      <c r="B212" s="10" t="n">
        <f aca="false">B$120+A212</f>
        <v>89</v>
      </c>
      <c r="C212" s="58" t="n">
        <v>0</v>
      </c>
      <c r="D212" s="10" t="n">
        <f aca="false">IF($D$118=TRUE(),C212,IF(C212&gt;0,C212+B$12*B$244,0))</f>
        <v>0</v>
      </c>
    </row>
    <row r="213" customFormat="false" ht="15" hidden="false" customHeight="false" outlineLevel="0" collapsed="false">
      <c r="A213" s="57" t="n">
        <v>90</v>
      </c>
      <c r="B213" s="10" t="n">
        <f aca="false">B$120+A213</f>
        <v>90</v>
      </c>
      <c r="C213" s="58" t="n">
        <v>0</v>
      </c>
      <c r="D213" s="10" t="n">
        <f aca="false">IF($D$118=TRUE(),C213,IF(C213&gt;0,C213+B$12*B$244,0))</f>
        <v>0</v>
      </c>
    </row>
    <row r="214" customFormat="false" ht="15" hidden="false" customHeight="false" outlineLevel="0" collapsed="false">
      <c r="A214" s="57" t="n">
        <v>91</v>
      </c>
      <c r="B214" s="10" t="n">
        <f aca="false">B$120+A214</f>
        <v>91</v>
      </c>
      <c r="C214" s="58" t="n">
        <v>0</v>
      </c>
      <c r="D214" s="10" t="n">
        <f aca="false">IF($D$118=TRUE(),C214,IF(C214&gt;0,C214+B$12*B$244,0))</f>
        <v>0</v>
      </c>
    </row>
    <row r="215" customFormat="false" ht="15" hidden="false" customHeight="false" outlineLevel="0" collapsed="false">
      <c r="A215" s="57" t="n">
        <v>92</v>
      </c>
      <c r="B215" s="10" t="n">
        <f aca="false">B$120+A215</f>
        <v>92</v>
      </c>
      <c r="C215" s="58" t="n">
        <v>0</v>
      </c>
      <c r="D215" s="10" t="n">
        <f aca="false">IF($D$118=TRUE(),C215,IF(C215&gt;0,C215+B$12*B$244,0))</f>
        <v>0</v>
      </c>
    </row>
    <row r="216" customFormat="false" ht="15" hidden="false" customHeight="false" outlineLevel="0" collapsed="false">
      <c r="A216" s="57" t="n">
        <v>93</v>
      </c>
      <c r="B216" s="10" t="n">
        <f aca="false">B$120+A216</f>
        <v>93</v>
      </c>
      <c r="C216" s="58" t="n">
        <v>0</v>
      </c>
      <c r="D216" s="10" t="n">
        <f aca="false">IF($D$118=TRUE(),C216,IF(C216&gt;0,C216+B$12*B$244,0))</f>
        <v>0</v>
      </c>
    </row>
    <row r="217" customFormat="false" ht="15" hidden="false" customHeight="false" outlineLevel="0" collapsed="false">
      <c r="A217" s="57" t="n">
        <v>94</v>
      </c>
      <c r="B217" s="10" t="n">
        <f aca="false">B$120+A217</f>
        <v>94</v>
      </c>
      <c r="C217" s="58" t="n">
        <v>0</v>
      </c>
      <c r="D217" s="10" t="n">
        <f aca="false">IF($D$118=TRUE(),C217,IF(C217&gt;0,C217+B$12*B$244,0))</f>
        <v>0</v>
      </c>
    </row>
    <row r="218" customFormat="false" ht="15" hidden="false" customHeight="false" outlineLevel="0" collapsed="false">
      <c r="A218" s="57" t="n">
        <v>95</v>
      </c>
      <c r="B218" s="10" t="n">
        <f aca="false">B$120+A218</f>
        <v>95</v>
      </c>
      <c r="C218" s="58" t="n">
        <v>0</v>
      </c>
      <c r="D218" s="10" t="n">
        <f aca="false">IF($D$118=TRUE(),C218,IF(C218&gt;0,C218+B$12*B$244,0))</f>
        <v>0</v>
      </c>
    </row>
    <row r="219" customFormat="false" ht="15" hidden="false" customHeight="false" outlineLevel="0" collapsed="false">
      <c r="A219" s="57" t="n">
        <v>96</v>
      </c>
      <c r="B219" s="10" t="n">
        <f aca="false">B$120+A219</f>
        <v>96</v>
      </c>
      <c r="C219" s="58" t="n">
        <v>0</v>
      </c>
      <c r="D219" s="10" t="n">
        <f aca="false">IF($D$118=TRUE(),C219,IF(C219&gt;0,C219+B$12*B$244,0))</f>
        <v>0</v>
      </c>
    </row>
    <row r="220" customFormat="false" ht="15" hidden="false" customHeight="false" outlineLevel="0" collapsed="false">
      <c r="A220" s="57" t="n">
        <v>97</v>
      </c>
      <c r="B220" s="10" t="n">
        <f aca="false">B$120+A220</f>
        <v>97</v>
      </c>
      <c r="C220" s="58" t="n">
        <v>0</v>
      </c>
      <c r="D220" s="10" t="n">
        <f aca="false">IF($D$118=TRUE(),C220,IF(C220&gt;0,C220+B$12*B$244,0))</f>
        <v>0</v>
      </c>
    </row>
    <row r="221" customFormat="false" ht="15" hidden="false" customHeight="false" outlineLevel="0" collapsed="false">
      <c r="A221" s="57" t="n">
        <v>98</v>
      </c>
      <c r="B221" s="10" t="n">
        <f aca="false">B$120+A221</f>
        <v>98</v>
      </c>
      <c r="C221" s="58" t="n">
        <v>0</v>
      </c>
      <c r="D221" s="10" t="n">
        <f aca="false">IF($D$118=TRUE(),C221,IF(C221&gt;0,C221+B$12*B$244,0))</f>
        <v>0</v>
      </c>
    </row>
    <row r="222" customFormat="false" ht="15" hidden="false" customHeight="false" outlineLevel="0" collapsed="false">
      <c r="A222" s="57" t="n">
        <v>99</v>
      </c>
      <c r="B222" s="10" t="n">
        <f aca="false">B$120+A222</f>
        <v>99</v>
      </c>
      <c r="C222" s="58" t="n">
        <v>0</v>
      </c>
      <c r="D222" s="10" t="n">
        <f aca="false">IF($D$118=TRUE(),C222,IF(C222&gt;0,C222+B$12*B$244,0))</f>
        <v>0</v>
      </c>
    </row>
    <row r="223" customFormat="false" ht="15" hidden="false" customHeight="false" outlineLevel="0" collapsed="false">
      <c r="A223" s="57" t="n">
        <v>100</v>
      </c>
      <c r="B223" s="10" t="n">
        <f aca="false">B$120+A223</f>
        <v>100</v>
      </c>
      <c r="C223" s="58" t="n">
        <v>0</v>
      </c>
      <c r="D223" s="10" t="n">
        <f aca="false">IF($D$118=TRUE(),C223,IF(C223&gt;0,C223+B$12*B$244,0))</f>
        <v>0</v>
      </c>
    </row>
    <row r="224" customFormat="false" ht="15" hidden="false" customHeight="false" outlineLevel="0" collapsed="false">
      <c r="A224" s="57" t="n">
        <v>101</v>
      </c>
      <c r="B224" s="10" t="n">
        <f aca="false">B$120+A224</f>
        <v>101</v>
      </c>
      <c r="C224" s="58" t="n">
        <v>0</v>
      </c>
      <c r="D224" s="10" t="n">
        <f aca="false">IF($D$118=TRUE(),C224,IF(C224&gt;0,C224+B$12*B$244,0))</f>
        <v>0</v>
      </c>
    </row>
    <row r="225" customFormat="false" ht="15" hidden="false" customHeight="false" outlineLevel="0" collapsed="false">
      <c r="A225" s="57" t="n">
        <v>102</v>
      </c>
      <c r="B225" s="10" t="n">
        <f aca="false">B$120+A225</f>
        <v>102</v>
      </c>
      <c r="C225" s="58" t="n">
        <v>0</v>
      </c>
      <c r="D225" s="10" t="n">
        <f aca="false">IF($D$118=TRUE(),C225,IF(C225&gt;0,C225+B$12*B$244,0))</f>
        <v>0</v>
      </c>
    </row>
    <row r="226" customFormat="false" ht="15" hidden="false" customHeight="false" outlineLevel="0" collapsed="false">
      <c r="A226" s="57" t="n">
        <v>103</v>
      </c>
      <c r="B226" s="10" t="n">
        <f aca="false">B$120+A226</f>
        <v>103</v>
      </c>
      <c r="C226" s="58" t="n">
        <v>0</v>
      </c>
      <c r="D226" s="10" t="n">
        <f aca="false">IF($D$118=TRUE(),C226,IF(C226&gt;0,C226+B$12*B$244,0))</f>
        <v>0</v>
      </c>
    </row>
    <row r="227" customFormat="false" ht="15" hidden="false" customHeight="false" outlineLevel="0" collapsed="false">
      <c r="A227" s="57" t="n">
        <v>104</v>
      </c>
      <c r="B227" s="10" t="n">
        <f aca="false">B$120+A227</f>
        <v>104</v>
      </c>
      <c r="C227" s="58" t="n">
        <v>0</v>
      </c>
      <c r="D227" s="10" t="n">
        <f aca="false">IF($D$118=TRUE(),C227,IF(C227&gt;0,C227+B$12*B$244,0))</f>
        <v>0</v>
      </c>
    </row>
    <row r="228" customFormat="false" ht="15" hidden="false" customHeight="false" outlineLevel="0" collapsed="false">
      <c r="A228" s="57" t="n">
        <v>105</v>
      </c>
      <c r="B228" s="10" t="n">
        <f aca="false">B$120+A228</f>
        <v>105</v>
      </c>
      <c r="C228" s="58" t="n">
        <v>0</v>
      </c>
      <c r="D228" s="10" t="n">
        <f aca="false">IF($D$118=TRUE(),C228,IF(C228&gt;0,C228+B$12*B$244,0))</f>
        <v>0</v>
      </c>
    </row>
    <row r="229" customFormat="false" ht="15" hidden="false" customHeight="false" outlineLevel="0" collapsed="false">
      <c r="A229" s="57" t="n">
        <v>106</v>
      </c>
      <c r="B229" s="10" t="n">
        <f aca="false">B$120+A229</f>
        <v>106</v>
      </c>
      <c r="C229" s="58" t="n">
        <v>0</v>
      </c>
      <c r="D229" s="10" t="n">
        <f aca="false">IF($D$118=TRUE(),C229,IF(C229&gt;0,C229+B$12*B$244,0))</f>
        <v>0</v>
      </c>
    </row>
    <row r="230" customFormat="false" ht="15" hidden="false" customHeight="false" outlineLevel="0" collapsed="false">
      <c r="A230" s="57" t="n">
        <v>107</v>
      </c>
      <c r="B230" s="10" t="n">
        <f aca="false">B$120+A230</f>
        <v>107</v>
      </c>
      <c r="C230" s="58" t="n">
        <v>0</v>
      </c>
      <c r="D230" s="10" t="n">
        <f aca="false">IF($D$118=TRUE(),C230,IF(C230&gt;0,C230+B$12*B$244,0))</f>
        <v>0</v>
      </c>
    </row>
    <row r="231" customFormat="false" ht="15" hidden="false" customHeight="false" outlineLevel="0" collapsed="false">
      <c r="A231" s="57" t="n">
        <v>108</v>
      </c>
      <c r="B231" s="10" t="n">
        <f aca="false">B$120+A231</f>
        <v>108</v>
      </c>
      <c r="C231" s="58" t="n">
        <v>0</v>
      </c>
      <c r="D231" s="10" t="n">
        <f aca="false">IF($D$118=TRUE(),C231,IF(C231&gt;0,C231+B$12*B$244,0))</f>
        <v>0</v>
      </c>
    </row>
    <row r="232" customFormat="false" ht="15" hidden="false" customHeight="false" outlineLevel="0" collapsed="false">
      <c r="A232" s="57" t="n">
        <v>109</v>
      </c>
      <c r="B232" s="10" t="n">
        <f aca="false">B$120+A232</f>
        <v>109</v>
      </c>
      <c r="C232" s="58" t="n">
        <v>0</v>
      </c>
      <c r="D232" s="10" t="n">
        <f aca="false">IF($D$118=TRUE(),C232,IF(C232&gt;0,C232+B$12*B$244,0))</f>
        <v>0</v>
      </c>
    </row>
    <row r="233" customFormat="false" ht="15" hidden="false" customHeight="false" outlineLevel="0" collapsed="false">
      <c r="A233" s="57" t="n">
        <v>110</v>
      </c>
      <c r="B233" s="10" t="n">
        <f aca="false">B$120+A233</f>
        <v>110</v>
      </c>
      <c r="C233" s="58" t="n">
        <v>0</v>
      </c>
      <c r="D233" s="10" t="n">
        <f aca="false">IF($D$118=TRUE(),C233,IF(C233&gt;0,C233+B$12*B$244,0))</f>
        <v>0</v>
      </c>
    </row>
    <row r="234" customFormat="false" ht="15" hidden="false" customHeight="false" outlineLevel="0" collapsed="false">
      <c r="A234" s="57" t="n">
        <v>111</v>
      </c>
      <c r="B234" s="10" t="n">
        <f aca="false">B$120+A234</f>
        <v>111</v>
      </c>
      <c r="C234" s="58" t="n">
        <v>0</v>
      </c>
      <c r="D234" s="10" t="n">
        <f aca="false">IF($D$118=TRUE(),C234,IF(C234&gt;0,C234+B$12*B$244,0))</f>
        <v>0</v>
      </c>
    </row>
    <row r="235" customFormat="false" ht="15" hidden="false" customHeight="false" outlineLevel="0" collapsed="false">
      <c r="A235" s="57" t="n">
        <v>112</v>
      </c>
      <c r="B235" s="10" t="n">
        <f aca="false">B$120+A235</f>
        <v>112</v>
      </c>
      <c r="C235" s="58" t="n">
        <v>0</v>
      </c>
      <c r="D235" s="10" t="n">
        <f aca="false">IF($D$118=TRUE(),C235,IF(C235&gt;0,C235+B$12*B$244,0))</f>
        <v>0</v>
      </c>
    </row>
    <row r="236" customFormat="false" ht="15" hidden="false" customHeight="false" outlineLevel="0" collapsed="false">
      <c r="A236" s="57" t="n">
        <v>113</v>
      </c>
      <c r="B236" s="10" t="n">
        <f aca="false">B$120+A236</f>
        <v>113</v>
      </c>
      <c r="C236" s="58" t="n">
        <v>0</v>
      </c>
      <c r="D236" s="10" t="n">
        <f aca="false">IF($D$118=TRUE(),C236,IF(C236&gt;0,C236+B$12*B$244,0))</f>
        <v>0</v>
      </c>
    </row>
    <row r="237" customFormat="false" ht="15" hidden="false" customHeight="false" outlineLevel="0" collapsed="false">
      <c r="A237" s="57" t="n">
        <v>114</v>
      </c>
      <c r="B237" s="10" t="n">
        <f aca="false">B$120+A237</f>
        <v>114</v>
      </c>
      <c r="C237" s="58" t="n">
        <v>0</v>
      </c>
      <c r="D237" s="10" t="n">
        <f aca="false">IF($D$118=TRUE(),C237,IF(C237&gt;0,C237+B$12*B$244,0))</f>
        <v>0</v>
      </c>
    </row>
    <row r="238" customFormat="false" ht="15" hidden="false" customHeight="false" outlineLevel="0" collapsed="false">
      <c r="A238" s="57" t="n">
        <v>115</v>
      </c>
      <c r="B238" s="10" t="n">
        <f aca="false">B$120+A238</f>
        <v>115</v>
      </c>
      <c r="C238" s="58" t="n">
        <v>0</v>
      </c>
      <c r="D238" s="10" t="n">
        <f aca="false">IF($D$118=TRUE(),C238,IF(C238&gt;0,C238+B$12*B$244,0))</f>
        <v>0</v>
      </c>
    </row>
    <row r="239" customFormat="false" ht="15" hidden="false" customHeight="false" outlineLevel="0" collapsed="false">
      <c r="A239" s="57" t="n">
        <v>116</v>
      </c>
      <c r="B239" s="10" t="n">
        <f aca="false">B$120+A239</f>
        <v>116</v>
      </c>
      <c r="C239" s="58" t="n">
        <v>0</v>
      </c>
      <c r="D239" s="10" t="n">
        <f aca="false">IF($D$118=TRUE(),C239,IF(C239&gt;0,C239+B$12*B$244,0))</f>
        <v>0</v>
      </c>
    </row>
    <row r="240" customFormat="false" ht="15" hidden="false" customHeight="false" outlineLevel="0" collapsed="false">
      <c r="A240" s="57" t="n">
        <v>117</v>
      </c>
      <c r="B240" s="10" t="n">
        <f aca="false">B$120+A240</f>
        <v>117</v>
      </c>
      <c r="C240" s="58" t="n">
        <v>0</v>
      </c>
      <c r="D240" s="10" t="n">
        <f aca="false">IF($D$118=TRUE(),C240,IF(C240&gt;0,C240+B$12*B$244,0))</f>
        <v>0</v>
      </c>
    </row>
    <row r="244" customFormat="false" ht="17.25" hidden="false" customHeight="false" outlineLevel="0" collapsed="false">
      <c r="A244" s="45" t="s">
        <v>164</v>
      </c>
      <c r="B244" s="11" t="n">
        <v>0.0167</v>
      </c>
      <c r="C244" s="61"/>
    </row>
    <row r="245" customFormat="false" ht="15" hidden="false" customHeight="false" outlineLevel="0" collapsed="false">
      <c r="A245" s="45" t="s">
        <v>165</v>
      </c>
      <c r="B245" s="10" t="n">
        <f aca="false">SUMPRODUCT(D120:D239+D121:D240,A121:A240-A120:A239)/2</f>
        <v>2542.834551657</v>
      </c>
      <c r="C245" s="61" t="s">
        <v>166</v>
      </c>
    </row>
    <row r="246" customFormat="false" ht="15" hidden="false" customHeight="false" outlineLevel="0" collapsed="false">
      <c r="A246" s="45" t="s">
        <v>167</v>
      </c>
      <c r="B246" s="10" t="n">
        <f aca="false">IF(B245=0,1,B245/B111)</f>
        <v>254.2834551657</v>
      </c>
      <c r="C246" s="61" t="s">
        <v>166</v>
      </c>
    </row>
    <row r="249" customFormat="false" ht="15" hidden="false" customHeight="false" outlineLevel="0" collapsed="false">
      <c r="A249" s="18" t="s">
        <v>168</v>
      </c>
    </row>
    <row r="250" customFormat="false" ht="15" hidden="false" customHeight="false" outlineLevel="0" collapsed="false">
      <c r="A250" s="3" t="s">
        <v>55</v>
      </c>
      <c r="B250" s="3" t="n">
        <v>11.93</v>
      </c>
      <c r="C250" s="3" t="s">
        <v>169</v>
      </c>
      <c r="D250" s="3" t="s">
        <v>4</v>
      </c>
      <c r="E250" s="3" t="s">
        <v>5</v>
      </c>
    </row>
    <row r="251" customFormat="false" ht="18" hidden="false" customHeight="false" outlineLevel="0" collapsed="false">
      <c r="A251" s="45" t="s">
        <v>137</v>
      </c>
      <c r="B251" s="11" t="n">
        <v>10</v>
      </c>
      <c r="C251" s="10" t="n">
        <f aca="false">IF(B$88=TRUE(),B251,0)</f>
        <v>0</v>
      </c>
      <c r="D251" s="10" t="s">
        <v>138</v>
      </c>
      <c r="E251" s="10" t="s">
        <v>139</v>
      </c>
    </row>
    <row r="252" customFormat="false" ht="18" hidden="false" customHeight="false" outlineLevel="0" collapsed="false">
      <c r="A252" s="45" t="s">
        <v>140</v>
      </c>
      <c r="B252" s="11" t="n">
        <v>3.8054</v>
      </c>
      <c r="C252" s="10" t="n">
        <f aca="false">IF(OR(B87=TRUE(),B$88=TRUE()),B252,0)</f>
        <v>0</v>
      </c>
      <c r="D252" s="10" t="s">
        <v>138</v>
      </c>
      <c r="E252" s="10" t="s">
        <v>141</v>
      </c>
    </row>
    <row r="253" customFormat="false" ht="18" hidden="false" customHeight="false" outlineLevel="0" collapsed="false">
      <c r="A253" s="45" t="s">
        <v>142</v>
      </c>
      <c r="B253" s="11" t="n">
        <v>12.9</v>
      </c>
      <c r="C253" s="10" t="n">
        <f aca="false">IF(OR(B87=TRUE(),B88=TRUE()),IF(OR(B90=TRUE(),B91=TRUE()),0,B253),0)</f>
        <v>0</v>
      </c>
      <c r="D253" s="10" t="s">
        <v>138</v>
      </c>
      <c r="E253" s="10" t="s">
        <v>170</v>
      </c>
    </row>
    <row r="254" customFormat="false" ht="18" hidden="false" customHeight="false" outlineLevel="0" collapsed="false">
      <c r="A254" s="45" t="s">
        <v>144</v>
      </c>
      <c r="B254" s="31" t="n">
        <f aca="false">C88</f>
        <v>1.07</v>
      </c>
      <c r="C254" s="10" t="n">
        <f aca="false">IF(B88=TRUE(),B254,FALSE())</f>
        <v>0</v>
      </c>
      <c r="D254" s="10" t="s">
        <v>108</v>
      </c>
      <c r="E254" s="10" t="s">
        <v>171</v>
      </c>
    </row>
    <row r="255" customFormat="false" ht="15" hidden="false" customHeight="false" outlineLevel="0" collapsed="false">
      <c r="A255" s="45" t="s">
        <v>172</v>
      </c>
      <c r="B255" s="31" t="n">
        <f aca="false">IF(B88=FALSE(),FALSE(),IF(B87=TRUE(),C87,0))</f>
        <v>0</v>
      </c>
      <c r="C255" s="10" t="n">
        <f aca="false">IF(B88=TRUE(),B255,FALSE())</f>
        <v>0</v>
      </c>
      <c r="D255" s="10" t="s">
        <v>108</v>
      </c>
      <c r="E255" s="62" t="s">
        <v>173</v>
      </c>
    </row>
    <row r="256" customFormat="false" ht="15" hidden="false" customHeight="false" outlineLevel="0" collapsed="false">
      <c r="A256" s="45" t="s">
        <v>148</v>
      </c>
      <c r="B256" s="31" t="n">
        <f aca="false">IF(OR(B90=TRUE(),B91=TRUE()),IF(B89=TRUE(),E89,E88),FALSE())</f>
        <v>0</v>
      </c>
      <c r="C256" s="10" t="n">
        <f aca="false">IF(AND(B89=TRUE(),B90=TRUE()),B256,FALSE())</f>
        <v>0</v>
      </c>
      <c r="D256" s="10" t="s">
        <v>108</v>
      </c>
      <c r="E256" s="10" t="s">
        <v>174</v>
      </c>
    </row>
    <row r="257" customFormat="false" ht="15" hidden="false" customHeight="false" outlineLevel="0" collapsed="false">
      <c r="E257" s="45" t="s">
        <v>175</v>
      </c>
      <c r="F257" s="27" t="n">
        <f aca="false">0.25*PI()*(2.277/12)^2</f>
        <v>0.0282783099605103</v>
      </c>
      <c r="G257" s="1" t="s">
        <v>120</v>
      </c>
    </row>
    <row r="258" customFormat="false" ht="15" hidden="false" customHeight="false" outlineLevel="0" collapsed="false">
      <c r="A258" s="49" t="s">
        <v>151</v>
      </c>
      <c r="B258" s="50"/>
      <c r="C258" s="51" t="s">
        <v>153</v>
      </c>
      <c r="D258" s="52" t="b">
        <f aca="false">FALSE()</f>
        <v>0</v>
      </c>
      <c r="E258" s="45" t="s">
        <v>154</v>
      </c>
      <c r="F258" s="27" t="n">
        <f aca="false">0.25*PI()*(2.277/12)^2</f>
        <v>0.0282783099605103</v>
      </c>
      <c r="G258" s="1" t="s">
        <v>120</v>
      </c>
    </row>
    <row r="259" customFormat="false" ht="15" hidden="false" customHeight="false" outlineLevel="0" collapsed="false">
      <c r="A259" s="53" t="s">
        <v>155</v>
      </c>
      <c r="B259" s="53" t="s">
        <v>176</v>
      </c>
      <c r="C259" s="53" t="s">
        <v>177</v>
      </c>
      <c r="D259" s="53" t="s">
        <v>158</v>
      </c>
      <c r="E259" s="54" t="s">
        <v>159</v>
      </c>
      <c r="F259" s="45" t="s">
        <v>160</v>
      </c>
      <c r="G259" s="45" t="s">
        <v>161</v>
      </c>
      <c r="H259" s="45" t="s">
        <v>162</v>
      </c>
      <c r="I259" s="55"/>
      <c r="J259" s="56"/>
      <c r="K259" s="44"/>
      <c r="L259" s="44"/>
    </row>
    <row r="260" customFormat="false" ht="15" hidden="false" customHeight="false" outlineLevel="0" collapsed="false">
      <c r="A260" s="57" t="n">
        <v>0</v>
      </c>
      <c r="B260" s="10" t="n">
        <f aca="false">A$260+D$88</f>
        <v>0</v>
      </c>
      <c r="C260" s="58" t="n">
        <v>0</v>
      </c>
      <c r="D260" s="10" t="n">
        <f aca="false">IF($D$258=TRUE(),C260,IF(C260&gt;0,C260+B$12*B$383,0))</f>
        <v>0</v>
      </c>
      <c r="E260" s="59" t="n">
        <v>0</v>
      </c>
      <c r="F260" s="27" t="n">
        <v>0.37747</v>
      </c>
      <c r="G260" s="27" t="n">
        <v>0</v>
      </c>
      <c r="H260" s="10" t="n">
        <f aca="false">F260+G260*B$383/F$257</f>
        <v>0.37747</v>
      </c>
      <c r="I260" s="44"/>
      <c r="J260" s="44"/>
      <c r="K260" s="44"/>
      <c r="L260" s="44"/>
    </row>
    <row r="261" customFormat="false" ht="15" hidden="false" customHeight="false" outlineLevel="0" collapsed="false">
      <c r="A261" s="27" t="n">
        <v>0.02</v>
      </c>
      <c r="B261" s="10" t="n">
        <f aca="false">B$260+A261</f>
        <v>0.02</v>
      </c>
      <c r="C261" s="58" t="n">
        <v>50</v>
      </c>
      <c r="D261" s="10" t="n">
        <f aca="false">IF($D$258=TRUE(),C261,IF(C261&gt;0,C261+B$12*B$383,0))</f>
        <v>85.3410243</v>
      </c>
      <c r="E261" s="59" t="n">
        <v>0.1</v>
      </c>
      <c r="F261" s="27" t="n">
        <v>0.37747</v>
      </c>
      <c r="G261" s="27" t="n">
        <v>0</v>
      </c>
      <c r="H261" s="10" t="n">
        <f aca="false">F261+G261*B$383/F$257</f>
        <v>0.37747</v>
      </c>
      <c r="I261" s="44"/>
      <c r="J261" s="44"/>
      <c r="K261" s="44"/>
      <c r="L261" s="44"/>
    </row>
    <row r="262" customFormat="false" ht="15" hidden="false" customHeight="false" outlineLevel="0" collapsed="false">
      <c r="A262" s="27" t="n">
        <v>0.07</v>
      </c>
      <c r="B262" s="10" t="n">
        <f aca="false">B$260+A262</f>
        <v>0.07</v>
      </c>
      <c r="C262" s="58" t="n">
        <v>100</v>
      </c>
      <c r="D262" s="10" t="n">
        <f aca="false">IF($D$258=TRUE(),C262,IF(C262&gt;0,C262+B$12*B$383,0))</f>
        <v>135.3410243</v>
      </c>
      <c r="E262" s="59" t="n">
        <v>0.3</v>
      </c>
      <c r="F262" s="27" t="n">
        <v>0.34525</v>
      </c>
      <c r="G262" s="27" t="n">
        <v>0</v>
      </c>
      <c r="H262" s="10" t="n">
        <f aca="false">F262+G262*B$383/F$257</f>
        <v>0.34525</v>
      </c>
      <c r="I262" s="44"/>
      <c r="J262" s="44"/>
      <c r="K262" s="44"/>
      <c r="L262" s="44"/>
    </row>
    <row r="263" customFormat="false" ht="15" hidden="false" customHeight="false" outlineLevel="0" collapsed="false">
      <c r="A263" s="27" t="n">
        <v>0.12</v>
      </c>
      <c r="B263" s="10" t="n">
        <f aca="false">B$260+A263</f>
        <v>0.12</v>
      </c>
      <c r="C263" s="58" t="n">
        <v>150</v>
      </c>
      <c r="D263" s="10" t="n">
        <f aca="false">IF($D$258=TRUE(),C263,IF(C263&gt;0,C263+B$12*B$383,0))</f>
        <v>185.3410243</v>
      </c>
      <c r="E263" s="59" t="n">
        <v>0.4</v>
      </c>
      <c r="F263" s="27" t="n">
        <v>0.3359</v>
      </c>
      <c r="G263" s="27" t="n">
        <v>0</v>
      </c>
      <c r="H263" s="10" t="n">
        <f aca="false">F263+G263*B$383/F$257</f>
        <v>0.3359</v>
      </c>
      <c r="I263" s="44"/>
      <c r="J263" s="44"/>
      <c r="K263" s="44"/>
      <c r="L263" s="44"/>
    </row>
    <row r="264" customFormat="false" ht="15" hidden="false" customHeight="false" outlineLevel="0" collapsed="false">
      <c r="A264" s="27" t="n">
        <v>0.17</v>
      </c>
      <c r="B264" s="10" t="n">
        <f aca="false">B$260+A264</f>
        <v>0.17</v>
      </c>
      <c r="C264" s="58" t="n">
        <v>200</v>
      </c>
      <c r="D264" s="10" t="n">
        <f aca="false">IF($D$258=TRUE(),C264,IF(C264&gt;0,C264+B$12*B$383,0))</f>
        <v>235.3410243</v>
      </c>
      <c r="E264" s="59" t="n">
        <v>0.5</v>
      </c>
      <c r="F264" s="27" t="n">
        <v>0.32791</v>
      </c>
      <c r="G264" s="27" t="n">
        <v>0</v>
      </c>
      <c r="H264" s="10" t="n">
        <f aca="false">F264+G264*B$383/F$257</f>
        <v>0.32791</v>
      </c>
      <c r="I264" s="44"/>
      <c r="J264" s="44"/>
      <c r="K264" s="44"/>
      <c r="L264" s="44"/>
    </row>
    <row r="265" customFormat="false" ht="15" hidden="false" customHeight="false" outlineLevel="0" collapsed="false">
      <c r="A265" s="27" t="n">
        <v>0.22</v>
      </c>
      <c r="B265" s="10" t="n">
        <f aca="false">B$260+A265</f>
        <v>0.22</v>
      </c>
      <c r="C265" s="58" t="n">
        <v>250</v>
      </c>
      <c r="D265" s="10" t="n">
        <f aca="false">IF($D$258=TRUE(),C265,IF(C265&gt;0,C265+B$12*B$383,0))</f>
        <v>285.3410243</v>
      </c>
      <c r="E265" s="59" t="n">
        <v>0.6</v>
      </c>
      <c r="F265" s="27" t="n">
        <v>0.32043</v>
      </c>
      <c r="G265" s="27" t="n">
        <v>0</v>
      </c>
      <c r="H265" s="10" t="n">
        <f aca="false">F265+G265*B$383/F$257</f>
        <v>0.32043</v>
      </c>
      <c r="I265" s="44"/>
      <c r="J265" s="44"/>
      <c r="K265" s="44"/>
      <c r="L265" s="44"/>
    </row>
    <row r="266" customFormat="false" ht="15" hidden="false" customHeight="false" outlineLevel="0" collapsed="false">
      <c r="A266" s="27" t="n">
        <v>0.27</v>
      </c>
      <c r="B266" s="10" t="n">
        <f aca="false">B$260+A266</f>
        <v>0.27</v>
      </c>
      <c r="C266" s="58" t="n">
        <v>300</v>
      </c>
      <c r="D266" s="10" t="n">
        <f aca="false">IF($D$258=TRUE(),C266,IF(C266&gt;0,C266+B$12*B$383,0))</f>
        <v>335.3410243</v>
      </c>
      <c r="E266" s="59" t="n">
        <v>0.7</v>
      </c>
      <c r="F266" s="27" t="n">
        <v>0.31302</v>
      </c>
      <c r="G266" s="27" t="n">
        <v>0</v>
      </c>
      <c r="H266" s="10" t="n">
        <f aca="false">F266+G266*B$383/F$257</f>
        <v>0.31302</v>
      </c>
      <c r="I266" s="44"/>
      <c r="J266" s="44"/>
      <c r="K266" s="44"/>
      <c r="L266" s="44"/>
    </row>
    <row r="267" customFormat="false" ht="15" hidden="false" customHeight="false" outlineLevel="0" collapsed="false">
      <c r="A267" s="57" t="n">
        <v>0.32</v>
      </c>
      <c r="B267" s="10" t="n">
        <f aca="false">B$260+A267</f>
        <v>0.32</v>
      </c>
      <c r="C267" s="58" t="n">
        <v>350</v>
      </c>
      <c r="D267" s="10" t="n">
        <f aca="false">IF($D$258=TRUE(),C267,IF(C267&gt;0,C267+B$12*B$383,0))</f>
        <v>385.3410243</v>
      </c>
      <c r="E267" s="59" t="n">
        <v>0.8</v>
      </c>
      <c r="F267" s="27" t="n">
        <v>0.3113</v>
      </c>
      <c r="G267" s="27" t="n">
        <v>0</v>
      </c>
      <c r="H267" s="10" t="n">
        <f aca="false">F267+G267*B$383/F$257</f>
        <v>0.3113</v>
      </c>
      <c r="I267" s="44"/>
      <c r="J267" s="44"/>
      <c r="K267" s="44"/>
      <c r="L267" s="44"/>
    </row>
    <row r="268" customFormat="false" ht="15" hidden="false" customHeight="false" outlineLevel="0" collapsed="false">
      <c r="A268" s="57" t="n">
        <v>0.37</v>
      </c>
      <c r="B268" s="10" t="n">
        <f aca="false">B$260+A268</f>
        <v>0.37</v>
      </c>
      <c r="C268" s="58" t="n">
        <v>400</v>
      </c>
      <c r="D268" s="10" t="n">
        <f aca="false">IF($D$258=TRUE(),C268,IF(C268&gt;0,C268+B$12*B$383,0))</f>
        <v>435.3410243</v>
      </c>
      <c r="E268" s="59" t="n">
        <v>0.9</v>
      </c>
      <c r="F268" s="11" t="n">
        <v>0.3307</v>
      </c>
      <c r="G268" s="27" t="n">
        <v>0</v>
      </c>
      <c r="H268" s="10" t="n">
        <f aca="false">F268+G268*B$383/F$257</f>
        <v>0.3307</v>
      </c>
      <c r="I268" s="44"/>
      <c r="J268" s="44"/>
      <c r="K268" s="44"/>
      <c r="L268" s="44"/>
    </row>
    <row r="269" customFormat="false" ht="15" hidden="false" customHeight="false" outlineLevel="0" collapsed="false">
      <c r="A269" s="57" t="n">
        <v>0.42</v>
      </c>
      <c r="B269" s="10" t="n">
        <f aca="false">B$260+A269</f>
        <v>0.42</v>
      </c>
      <c r="C269" s="58" t="n">
        <v>450</v>
      </c>
      <c r="D269" s="10" t="n">
        <f aca="false">IF($D$258=TRUE(),C269,IF(C269&gt;0,C269+B$12*B$383,0))</f>
        <v>485.3410243</v>
      </c>
      <c r="E269" s="59" t="n">
        <v>1</v>
      </c>
      <c r="F269" s="11" t="n">
        <v>0.4177</v>
      </c>
      <c r="G269" s="27" t="n">
        <v>0</v>
      </c>
      <c r="H269" s="10" t="n">
        <f aca="false">F269+G269*B$383/F$257</f>
        <v>0.4177</v>
      </c>
      <c r="I269" s="44"/>
      <c r="J269" s="44"/>
      <c r="K269" s="44"/>
      <c r="L269" s="44"/>
    </row>
    <row r="270" customFormat="false" ht="15" hidden="false" customHeight="false" outlineLevel="0" collapsed="false">
      <c r="A270" s="57" t="n">
        <v>0.47</v>
      </c>
      <c r="B270" s="10" t="n">
        <f aca="false">B$260+A270</f>
        <v>0.47</v>
      </c>
      <c r="C270" s="58" t="n">
        <v>500</v>
      </c>
      <c r="D270" s="10" t="n">
        <f aca="false">IF($D$258=TRUE(),C270,IF(C270&gt;0,C270+B$12*B$383,0))</f>
        <v>535.3410243</v>
      </c>
      <c r="E270" s="59" t="n">
        <v>1.1</v>
      </c>
      <c r="F270" s="11" t="n">
        <v>0.3983</v>
      </c>
      <c r="G270" s="27" t="n">
        <v>0</v>
      </c>
      <c r="H270" s="10" t="n">
        <f aca="false">F270+G270*B$383/F$257</f>
        <v>0.3983</v>
      </c>
      <c r="I270" s="44"/>
      <c r="J270" s="44"/>
      <c r="K270" s="44"/>
      <c r="L270" s="44"/>
    </row>
    <row r="271" customFormat="false" ht="15" hidden="false" customHeight="false" outlineLevel="0" collapsed="false">
      <c r="A271" s="57" t="n">
        <v>0.52</v>
      </c>
      <c r="B271" s="10" t="n">
        <f aca="false">B$260+A271</f>
        <v>0.52</v>
      </c>
      <c r="C271" s="58" t="n">
        <v>500</v>
      </c>
      <c r="D271" s="10" t="n">
        <f aca="false">IF($D$258=TRUE(),C271,IF(C271&gt;0,C271+B$12*B$383,0))</f>
        <v>535.3410243</v>
      </c>
      <c r="E271" s="59" t="n">
        <v>1.2</v>
      </c>
      <c r="F271" s="11" t="n">
        <v>0.38046</v>
      </c>
      <c r="G271" s="27" t="n">
        <v>0</v>
      </c>
      <c r="H271" s="10" t="n">
        <f aca="false">F271+G271*B$383/F$257</f>
        <v>0.38046</v>
      </c>
      <c r="I271" s="44"/>
      <c r="J271" s="44"/>
      <c r="K271" s="44"/>
      <c r="L271" s="44"/>
    </row>
    <row r="272" customFormat="false" ht="15" hidden="false" customHeight="false" outlineLevel="0" collapsed="false">
      <c r="A272" s="57" t="n">
        <v>0.57</v>
      </c>
      <c r="B272" s="10" t="n">
        <f aca="false">B$260+A272</f>
        <v>0.57</v>
      </c>
      <c r="C272" s="58" t="n">
        <v>500</v>
      </c>
      <c r="D272" s="10" t="n">
        <f aca="false">IF($D$258=TRUE(),C272,IF(C272&gt;0,C272+B$12*B$383,0))</f>
        <v>535.3410243</v>
      </c>
      <c r="E272" s="59" t="n">
        <v>1.3</v>
      </c>
      <c r="F272" s="11" t="n">
        <v>0.373</v>
      </c>
      <c r="G272" s="27" t="n">
        <v>0</v>
      </c>
      <c r="H272" s="10" t="n">
        <f aca="false">F272+G272*B$383/F$257</f>
        <v>0.373</v>
      </c>
      <c r="I272" s="44"/>
      <c r="J272" s="44"/>
      <c r="K272" s="44"/>
      <c r="L272" s="44"/>
    </row>
    <row r="273" customFormat="false" ht="15" hidden="false" customHeight="false" outlineLevel="0" collapsed="false">
      <c r="A273" s="57" t="n">
        <v>0.72</v>
      </c>
      <c r="B273" s="10" t="n">
        <f aca="false">B$260+A273</f>
        <v>0.72</v>
      </c>
      <c r="C273" s="58" t="n">
        <v>500</v>
      </c>
      <c r="D273" s="10" t="n">
        <f aca="false">IF($D$258=TRUE(),C273,IF(C273&gt;0,C273+B$12*B$383,0))</f>
        <v>535.3410243</v>
      </c>
      <c r="E273" s="59" t="n">
        <v>1.4</v>
      </c>
      <c r="F273" s="11" t="n">
        <v>0.36394</v>
      </c>
      <c r="G273" s="27" t="n">
        <v>0</v>
      </c>
      <c r="H273" s="10" t="n">
        <f aca="false">F273+G273*B$383/F$257</f>
        <v>0.36394</v>
      </c>
      <c r="I273" s="44"/>
      <c r="J273" s="44"/>
      <c r="K273" s="44"/>
      <c r="L273" s="44"/>
    </row>
    <row r="274" customFormat="false" ht="15" hidden="false" customHeight="false" outlineLevel="0" collapsed="false">
      <c r="A274" s="57" t="n">
        <v>0.77</v>
      </c>
      <c r="B274" s="10" t="n">
        <f aca="false">B$260+A274</f>
        <v>0.77</v>
      </c>
      <c r="C274" s="58" t="n">
        <v>500</v>
      </c>
      <c r="D274" s="10" t="n">
        <f aca="false">IF($D$258=TRUE(),C274,IF(C274&gt;0,C274+B$12*B$383,0))</f>
        <v>535.3410243</v>
      </c>
      <c r="E274" s="59" t="n">
        <v>1.5</v>
      </c>
      <c r="F274" s="11" t="n">
        <v>0.35468</v>
      </c>
      <c r="G274" s="27" t="n">
        <v>0</v>
      </c>
      <c r="H274" s="10" t="n">
        <f aca="false">F274+G274*B$383/F$257</f>
        <v>0.35468</v>
      </c>
      <c r="I274" s="44"/>
      <c r="J274" s="44"/>
      <c r="K274" s="44"/>
      <c r="L274" s="44"/>
    </row>
    <row r="275" customFormat="false" ht="15" hidden="false" customHeight="false" outlineLevel="0" collapsed="false">
      <c r="A275" s="57" t="n">
        <v>0.82</v>
      </c>
      <c r="B275" s="10" t="n">
        <f aca="false">B$260+A275</f>
        <v>0.82</v>
      </c>
      <c r="C275" s="58" t="n">
        <v>400</v>
      </c>
      <c r="D275" s="10" t="n">
        <f aca="false">IF($D$258=TRUE(),C275,IF(C275&gt;0,C275+B$12*B$383,0))</f>
        <v>435.3410243</v>
      </c>
      <c r="E275" s="59" t="n">
        <v>1.6</v>
      </c>
      <c r="F275" s="11" t="n">
        <v>0.338782666666667</v>
      </c>
      <c r="G275" s="27" t="n">
        <v>0</v>
      </c>
      <c r="H275" s="10" t="n">
        <f aca="false">F275+G275*B$383/F$257</f>
        <v>0.338782666666667</v>
      </c>
      <c r="I275" s="44"/>
      <c r="J275" s="44"/>
      <c r="K275" s="44"/>
      <c r="L275" s="44"/>
    </row>
    <row r="276" customFormat="false" ht="15" hidden="false" customHeight="false" outlineLevel="0" collapsed="false">
      <c r="A276" s="57" t="n">
        <v>0.87</v>
      </c>
      <c r="B276" s="10" t="n">
        <f aca="false">B$260+A276</f>
        <v>0.87</v>
      </c>
      <c r="C276" s="58" t="n">
        <v>300</v>
      </c>
      <c r="D276" s="10" t="n">
        <f aca="false">IF($D$258=TRUE(),C276,IF(C276&gt;0,C276+B$12*B$383,0))</f>
        <v>335.3410243</v>
      </c>
      <c r="E276" s="59" t="n">
        <v>1.7</v>
      </c>
      <c r="F276" s="11" t="n">
        <v>0.326621523809524</v>
      </c>
      <c r="G276" s="27" t="n">
        <v>0</v>
      </c>
      <c r="H276" s="10" t="n">
        <f aca="false">F276+G276*B$383/F$257</f>
        <v>0.326621523809524</v>
      </c>
      <c r="I276" s="44"/>
      <c r="J276" s="44"/>
      <c r="K276" s="44"/>
      <c r="L276" s="44"/>
    </row>
    <row r="277" customFormat="false" ht="15" hidden="false" customHeight="false" outlineLevel="0" collapsed="false">
      <c r="A277" s="57" t="n">
        <v>0.92</v>
      </c>
      <c r="B277" s="10" t="n">
        <f aca="false">B$260+A277</f>
        <v>0.92</v>
      </c>
      <c r="C277" s="58" t="n">
        <v>200</v>
      </c>
      <c r="D277" s="10" t="n">
        <f aca="false">IF($D$258=TRUE(),C277,IF(C277&gt;0,C277+B$12*B$383,0))</f>
        <v>235.3410243</v>
      </c>
      <c r="E277" s="59" t="n">
        <v>1.8</v>
      </c>
      <c r="F277" s="11" t="n">
        <v>0.314460380952381</v>
      </c>
      <c r="G277" s="27" t="n">
        <v>0</v>
      </c>
      <c r="H277" s="10" t="n">
        <f aca="false">F277+G277*B$383/F$257</f>
        <v>0.314460380952381</v>
      </c>
      <c r="I277" s="44"/>
      <c r="J277" s="44"/>
      <c r="K277" s="44"/>
      <c r="L277" s="44"/>
    </row>
    <row r="278" customFormat="false" ht="15" hidden="false" customHeight="false" outlineLevel="0" collapsed="false">
      <c r="A278" s="57" t="n">
        <v>0.97</v>
      </c>
      <c r="B278" s="10" t="n">
        <f aca="false">B$260+A278</f>
        <v>0.97</v>
      </c>
      <c r="C278" s="58" t="n">
        <v>100</v>
      </c>
      <c r="D278" s="10" t="n">
        <f aca="false">IF($D$258=TRUE(),C278,IF(C278&gt;0,C278+B$12*B$383,0))</f>
        <v>135.3410243</v>
      </c>
      <c r="E278" s="59" t="n">
        <v>1.9</v>
      </c>
      <c r="F278" s="11" t="n">
        <v>0.302299238095238</v>
      </c>
      <c r="G278" s="27" t="n">
        <v>0</v>
      </c>
      <c r="H278" s="10" t="n">
        <f aca="false">F278+G278*B$383/F$257</f>
        <v>0.302299238095238</v>
      </c>
      <c r="I278" s="44"/>
      <c r="J278" s="44"/>
      <c r="K278" s="44"/>
      <c r="L278" s="44"/>
    </row>
    <row r="279" customFormat="false" ht="15" hidden="false" customHeight="false" outlineLevel="0" collapsed="false">
      <c r="A279" s="57" t="n">
        <v>1.02</v>
      </c>
      <c r="B279" s="10" t="n">
        <f aca="false">B$260+A279</f>
        <v>1.02</v>
      </c>
      <c r="C279" s="58" t="n">
        <v>10</v>
      </c>
      <c r="D279" s="10" t="n">
        <f aca="false">IF($D$258=TRUE(),C279,IF(C279&gt;0,C279+B$12*B$383,0))</f>
        <v>45.3410243</v>
      </c>
      <c r="E279" s="59" t="n">
        <v>2</v>
      </c>
      <c r="F279" s="11" t="n">
        <v>0.290138095238095</v>
      </c>
      <c r="G279" s="27" t="n">
        <v>0</v>
      </c>
      <c r="H279" s="10" t="n">
        <f aca="false">F279+G279*B$383/F$257</f>
        <v>0.290138095238095</v>
      </c>
      <c r="I279" s="44"/>
      <c r="J279" s="44"/>
      <c r="K279" s="44"/>
      <c r="L279" s="44"/>
    </row>
    <row r="280" customFormat="false" ht="15" hidden="false" customHeight="false" outlineLevel="0" collapsed="false">
      <c r="A280" s="57" t="n">
        <v>1.07</v>
      </c>
      <c r="B280" s="10" t="n">
        <f aca="false">B$260+A280</f>
        <v>1.07</v>
      </c>
      <c r="C280" s="58" t="n">
        <v>0</v>
      </c>
      <c r="D280" s="10" t="n">
        <f aca="false">IF($D$258=TRUE(),C280,IF(C280&gt;0,C280+B$12*B$383,0))</f>
        <v>0</v>
      </c>
    </row>
    <row r="281" customFormat="false" ht="15" hidden="false" customHeight="false" outlineLevel="0" collapsed="false">
      <c r="A281" s="57" t="n">
        <v>1.12</v>
      </c>
      <c r="B281" s="10" t="n">
        <f aca="false">B$260+A281</f>
        <v>1.12</v>
      </c>
      <c r="C281" s="58" t="n">
        <v>0</v>
      </c>
      <c r="D281" s="10" t="n">
        <f aca="false">IF($D$258=TRUE(),C281,IF(C281&gt;0,C281+B$12*B$383,0))</f>
        <v>0</v>
      </c>
    </row>
    <row r="282" customFormat="false" ht="15" hidden="false" customHeight="false" outlineLevel="0" collapsed="false">
      <c r="A282" s="57" t="n">
        <v>1.27</v>
      </c>
      <c r="B282" s="10" t="n">
        <f aca="false">B$260+A282</f>
        <v>1.27</v>
      </c>
      <c r="C282" s="58" t="n">
        <v>0</v>
      </c>
      <c r="D282" s="10" t="n">
        <f aca="false">IF($D$258=TRUE(),C282,IF(C282&gt;0,C282+B$12*B$383,0))</f>
        <v>0</v>
      </c>
    </row>
    <row r="283" customFormat="false" ht="15" hidden="false" customHeight="false" outlineLevel="0" collapsed="false">
      <c r="A283" s="57" t="n">
        <v>1.32</v>
      </c>
      <c r="B283" s="10" t="n">
        <f aca="false">B$260+A283</f>
        <v>1.32</v>
      </c>
      <c r="C283" s="58" t="n">
        <v>0</v>
      </c>
      <c r="D283" s="10" t="n">
        <f aca="false">IF($D$258=TRUE(),C283,IF(C283&gt;0,C283+B$12*B$383,0))</f>
        <v>0</v>
      </c>
    </row>
    <row r="284" customFormat="false" ht="15" hidden="false" customHeight="false" outlineLevel="0" collapsed="false">
      <c r="A284" s="57" t="n">
        <v>1.37</v>
      </c>
      <c r="B284" s="10" t="n">
        <f aca="false">B$260+A284</f>
        <v>1.37</v>
      </c>
      <c r="C284" s="58" t="n">
        <v>0</v>
      </c>
      <c r="D284" s="10" t="n">
        <f aca="false">IF($D$258=TRUE(),C284,IF(C284&gt;0,C284+B$12*B$383,0))</f>
        <v>0</v>
      </c>
    </row>
    <row r="285" customFormat="false" ht="15" hidden="false" customHeight="false" outlineLevel="0" collapsed="false">
      <c r="A285" s="57" t="n">
        <v>1.42</v>
      </c>
      <c r="B285" s="10" t="n">
        <f aca="false">B$260+A285</f>
        <v>1.42</v>
      </c>
      <c r="C285" s="58" t="n">
        <v>0</v>
      </c>
      <c r="D285" s="10" t="n">
        <f aca="false">IF($D$258=TRUE(),C285,IF(C285&gt;0,C285+B$12*B$383,0))</f>
        <v>0</v>
      </c>
      <c r="F285" s="44"/>
      <c r="G285" s="44"/>
    </row>
    <row r="286" customFormat="false" ht="15" hidden="false" customHeight="false" outlineLevel="0" collapsed="false">
      <c r="A286" s="57" t="n">
        <v>1.47</v>
      </c>
      <c r="B286" s="10" t="n">
        <f aca="false">B$260+A286</f>
        <v>1.47</v>
      </c>
      <c r="C286" s="58" t="n">
        <v>0</v>
      </c>
      <c r="D286" s="10" t="n">
        <f aca="false">IF($D$258=TRUE(),C286,IF(C286&gt;0,C286+B$12*B$383,0))</f>
        <v>0</v>
      </c>
      <c r="F286" s="44"/>
      <c r="G286" s="44"/>
    </row>
    <row r="287" customFormat="false" ht="15" hidden="false" customHeight="false" outlineLevel="0" collapsed="false">
      <c r="A287" s="57" t="n">
        <v>1.52</v>
      </c>
      <c r="B287" s="10" t="n">
        <f aca="false">B$260+A287</f>
        <v>1.52</v>
      </c>
      <c r="C287" s="58" t="n">
        <v>0</v>
      </c>
      <c r="D287" s="10" t="n">
        <f aca="false">IF($D$258=TRUE(),C287,IF(C287&gt;0,C287+B$12*B$383,0))</f>
        <v>0</v>
      </c>
      <c r="F287" s="44"/>
      <c r="G287" s="44"/>
    </row>
    <row r="288" customFormat="false" ht="15" hidden="false" customHeight="false" outlineLevel="0" collapsed="false">
      <c r="A288" s="57" t="n">
        <v>1.57</v>
      </c>
      <c r="B288" s="10" t="n">
        <f aca="false">B$260+A288</f>
        <v>1.57</v>
      </c>
      <c r="C288" s="58" t="n">
        <v>0</v>
      </c>
      <c r="D288" s="10" t="n">
        <f aca="false">IF($D$258=TRUE(),C288,IF(C288&gt;0,C288+B$12*B$383,0))</f>
        <v>0</v>
      </c>
      <c r="F288" s="44"/>
      <c r="G288" s="44"/>
    </row>
    <row r="289" customFormat="false" ht="15" hidden="false" customHeight="false" outlineLevel="0" collapsed="false">
      <c r="A289" s="57" t="n">
        <v>1.61</v>
      </c>
      <c r="B289" s="10" t="n">
        <f aca="false">B$260+A289</f>
        <v>1.61</v>
      </c>
      <c r="C289" s="58" t="n">
        <v>0</v>
      </c>
      <c r="D289" s="10" t="n">
        <f aca="false">IF($D$258=TRUE(),C289,IF(C289&gt;0,C289+B$12*B$383,0))</f>
        <v>0</v>
      </c>
      <c r="F289" s="44"/>
      <c r="G289" s="44"/>
    </row>
    <row r="290" customFormat="false" ht="15" hidden="false" customHeight="false" outlineLevel="0" collapsed="false">
      <c r="A290" s="57" t="n">
        <v>1.66</v>
      </c>
      <c r="B290" s="10" t="n">
        <f aca="false">B$260+A290</f>
        <v>1.66</v>
      </c>
      <c r="C290" s="58" t="n">
        <v>0</v>
      </c>
      <c r="D290" s="10" t="n">
        <f aca="false">IF($D$258=TRUE(),C290,IF(C290&gt;0,C290+B$12*B$383,0))</f>
        <v>0</v>
      </c>
      <c r="F290" s="44"/>
      <c r="G290" s="44"/>
    </row>
    <row r="291" customFormat="false" ht="15" hidden="false" customHeight="false" outlineLevel="0" collapsed="false">
      <c r="A291" s="57" t="n">
        <v>1.71</v>
      </c>
      <c r="B291" s="10" t="n">
        <f aca="false">B$260+A291</f>
        <v>1.71</v>
      </c>
      <c r="C291" s="58" t="n">
        <v>0</v>
      </c>
      <c r="D291" s="10" t="n">
        <f aca="false">IF($D$258=TRUE(),C291,IF(C291&gt;0,C291+B$12*B$383,0))</f>
        <v>0</v>
      </c>
      <c r="F291" s="44"/>
      <c r="G291" s="44"/>
    </row>
    <row r="292" customFormat="false" ht="15" hidden="false" customHeight="false" outlineLevel="0" collapsed="false">
      <c r="A292" s="57" t="n">
        <v>1.86</v>
      </c>
      <c r="B292" s="10" t="n">
        <f aca="false">B$260+A292</f>
        <v>1.86</v>
      </c>
      <c r="C292" s="58" t="n">
        <v>0</v>
      </c>
      <c r="D292" s="10" t="n">
        <f aca="false">IF($D$258=TRUE(),C292,IF(C292&gt;0,C292+B$12*B$383,0))</f>
        <v>0</v>
      </c>
      <c r="F292" s="44"/>
      <c r="G292" s="44"/>
    </row>
    <row r="293" customFormat="false" ht="15" hidden="false" customHeight="false" outlineLevel="0" collapsed="false">
      <c r="A293" s="57" t="n">
        <v>1.91</v>
      </c>
      <c r="B293" s="10" t="n">
        <f aca="false">B$260+A293</f>
        <v>1.91</v>
      </c>
      <c r="C293" s="58" t="n">
        <v>0</v>
      </c>
      <c r="D293" s="10" t="n">
        <f aca="false">IF($D$258=TRUE(),C293,IF(C293&gt;0,C293+B$12*B$383,0))</f>
        <v>0</v>
      </c>
      <c r="F293" s="44"/>
      <c r="G293" s="44"/>
    </row>
    <row r="294" customFormat="false" ht="15" hidden="false" customHeight="false" outlineLevel="0" collapsed="false">
      <c r="A294" s="57" t="n">
        <v>1.96</v>
      </c>
      <c r="B294" s="10" t="n">
        <f aca="false">B$260+A294</f>
        <v>1.96</v>
      </c>
      <c r="C294" s="58" t="n">
        <v>0</v>
      </c>
      <c r="D294" s="10" t="n">
        <f aca="false">IF($D$258=TRUE(),C294,IF(C294&gt;0,C294+B$12*B$383,0))</f>
        <v>0</v>
      </c>
      <c r="F294" s="44"/>
      <c r="G294" s="44"/>
    </row>
    <row r="295" customFormat="false" ht="15" hidden="false" customHeight="false" outlineLevel="0" collapsed="false">
      <c r="A295" s="57" t="n">
        <v>2.01</v>
      </c>
      <c r="B295" s="10" t="n">
        <f aca="false">B$260+A295</f>
        <v>2.01</v>
      </c>
      <c r="C295" s="58" t="n">
        <v>0</v>
      </c>
      <c r="D295" s="10" t="n">
        <f aca="false">IF($D$258=TRUE(),C295,IF(C295&gt;0,C295+B$12*B$383,0))</f>
        <v>0</v>
      </c>
      <c r="F295" s="44"/>
      <c r="G295" s="44"/>
    </row>
    <row r="296" customFormat="false" ht="15" hidden="false" customHeight="false" outlineLevel="0" collapsed="false">
      <c r="A296" s="57" t="n">
        <v>2.06</v>
      </c>
      <c r="B296" s="10" t="n">
        <f aca="false">B$260+A296</f>
        <v>2.06</v>
      </c>
      <c r="C296" s="58" t="n">
        <v>0</v>
      </c>
      <c r="D296" s="10" t="n">
        <f aca="false">IF($D$258=TRUE(),C296,IF(C296&gt;0,C296+B$12*B$383,0))</f>
        <v>0</v>
      </c>
      <c r="F296" s="44"/>
      <c r="G296" s="44"/>
    </row>
    <row r="297" customFormat="false" ht="15" hidden="false" customHeight="false" outlineLevel="0" collapsed="false">
      <c r="A297" s="57" t="n">
        <v>2.11</v>
      </c>
      <c r="B297" s="10" t="n">
        <f aca="false">B$260+A297</f>
        <v>2.11</v>
      </c>
      <c r="C297" s="58" t="n">
        <v>0</v>
      </c>
      <c r="D297" s="10" t="n">
        <f aca="false">IF($D$258=TRUE(),C297,IF(C297&gt;0,C297+B$12*B$383,0))</f>
        <v>0</v>
      </c>
      <c r="F297" s="44"/>
      <c r="G297" s="44"/>
    </row>
    <row r="298" customFormat="false" ht="15" hidden="false" customHeight="false" outlineLevel="0" collapsed="false">
      <c r="A298" s="57" t="n">
        <v>2.16</v>
      </c>
      <c r="B298" s="10" t="n">
        <f aca="false">B$260+A298</f>
        <v>2.16</v>
      </c>
      <c r="C298" s="58" t="n">
        <v>0</v>
      </c>
      <c r="D298" s="10" t="n">
        <f aca="false">IF($D$258=TRUE(),C298,IF(C298&gt;0,C298+B$12*B$383,0))</f>
        <v>0</v>
      </c>
      <c r="F298" s="44"/>
      <c r="G298" s="44"/>
    </row>
    <row r="299" customFormat="false" ht="15" hidden="false" customHeight="false" outlineLevel="0" collapsed="false">
      <c r="A299" s="57" t="n">
        <v>2.21</v>
      </c>
      <c r="B299" s="10" t="n">
        <f aca="false">B$260+A299</f>
        <v>2.21</v>
      </c>
      <c r="C299" s="58" t="n">
        <v>0</v>
      </c>
      <c r="D299" s="10" t="n">
        <f aca="false">IF($D$258=TRUE(),C299,IF(C299&gt;0,C299+B$12*B$383,0))</f>
        <v>0</v>
      </c>
      <c r="F299" s="44"/>
      <c r="G299" s="44"/>
    </row>
    <row r="300" customFormat="false" ht="15" hidden="false" customHeight="false" outlineLevel="0" collapsed="false">
      <c r="A300" s="57" t="n">
        <v>2.26</v>
      </c>
      <c r="B300" s="10" t="n">
        <f aca="false">B$260+A300</f>
        <v>2.26</v>
      </c>
      <c r="C300" s="58" t="n">
        <v>0</v>
      </c>
      <c r="D300" s="10" t="n">
        <f aca="false">IF($D$258=TRUE(),C300,IF(C300&gt;0,C300+B$12*B$383,0))</f>
        <v>0</v>
      </c>
      <c r="F300" s="44"/>
      <c r="G300" s="44"/>
    </row>
    <row r="301" customFormat="false" ht="15" hidden="false" customHeight="false" outlineLevel="0" collapsed="false">
      <c r="A301" s="57" t="n">
        <v>2.31</v>
      </c>
      <c r="B301" s="10" t="n">
        <f aca="false">B$260+A301</f>
        <v>2.31</v>
      </c>
      <c r="C301" s="58" t="n">
        <v>0</v>
      </c>
      <c r="D301" s="10" t="n">
        <f aca="false">IF($D$258=TRUE(),C301,IF(C301&gt;0,C301+B$12*B$383,0))</f>
        <v>0</v>
      </c>
      <c r="F301" s="44"/>
      <c r="G301" s="44"/>
    </row>
    <row r="302" customFormat="false" ht="15" hidden="false" customHeight="false" outlineLevel="0" collapsed="false">
      <c r="A302" s="57" t="n">
        <v>2.36</v>
      </c>
      <c r="B302" s="10" t="n">
        <f aca="false">B$260+A302</f>
        <v>2.36</v>
      </c>
      <c r="C302" s="58" t="n">
        <v>0</v>
      </c>
      <c r="D302" s="10" t="n">
        <f aca="false">IF($D$258=TRUE(),C302,IF(C302&gt;0,C302+B$12*B$383,0))</f>
        <v>0</v>
      </c>
      <c r="F302" s="44"/>
      <c r="G302" s="44"/>
    </row>
    <row r="303" customFormat="false" ht="15" hidden="false" customHeight="false" outlineLevel="0" collapsed="false">
      <c r="A303" s="57" t="n">
        <v>2.41</v>
      </c>
      <c r="B303" s="10" t="n">
        <f aca="false">B$260+A303</f>
        <v>2.41</v>
      </c>
      <c r="C303" s="58" t="n">
        <v>0</v>
      </c>
      <c r="D303" s="10" t="n">
        <f aca="false">IF($D$258=TRUE(),C303,IF(C303&gt;0,C303+B$12*B$383,0))</f>
        <v>0</v>
      </c>
      <c r="F303" s="44"/>
      <c r="G303" s="44"/>
    </row>
    <row r="304" customFormat="false" ht="15" hidden="false" customHeight="false" outlineLevel="0" collapsed="false">
      <c r="A304" s="57" t="n">
        <v>2.56</v>
      </c>
      <c r="B304" s="10" t="n">
        <f aca="false">B$260+A304</f>
        <v>2.56</v>
      </c>
      <c r="C304" s="58" t="n">
        <v>0</v>
      </c>
      <c r="D304" s="10" t="n">
        <f aca="false">IF($D$258=TRUE(),C304,IF(C304&gt;0,C304+B$12*B$383,0))</f>
        <v>0</v>
      </c>
      <c r="F304" s="44"/>
      <c r="G304" s="44"/>
    </row>
    <row r="305" customFormat="false" ht="15" hidden="false" customHeight="false" outlineLevel="0" collapsed="false">
      <c r="A305" s="57" t="n">
        <v>2.61</v>
      </c>
      <c r="B305" s="10" t="n">
        <f aca="false">B$260+A305</f>
        <v>2.61</v>
      </c>
      <c r="C305" s="58" t="n">
        <v>0</v>
      </c>
      <c r="D305" s="10" t="n">
        <f aca="false">IF($D$258=TRUE(),C305,IF(C305&gt;0,C305+B$12*B$383,0))</f>
        <v>0</v>
      </c>
    </row>
    <row r="306" customFormat="false" ht="15" hidden="false" customHeight="false" outlineLevel="0" collapsed="false">
      <c r="A306" s="57" t="n">
        <v>2.66</v>
      </c>
      <c r="B306" s="10" t="n">
        <f aca="false">B$260+A306</f>
        <v>2.66</v>
      </c>
      <c r="C306" s="58" t="n">
        <v>0</v>
      </c>
      <c r="D306" s="10" t="n">
        <f aca="false">IF($D$258=TRUE(),C306,IF(C306&gt;0,C306+B$12*B$383,0))</f>
        <v>0</v>
      </c>
    </row>
    <row r="307" customFormat="false" ht="15" hidden="false" customHeight="false" outlineLevel="0" collapsed="false">
      <c r="A307" s="57" t="n">
        <v>2.71</v>
      </c>
      <c r="B307" s="10" t="n">
        <f aca="false">B$260+A307</f>
        <v>2.71</v>
      </c>
      <c r="C307" s="58" t="n">
        <v>0</v>
      </c>
      <c r="D307" s="10" t="n">
        <f aca="false">IF($D$258=TRUE(),C307,IF(C307&gt;0,C307+B$12*B$383,0))</f>
        <v>0</v>
      </c>
    </row>
    <row r="308" customFormat="false" ht="15" hidden="false" customHeight="false" outlineLevel="0" collapsed="false">
      <c r="A308" s="57" t="n">
        <v>2.76</v>
      </c>
      <c r="B308" s="10" t="n">
        <f aca="false">B$260+A308</f>
        <v>2.76</v>
      </c>
      <c r="C308" s="58" t="n">
        <v>0</v>
      </c>
      <c r="D308" s="10" t="n">
        <f aca="false">IF($D$258=TRUE(),C308,IF(C308&gt;0,C308+B$12*B$383,0))</f>
        <v>0</v>
      </c>
    </row>
    <row r="309" customFormat="false" ht="15" hidden="false" customHeight="false" outlineLevel="0" collapsed="false">
      <c r="A309" s="57" t="n">
        <v>2.81</v>
      </c>
      <c r="B309" s="10" t="n">
        <f aca="false">B$260+A309</f>
        <v>2.81</v>
      </c>
      <c r="C309" s="58" t="n">
        <v>0</v>
      </c>
      <c r="D309" s="10" t="n">
        <f aca="false">IF($D$258=TRUE(),C309,IF(C309&gt;0,C309+B$12*B$383,0))</f>
        <v>0</v>
      </c>
    </row>
    <row r="310" customFormat="false" ht="15" hidden="false" customHeight="false" outlineLevel="0" collapsed="false">
      <c r="A310" s="57" t="n">
        <v>2.86</v>
      </c>
      <c r="B310" s="10" t="n">
        <f aca="false">B$260+A310</f>
        <v>2.86</v>
      </c>
      <c r="C310" s="58" t="n">
        <v>0</v>
      </c>
      <c r="D310" s="10" t="n">
        <f aca="false">IF($D$258=TRUE(),C310,IF(C310&gt;0,C310+B$12*B$383,0))</f>
        <v>0</v>
      </c>
    </row>
    <row r="311" customFormat="false" ht="15" hidden="false" customHeight="false" outlineLevel="0" collapsed="false">
      <c r="A311" s="57" t="n">
        <v>2.91</v>
      </c>
      <c r="B311" s="10" t="n">
        <f aca="false">B$260+A311</f>
        <v>2.91</v>
      </c>
      <c r="C311" s="58" t="n">
        <v>0</v>
      </c>
      <c r="D311" s="10" t="n">
        <f aca="false">IF($D$258=TRUE(),C311,IF(C311&gt;0,C311+B$12*B$383,0))</f>
        <v>0</v>
      </c>
    </row>
    <row r="312" customFormat="false" ht="15" hidden="false" customHeight="false" outlineLevel="0" collapsed="false">
      <c r="A312" s="57" t="n">
        <v>2.96</v>
      </c>
      <c r="B312" s="10" t="n">
        <f aca="false">B$260+A312</f>
        <v>2.96</v>
      </c>
      <c r="C312" s="58" t="n">
        <v>0</v>
      </c>
      <c r="D312" s="10" t="n">
        <f aca="false">IF($D$258=TRUE(),C312,IF(C312&gt;0,C312+B$12*B$383,0))</f>
        <v>0</v>
      </c>
    </row>
    <row r="313" customFormat="false" ht="15" hidden="false" customHeight="false" outlineLevel="0" collapsed="false">
      <c r="A313" s="57" t="n">
        <v>3.01</v>
      </c>
      <c r="B313" s="10" t="n">
        <f aca="false">B$260+A313</f>
        <v>3.01</v>
      </c>
      <c r="C313" s="58" t="n">
        <v>0</v>
      </c>
      <c r="D313" s="10" t="n">
        <f aca="false">IF($D$258=TRUE(),C313,IF(C313&gt;0,C313+B$12*B$383,0))</f>
        <v>0</v>
      </c>
    </row>
    <row r="314" customFormat="false" ht="15" hidden="false" customHeight="false" outlineLevel="0" collapsed="false">
      <c r="A314" s="57" t="n">
        <v>3.06</v>
      </c>
      <c r="B314" s="10" t="n">
        <f aca="false">B$260+A314</f>
        <v>3.06</v>
      </c>
      <c r="C314" s="58" t="n">
        <v>0</v>
      </c>
      <c r="D314" s="10" t="n">
        <f aca="false">IF($D$258=TRUE(),C314,IF(C314&gt;0,C314+B$12*B$383,0))</f>
        <v>0</v>
      </c>
    </row>
    <row r="315" customFormat="false" ht="15" hidden="false" customHeight="false" outlineLevel="0" collapsed="false">
      <c r="A315" s="57" t="n">
        <v>3.11</v>
      </c>
      <c r="B315" s="10" t="n">
        <f aca="false">B$260+A315</f>
        <v>3.11</v>
      </c>
      <c r="C315" s="58" t="n">
        <v>0</v>
      </c>
      <c r="D315" s="10" t="n">
        <f aca="false">IF($D$258=TRUE(),C315,IF(C315&gt;0,C315+B$12*B$383,0))</f>
        <v>0</v>
      </c>
    </row>
    <row r="316" customFormat="false" ht="15" hidden="false" customHeight="false" outlineLevel="0" collapsed="false">
      <c r="A316" s="57" t="n">
        <v>3.26</v>
      </c>
      <c r="B316" s="10" t="n">
        <f aca="false">B$260+A316</f>
        <v>3.26</v>
      </c>
      <c r="C316" s="58" t="n">
        <v>0</v>
      </c>
      <c r="D316" s="10" t="n">
        <f aca="false">IF($D$258=TRUE(),C316,IF(C316&gt;0,C316+B$12*B$383,0))</f>
        <v>0</v>
      </c>
    </row>
    <row r="317" customFormat="false" ht="15" hidden="false" customHeight="false" outlineLevel="0" collapsed="false">
      <c r="A317" s="57" t="n">
        <v>3.31</v>
      </c>
      <c r="B317" s="10" t="n">
        <f aca="false">B$260+A317</f>
        <v>3.31</v>
      </c>
      <c r="C317" s="58" t="n">
        <v>0</v>
      </c>
      <c r="D317" s="10" t="n">
        <f aca="false">IF($D$258=TRUE(),C317,IF(C317&gt;0,C317+B$12*B$383,0))</f>
        <v>0</v>
      </c>
    </row>
    <row r="318" customFormat="false" ht="15" hidden="false" customHeight="false" outlineLevel="0" collapsed="false">
      <c r="A318" s="57" t="n">
        <v>3.36</v>
      </c>
      <c r="B318" s="10" t="n">
        <f aca="false">B$260+A318</f>
        <v>3.36</v>
      </c>
      <c r="C318" s="58" t="n">
        <v>0</v>
      </c>
      <c r="D318" s="10" t="n">
        <f aca="false">IF($D$258=TRUE(),C318,IF(C318&gt;0,C318+B$12*B$383,0))</f>
        <v>0</v>
      </c>
    </row>
    <row r="319" customFormat="false" ht="15" hidden="false" customHeight="false" outlineLevel="0" collapsed="false">
      <c r="A319" s="57" t="n">
        <v>3.41</v>
      </c>
      <c r="B319" s="10" t="n">
        <f aca="false">B$260+A319</f>
        <v>3.41</v>
      </c>
      <c r="C319" s="58" t="n">
        <v>0</v>
      </c>
      <c r="D319" s="10" t="n">
        <f aca="false">IF($D$258=TRUE(),C319,IF(C319&gt;0,C319+B$12*B$383,0))</f>
        <v>0</v>
      </c>
    </row>
    <row r="320" customFormat="false" ht="15" hidden="false" customHeight="false" outlineLevel="0" collapsed="false">
      <c r="A320" s="57" t="n">
        <v>3.46</v>
      </c>
      <c r="B320" s="10" t="n">
        <f aca="false">B$260+A320</f>
        <v>3.46</v>
      </c>
      <c r="C320" s="58" t="n">
        <v>0</v>
      </c>
      <c r="D320" s="10" t="n">
        <f aca="false">IF($D$258=TRUE(),C320,IF(C320&gt;0,C320+B$12*B$383,0))</f>
        <v>0</v>
      </c>
    </row>
    <row r="321" customFormat="false" ht="15" hidden="false" customHeight="false" outlineLevel="0" collapsed="false">
      <c r="A321" s="57" t="n">
        <v>3.6</v>
      </c>
      <c r="B321" s="10" t="n">
        <f aca="false">B$260+A321</f>
        <v>3.6</v>
      </c>
      <c r="C321" s="58" t="n">
        <v>0</v>
      </c>
      <c r="D321" s="10" t="n">
        <f aca="false">IF($D$258=TRUE(),C321,IF(C321&gt;0,C321+B$12*B$383,0))</f>
        <v>0</v>
      </c>
    </row>
    <row r="322" customFormat="false" ht="15" hidden="false" customHeight="false" outlineLevel="0" collapsed="false">
      <c r="A322" s="57" t="n">
        <v>3.65</v>
      </c>
      <c r="B322" s="10" t="n">
        <f aca="false">B$260+A322</f>
        <v>3.65</v>
      </c>
      <c r="C322" s="58" t="n">
        <v>0</v>
      </c>
      <c r="D322" s="10" t="n">
        <f aca="false">IF($D$258=TRUE(),C322,IF(C322&gt;0,C322+B$12*B$383,0))</f>
        <v>0</v>
      </c>
    </row>
    <row r="323" customFormat="false" ht="15" hidden="false" customHeight="false" outlineLevel="0" collapsed="false">
      <c r="A323" s="57" t="n">
        <v>3.7</v>
      </c>
      <c r="B323" s="10" t="n">
        <f aca="false">B$260+A323</f>
        <v>3.7</v>
      </c>
      <c r="C323" s="58" t="n">
        <v>0</v>
      </c>
      <c r="D323" s="10" t="n">
        <f aca="false">IF($D$258=TRUE(),C323,IF(C323&gt;0,C323+B$12*B$383,0))</f>
        <v>0</v>
      </c>
    </row>
    <row r="324" customFormat="false" ht="15" hidden="false" customHeight="false" outlineLevel="0" collapsed="false">
      <c r="A324" s="57" t="n">
        <v>3.75</v>
      </c>
      <c r="B324" s="10" t="n">
        <f aca="false">B$260+A324</f>
        <v>3.75</v>
      </c>
      <c r="C324" s="58" t="n">
        <v>0</v>
      </c>
      <c r="D324" s="10" t="n">
        <f aca="false">IF($D$258=TRUE(),C324,IF(C324&gt;0,C324+B$12*B$383,0))</f>
        <v>0</v>
      </c>
    </row>
    <row r="325" customFormat="false" ht="15" hidden="false" customHeight="false" outlineLevel="0" collapsed="false">
      <c r="A325" s="57" t="n">
        <v>3.8</v>
      </c>
      <c r="B325" s="10" t="n">
        <f aca="false">B$260+A325</f>
        <v>3.8</v>
      </c>
      <c r="C325" s="58" t="n">
        <v>0</v>
      </c>
      <c r="D325" s="10" t="n">
        <f aca="false">IF($D$258=TRUE(),C325,IF(C325&gt;0,C325+B$12*B$383,0))</f>
        <v>0</v>
      </c>
    </row>
    <row r="326" customFormat="false" ht="15" hidden="false" customHeight="false" outlineLevel="0" collapsed="false">
      <c r="A326" s="57" t="n">
        <v>3.85</v>
      </c>
      <c r="B326" s="10" t="n">
        <f aca="false">B$260+A326</f>
        <v>3.85</v>
      </c>
      <c r="C326" s="58" t="n">
        <v>0</v>
      </c>
      <c r="D326" s="10" t="n">
        <f aca="false">IF($D$258=TRUE(),C326,IF(C326&gt;0,C326+B$12*B$383,0))</f>
        <v>0</v>
      </c>
    </row>
    <row r="327" customFormat="false" ht="15" hidden="false" customHeight="false" outlineLevel="0" collapsed="false">
      <c r="A327" s="57" t="n">
        <v>3.9</v>
      </c>
      <c r="B327" s="10" t="n">
        <f aca="false">B$260+A327</f>
        <v>3.9</v>
      </c>
      <c r="C327" s="58" t="n">
        <v>0</v>
      </c>
      <c r="D327" s="10" t="n">
        <f aca="false">IF($D$258=TRUE(),C327,IF(C327&gt;0,C327+B$12*B$383,0))</f>
        <v>0</v>
      </c>
    </row>
    <row r="328" customFormat="false" ht="15" hidden="false" customHeight="false" outlineLevel="0" collapsed="false">
      <c r="A328" s="57" t="n">
        <v>3.95</v>
      </c>
      <c r="B328" s="10" t="n">
        <f aca="false">B$260+A328</f>
        <v>3.95</v>
      </c>
      <c r="C328" s="58" t="n">
        <v>0</v>
      </c>
      <c r="D328" s="10" t="n">
        <f aca="false">IF($D$258=TRUE(),C328,IF(C328&gt;0,C328+B$12*B$383,0))</f>
        <v>0</v>
      </c>
    </row>
    <row r="329" customFormat="false" ht="15" hidden="false" customHeight="false" outlineLevel="0" collapsed="false">
      <c r="A329" s="57" t="n">
        <v>4</v>
      </c>
      <c r="B329" s="10" t="n">
        <f aca="false">B$260+A329</f>
        <v>4</v>
      </c>
      <c r="C329" s="58" t="n">
        <v>0</v>
      </c>
      <c r="D329" s="10" t="n">
        <f aca="false">IF($D$258=TRUE(),C329,IF(C329&gt;0,C329+B$12*B$383,0))</f>
        <v>0</v>
      </c>
    </row>
    <row r="330" customFormat="false" ht="15" hidden="false" customHeight="false" outlineLevel="0" collapsed="false">
      <c r="A330" s="57" t="n">
        <v>4.05</v>
      </c>
      <c r="B330" s="10" t="n">
        <f aca="false">B$260+A330</f>
        <v>4.05</v>
      </c>
      <c r="C330" s="58" t="n">
        <v>0</v>
      </c>
      <c r="D330" s="10" t="n">
        <f aca="false">IF($D$258=TRUE(),C330,IF(C330&gt;0,C330+B$12*B$383,0))</f>
        <v>0</v>
      </c>
    </row>
    <row r="331" customFormat="false" ht="15" hidden="false" customHeight="false" outlineLevel="0" collapsed="false">
      <c r="A331" s="57" t="n">
        <v>4.2</v>
      </c>
      <c r="B331" s="10" t="n">
        <f aca="false">B$260+A331</f>
        <v>4.2</v>
      </c>
      <c r="C331" s="58" t="n">
        <v>0</v>
      </c>
      <c r="D331" s="10" t="n">
        <f aca="false">IF($D$258=TRUE(),C331,IF(C331&gt;0,C331+B$12*B$383,0))</f>
        <v>0</v>
      </c>
    </row>
    <row r="332" customFormat="false" ht="15" hidden="false" customHeight="false" outlineLevel="0" collapsed="false">
      <c r="A332" s="57" t="n">
        <v>4.25</v>
      </c>
      <c r="B332" s="10" t="n">
        <f aca="false">B$260+A332</f>
        <v>4.25</v>
      </c>
      <c r="C332" s="58" t="n">
        <v>0</v>
      </c>
      <c r="D332" s="10" t="n">
        <f aca="false">IF($D$258=TRUE(),C332,IF(C332&gt;0,C332+B$12*B$383,0))</f>
        <v>0</v>
      </c>
    </row>
    <row r="333" customFormat="false" ht="15" hidden="false" customHeight="false" outlineLevel="0" collapsed="false">
      <c r="A333" s="57" t="n">
        <v>4.3</v>
      </c>
      <c r="B333" s="10" t="n">
        <f aca="false">B$260+A333</f>
        <v>4.3</v>
      </c>
      <c r="C333" s="58" t="n">
        <v>0</v>
      </c>
      <c r="D333" s="10" t="n">
        <f aca="false">IF($D$258=TRUE(),C333,IF(C333&gt;0,C333+B$12*B$383,0))</f>
        <v>0</v>
      </c>
    </row>
    <row r="334" customFormat="false" ht="15" hidden="false" customHeight="false" outlineLevel="0" collapsed="false">
      <c r="A334" s="57" t="n">
        <v>4.35</v>
      </c>
      <c r="B334" s="10" t="n">
        <f aca="false">B$260+A334</f>
        <v>4.35</v>
      </c>
      <c r="C334" s="58" t="n">
        <v>0</v>
      </c>
      <c r="D334" s="10" t="n">
        <f aca="false">IF($D$258=TRUE(),C334,IF(C334&gt;0,C334+B$12*B$383,0))</f>
        <v>0</v>
      </c>
    </row>
    <row r="335" customFormat="false" ht="15" hidden="false" customHeight="false" outlineLevel="0" collapsed="false">
      <c r="A335" s="57" t="n">
        <v>4.4</v>
      </c>
      <c r="B335" s="10" t="n">
        <f aca="false">B$260+A335</f>
        <v>4.4</v>
      </c>
      <c r="C335" s="58" t="n">
        <v>0</v>
      </c>
      <c r="D335" s="10" t="n">
        <f aca="false">IF($D$258=TRUE(),C335,IF(C335&gt;0,C335+B$12*B$383,0))</f>
        <v>0</v>
      </c>
    </row>
    <row r="336" customFormat="false" ht="15" hidden="false" customHeight="false" outlineLevel="0" collapsed="false">
      <c r="A336" s="57" t="n">
        <v>4.45</v>
      </c>
      <c r="B336" s="10" t="n">
        <f aca="false">B$260+A336</f>
        <v>4.45</v>
      </c>
      <c r="C336" s="58" t="n">
        <v>0</v>
      </c>
      <c r="D336" s="10" t="n">
        <f aca="false">IF($D$258=TRUE(),C336,IF(C336&gt;0,C336+B$12*B$383,0))</f>
        <v>0</v>
      </c>
    </row>
    <row r="337" customFormat="false" ht="15" hidden="false" customHeight="false" outlineLevel="0" collapsed="false">
      <c r="A337" s="57" t="n">
        <v>4.5</v>
      </c>
      <c r="B337" s="10" t="n">
        <f aca="false">B$260+A337</f>
        <v>4.5</v>
      </c>
      <c r="C337" s="58" t="n">
        <v>0</v>
      </c>
      <c r="D337" s="10" t="n">
        <f aca="false">IF($D$258=TRUE(),C337,IF(C337&gt;0,C337+B$12*B$383,0))</f>
        <v>0</v>
      </c>
    </row>
    <row r="338" customFormat="false" ht="15" hidden="false" customHeight="false" outlineLevel="0" collapsed="false">
      <c r="A338" s="57" t="n">
        <v>4.55</v>
      </c>
      <c r="B338" s="10" t="n">
        <f aca="false">B$260+A338</f>
        <v>4.55</v>
      </c>
      <c r="C338" s="58" t="n">
        <v>0</v>
      </c>
      <c r="D338" s="10" t="n">
        <f aca="false">IF($D$258=TRUE(),C338,IF(C338&gt;0,C338+B$12*B$383,0))</f>
        <v>0</v>
      </c>
    </row>
    <row r="339" customFormat="false" ht="15" hidden="false" customHeight="false" outlineLevel="0" collapsed="false">
      <c r="A339" s="57" t="n">
        <v>4.6</v>
      </c>
      <c r="B339" s="10" t="n">
        <f aca="false">B$260+A339</f>
        <v>4.6</v>
      </c>
      <c r="C339" s="58" t="n">
        <v>0</v>
      </c>
      <c r="D339" s="10" t="n">
        <f aca="false">IF($D$258=TRUE(),C339,IF(C339&gt;0,C339+B$12*B$383,0))</f>
        <v>0</v>
      </c>
    </row>
    <row r="340" customFormat="false" ht="15" hidden="false" customHeight="false" outlineLevel="0" collapsed="false">
      <c r="A340" s="57" t="n">
        <v>4.65</v>
      </c>
      <c r="B340" s="10" t="n">
        <f aca="false">B$260+A340</f>
        <v>4.65</v>
      </c>
      <c r="C340" s="58" t="n">
        <v>0</v>
      </c>
      <c r="D340" s="10" t="n">
        <f aca="false">IF($D$258=TRUE(),C340,IF(C340&gt;0,C340+B$12*B$383,0))</f>
        <v>0</v>
      </c>
    </row>
    <row r="341" customFormat="false" ht="15" hidden="false" customHeight="false" outlineLevel="0" collapsed="false">
      <c r="A341" s="57" t="n">
        <v>4.7</v>
      </c>
      <c r="B341" s="10" t="n">
        <f aca="false">B$260+A341</f>
        <v>4.7</v>
      </c>
      <c r="C341" s="58" t="n">
        <v>0</v>
      </c>
      <c r="D341" s="10" t="n">
        <f aca="false">IF($D$258=TRUE(),C341,IF(C341&gt;0,C341+B$12*B$383,0))</f>
        <v>0</v>
      </c>
    </row>
    <row r="342" customFormat="false" ht="15" hidden="false" customHeight="false" outlineLevel="0" collapsed="false">
      <c r="A342" s="57" t="n">
        <v>4.75</v>
      </c>
      <c r="B342" s="10" t="n">
        <f aca="false">B$260+A342</f>
        <v>4.75</v>
      </c>
      <c r="C342" s="58" t="n">
        <v>0</v>
      </c>
      <c r="D342" s="10" t="n">
        <f aca="false">IF($D$258=TRUE(),C342,IF(C342&gt;0,C342+B$12*B$383,0))</f>
        <v>0</v>
      </c>
    </row>
    <row r="343" customFormat="false" ht="15" hidden="false" customHeight="false" outlineLevel="0" collapsed="false">
      <c r="A343" s="57" t="n">
        <v>4.9</v>
      </c>
      <c r="B343" s="10" t="n">
        <f aca="false">B$260+A343</f>
        <v>4.9</v>
      </c>
      <c r="C343" s="58" t="n">
        <v>0</v>
      </c>
      <c r="D343" s="10" t="n">
        <f aca="false">IF($D$258=TRUE(),C343,IF(C343&gt;0,C343+B$12*B$383,0))</f>
        <v>0</v>
      </c>
    </row>
    <row r="344" customFormat="false" ht="15" hidden="false" customHeight="false" outlineLevel="0" collapsed="false">
      <c r="A344" s="57" t="n">
        <v>4.95</v>
      </c>
      <c r="B344" s="10" t="n">
        <f aca="false">B$260+A344</f>
        <v>4.95</v>
      </c>
      <c r="C344" s="58" t="n">
        <v>0</v>
      </c>
      <c r="D344" s="10" t="n">
        <f aca="false">IF($D$258=TRUE(),C344,IF(C344&gt;0,C344+B$12*B$383,0))</f>
        <v>0</v>
      </c>
    </row>
    <row r="345" customFormat="false" ht="15" hidden="false" customHeight="false" outlineLevel="0" collapsed="false">
      <c r="A345" s="57" t="n">
        <v>5</v>
      </c>
      <c r="B345" s="10" t="n">
        <f aca="false">B$260+A345</f>
        <v>5</v>
      </c>
      <c r="C345" s="58" t="n">
        <v>0</v>
      </c>
      <c r="D345" s="10" t="n">
        <f aca="false">IF($D$258=TRUE(),C345,IF(C345&gt;0,C345+B$12*B$383,0))</f>
        <v>0</v>
      </c>
    </row>
    <row r="346" customFormat="false" ht="15" hidden="false" customHeight="false" outlineLevel="0" collapsed="false">
      <c r="A346" s="57" t="n">
        <v>5.1</v>
      </c>
      <c r="B346" s="10" t="n">
        <f aca="false">B$260+A346</f>
        <v>5.1</v>
      </c>
      <c r="C346" s="58" t="n">
        <v>0</v>
      </c>
      <c r="D346" s="10" t="n">
        <f aca="false">IF($D$258=TRUE(),C346,IF(C346&gt;0,C346+B$12*B$383,0))</f>
        <v>0</v>
      </c>
    </row>
    <row r="347" customFormat="false" ht="15" hidden="false" customHeight="false" outlineLevel="0" collapsed="false">
      <c r="A347" s="57" t="n">
        <v>5.15</v>
      </c>
      <c r="B347" s="10" t="n">
        <f aca="false">B$260+A347</f>
        <v>5.15</v>
      </c>
      <c r="C347" s="58" t="n">
        <v>0</v>
      </c>
      <c r="D347" s="10" t="n">
        <f aca="false">IF($D$258=TRUE(),C347,IF(C347&gt;0,C347+B$12*B$383,0))</f>
        <v>0</v>
      </c>
    </row>
    <row r="348" customFormat="false" ht="15" hidden="false" customHeight="false" outlineLevel="0" collapsed="false">
      <c r="A348" s="57" t="n">
        <v>5.2</v>
      </c>
      <c r="B348" s="10" t="n">
        <f aca="false">B$260+A348</f>
        <v>5.2</v>
      </c>
      <c r="C348" s="58" t="n">
        <v>0</v>
      </c>
      <c r="D348" s="10" t="n">
        <f aca="false">IF($D$258=TRUE(),C348,IF(C348&gt;0,C348+B$12*B$383,0))</f>
        <v>0</v>
      </c>
    </row>
    <row r="349" customFormat="false" ht="15" hidden="false" customHeight="false" outlineLevel="0" collapsed="false">
      <c r="A349" s="57" t="n">
        <v>5.24</v>
      </c>
      <c r="B349" s="10" t="n">
        <f aca="false">B$260+A349</f>
        <v>5.24</v>
      </c>
      <c r="C349" s="58" t="n">
        <v>0</v>
      </c>
      <c r="D349" s="10" t="n">
        <f aca="false">IF($D$258=TRUE(),C349,IF(C349&gt;0,C349+B$12*B$383,0))</f>
        <v>0</v>
      </c>
    </row>
    <row r="350" customFormat="false" ht="15" hidden="false" customHeight="false" outlineLevel="0" collapsed="false">
      <c r="A350" s="57" t="n">
        <v>5.29</v>
      </c>
      <c r="B350" s="10" t="n">
        <f aca="false">B$260+A350</f>
        <v>5.29</v>
      </c>
      <c r="C350" s="58" t="n">
        <v>0</v>
      </c>
      <c r="D350" s="10" t="n">
        <f aca="false">IF($D$258=TRUE(),C350,IF(C350&gt;0,C350+B$12*B$383,0))</f>
        <v>0</v>
      </c>
    </row>
    <row r="351" customFormat="false" ht="15" hidden="false" customHeight="false" outlineLevel="0" collapsed="false">
      <c r="A351" s="57" t="n">
        <v>5.34</v>
      </c>
      <c r="B351" s="10" t="n">
        <f aca="false">B$260+A351</f>
        <v>5.34</v>
      </c>
      <c r="C351" s="58" t="n">
        <v>0</v>
      </c>
      <c r="D351" s="10" t="n">
        <f aca="false">IF($D$258=TRUE(),C351,IF(C351&gt;0,C351+B$12*B$383,0))</f>
        <v>0</v>
      </c>
    </row>
    <row r="352" customFormat="false" ht="15" hidden="false" customHeight="false" outlineLevel="0" collapsed="false">
      <c r="A352" s="57" t="n">
        <v>5.39</v>
      </c>
      <c r="B352" s="10" t="n">
        <f aca="false">B$260+A352</f>
        <v>5.39</v>
      </c>
      <c r="C352" s="58" t="n">
        <v>0</v>
      </c>
      <c r="D352" s="10" t="n">
        <f aca="false">IF($D$258=TRUE(),C352,IF(C352&gt;0,C352+B$12*B$383,0))</f>
        <v>0</v>
      </c>
    </row>
    <row r="353" customFormat="false" ht="15" hidden="false" customHeight="false" outlineLevel="0" collapsed="false">
      <c r="A353" s="57" t="n">
        <v>5.44</v>
      </c>
      <c r="B353" s="10" t="n">
        <f aca="false">B$260+A353</f>
        <v>5.44</v>
      </c>
      <c r="C353" s="58" t="n">
        <v>0</v>
      </c>
      <c r="D353" s="10" t="n">
        <f aca="false">IF($D$258=TRUE(),C353,IF(C353&gt;0,C353+B$12*B$383,0))</f>
        <v>0</v>
      </c>
    </row>
    <row r="354" customFormat="false" ht="15" hidden="false" customHeight="false" outlineLevel="0" collapsed="false">
      <c r="A354" s="57" t="n">
        <v>5.49</v>
      </c>
      <c r="B354" s="10" t="n">
        <f aca="false">B$260+A354</f>
        <v>5.49</v>
      </c>
      <c r="C354" s="58" t="n">
        <v>0</v>
      </c>
      <c r="D354" s="10" t="n">
        <f aca="false">IF($D$258=TRUE(),C354,IF(C354&gt;0,C354+B$12*B$383,0))</f>
        <v>0</v>
      </c>
    </row>
    <row r="355" customFormat="false" ht="15" hidden="false" customHeight="false" outlineLevel="0" collapsed="false">
      <c r="A355" s="57" t="n">
        <v>5.54</v>
      </c>
      <c r="B355" s="10" t="n">
        <f aca="false">B$260+A355</f>
        <v>5.54</v>
      </c>
      <c r="C355" s="58" t="n">
        <v>0</v>
      </c>
      <c r="D355" s="10" t="n">
        <f aca="false">IF($D$258=TRUE(),C355,IF(C355&gt;0,C355+B$12*B$383,0))</f>
        <v>0</v>
      </c>
    </row>
    <row r="356" customFormat="false" ht="15" hidden="false" customHeight="false" outlineLevel="0" collapsed="false">
      <c r="A356" s="57" t="n">
        <v>5.59</v>
      </c>
      <c r="B356" s="10" t="n">
        <f aca="false">B$260+A356</f>
        <v>5.59</v>
      </c>
      <c r="C356" s="58" t="n">
        <v>0</v>
      </c>
      <c r="D356" s="10" t="n">
        <f aca="false">IF($D$258=TRUE(),C356,IF(C356&gt;0,C356+B$12*B$383,0))</f>
        <v>0</v>
      </c>
    </row>
    <row r="357" customFormat="false" ht="15" hidden="false" customHeight="false" outlineLevel="0" collapsed="false">
      <c r="A357" s="57" t="n">
        <v>5.64</v>
      </c>
      <c r="B357" s="10" t="n">
        <f aca="false">B$260+A357</f>
        <v>5.64</v>
      </c>
      <c r="C357" s="58" t="n">
        <v>0</v>
      </c>
      <c r="D357" s="10" t="n">
        <f aca="false">IF($D$258=TRUE(),C357,IF(C357&gt;0,C357+B$12*B$383,0))</f>
        <v>0</v>
      </c>
    </row>
    <row r="358" customFormat="false" ht="15" hidden="false" customHeight="false" outlineLevel="0" collapsed="false">
      <c r="A358" s="57" t="n">
        <v>5.74</v>
      </c>
      <c r="B358" s="10" t="n">
        <f aca="false">B$260+A358</f>
        <v>5.74</v>
      </c>
      <c r="C358" s="58" t="n">
        <v>0</v>
      </c>
      <c r="D358" s="10" t="n">
        <f aca="false">IF($D$258=TRUE(),C358,IF(C358&gt;0,C358+B$12*B$383,0))</f>
        <v>0</v>
      </c>
    </row>
    <row r="359" customFormat="false" ht="15" hidden="false" customHeight="false" outlineLevel="0" collapsed="false">
      <c r="A359" s="57" t="n">
        <v>5.79</v>
      </c>
      <c r="B359" s="10" t="n">
        <f aca="false">B$260+A359</f>
        <v>5.79</v>
      </c>
      <c r="C359" s="58" t="n">
        <v>0</v>
      </c>
      <c r="D359" s="10" t="n">
        <f aca="false">IF($D$258=TRUE(),C359,IF(C359&gt;0,C359+B$12*B$383,0))</f>
        <v>0</v>
      </c>
    </row>
    <row r="360" customFormat="false" ht="15" hidden="false" customHeight="false" outlineLevel="0" collapsed="false">
      <c r="A360" s="57" t="n">
        <v>5.84</v>
      </c>
      <c r="B360" s="10" t="n">
        <f aca="false">B$260+A360</f>
        <v>5.84</v>
      </c>
      <c r="C360" s="58" t="n">
        <v>0</v>
      </c>
      <c r="D360" s="10" t="n">
        <f aca="false">IF($D$258=TRUE(),C360,IF(C360&gt;0,C360+B$12*B$383,0))</f>
        <v>0</v>
      </c>
    </row>
    <row r="361" customFormat="false" ht="15" hidden="false" customHeight="false" outlineLevel="0" collapsed="false">
      <c r="A361" s="57" t="n">
        <v>5.89</v>
      </c>
      <c r="B361" s="10" t="n">
        <f aca="false">B$260+A361</f>
        <v>5.89</v>
      </c>
      <c r="C361" s="58" t="n">
        <v>0</v>
      </c>
      <c r="D361" s="10" t="n">
        <f aca="false">IF($D$258=TRUE(),C361,IF(C361&gt;0,C361+B$12*B$383,0))</f>
        <v>0</v>
      </c>
    </row>
    <row r="362" customFormat="false" ht="15" hidden="false" customHeight="false" outlineLevel="0" collapsed="false">
      <c r="A362" s="57" t="n">
        <v>5.94</v>
      </c>
      <c r="B362" s="10" t="n">
        <f aca="false">B$260+A362</f>
        <v>5.94</v>
      </c>
      <c r="C362" s="58" t="n">
        <v>0</v>
      </c>
      <c r="D362" s="10" t="n">
        <f aca="false">IF($D$258=TRUE(),C362,IF(C362&gt;0,C362+B$12*B$383,0))</f>
        <v>0</v>
      </c>
    </row>
    <row r="363" customFormat="false" ht="15" hidden="false" customHeight="false" outlineLevel="0" collapsed="false">
      <c r="A363" s="57" t="n">
        <v>5.99</v>
      </c>
      <c r="B363" s="10" t="n">
        <f aca="false">B$260+A363</f>
        <v>5.99</v>
      </c>
      <c r="C363" s="58" t="n">
        <v>0</v>
      </c>
      <c r="D363" s="10" t="n">
        <f aca="false">IF($D$258=TRUE(),C363,IF(C363&gt;0,C363+B$12*B$383,0))</f>
        <v>0</v>
      </c>
    </row>
    <row r="364" customFormat="false" ht="15" hidden="false" customHeight="false" outlineLevel="0" collapsed="false">
      <c r="A364" s="57" t="n">
        <v>6.04</v>
      </c>
      <c r="B364" s="10" t="n">
        <f aca="false">B$260+A364</f>
        <v>6.04</v>
      </c>
      <c r="C364" s="58" t="n">
        <v>0</v>
      </c>
      <c r="D364" s="10" t="n">
        <f aca="false">IF($D$258=TRUE(),C364,IF(C364&gt;0,C364+B$12*B$383,0))</f>
        <v>0</v>
      </c>
    </row>
    <row r="365" customFormat="false" ht="15" hidden="false" customHeight="false" outlineLevel="0" collapsed="false">
      <c r="A365" s="57" t="n">
        <v>6.09</v>
      </c>
      <c r="B365" s="10" t="n">
        <f aca="false">B$260+A365</f>
        <v>6.09</v>
      </c>
      <c r="C365" s="58" t="n">
        <v>0</v>
      </c>
      <c r="D365" s="10" t="n">
        <f aca="false">IF($D$258=TRUE(),C365,IF(C365&gt;0,C365+B$12*B$383,0))</f>
        <v>0</v>
      </c>
    </row>
    <row r="366" customFormat="false" ht="15" hidden="false" customHeight="false" outlineLevel="0" collapsed="false">
      <c r="A366" s="57" t="n">
        <v>6.14</v>
      </c>
      <c r="B366" s="10" t="n">
        <f aca="false">B$260+A366</f>
        <v>6.14</v>
      </c>
      <c r="C366" s="58" t="n">
        <v>0</v>
      </c>
      <c r="D366" s="10" t="n">
        <f aca="false">IF($D$258=TRUE(),C366,IF(C366&gt;0,C366+B$12*B$383,0))</f>
        <v>0</v>
      </c>
    </row>
    <row r="367" customFormat="false" ht="15" hidden="false" customHeight="false" outlineLevel="0" collapsed="false">
      <c r="A367" s="57" t="n">
        <v>6.19</v>
      </c>
      <c r="B367" s="10" t="n">
        <f aca="false">B$260+A367</f>
        <v>6.19</v>
      </c>
      <c r="C367" s="58" t="n">
        <v>0</v>
      </c>
      <c r="D367" s="10" t="n">
        <f aca="false">IF($D$258=TRUE(),C367,IF(C367&gt;0,C367+B$12*B$383,0))</f>
        <v>0</v>
      </c>
    </row>
    <row r="368" customFormat="false" ht="15" hidden="false" customHeight="false" outlineLevel="0" collapsed="false">
      <c r="A368" s="57" t="n">
        <v>6.24</v>
      </c>
      <c r="B368" s="10" t="n">
        <f aca="false">B$260+A368</f>
        <v>6.24</v>
      </c>
      <c r="C368" s="58" t="n">
        <v>0</v>
      </c>
      <c r="D368" s="10" t="n">
        <f aca="false">IF($D$258=TRUE(),C368,IF(C368&gt;0,C368+B$12*B$383,0))</f>
        <v>0</v>
      </c>
    </row>
    <row r="369" customFormat="false" ht="15" hidden="false" customHeight="false" outlineLevel="0" collapsed="false">
      <c r="A369" s="57" t="n">
        <v>6.29</v>
      </c>
      <c r="B369" s="10" t="n">
        <f aca="false">B$260+A369</f>
        <v>6.29</v>
      </c>
      <c r="C369" s="58" t="n">
        <v>0</v>
      </c>
      <c r="D369" s="10" t="n">
        <f aca="false">IF($D$258=TRUE(),C369,IF(C369&gt;0,C369+B$12*B$383,0))</f>
        <v>0</v>
      </c>
    </row>
    <row r="370" customFormat="false" ht="15" hidden="false" customHeight="false" outlineLevel="0" collapsed="false">
      <c r="A370" s="57" t="n">
        <v>6.34</v>
      </c>
      <c r="B370" s="10" t="n">
        <f aca="false">B$260+A370</f>
        <v>6.34</v>
      </c>
      <c r="C370" s="58" t="n">
        <v>0</v>
      </c>
      <c r="D370" s="10" t="n">
        <f aca="false">IF($D$258=TRUE(),C370,IF(C370&gt;0,C370+B$12*B$383,0))</f>
        <v>0</v>
      </c>
    </row>
    <row r="371" customFormat="false" ht="15" hidden="false" customHeight="false" outlineLevel="0" collapsed="false">
      <c r="A371" s="57" t="n">
        <v>6.44</v>
      </c>
      <c r="B371" s="10" t="n">
        <f aca="false">B$260+A371</f>
        <v>6.44</v>
      </c>
      <c r="C371" s="58" t="n">
        <v>0</v>
      </c>
      <c r="D371" s="10" t="n">
        <f aca="false">IF($D$258=TRUE(),C371,IF(C371&gt;0,C371+B$12*B$383,0))</f>
        <v>0</v>
      </c>
    </row>
    <row r="372" customFormat="false" ht="15" hidden="false" customHeight="false" outlineLevel="0" collapsed="false">
      <c r="A372" s="57" t="n">
        <v>6.49</v>
      </c>
      <c r="B372" s="10" t="n">
        <f aca="false">B$260+A372</f>
        <v>6.49</v>
      </c>
      <c r="C372" s="58" t="n">
        <v>0</v>
      </c>
      <c r="D372" s="10" t="n">
        <f aca="false">IF($D$258=TRUE(),C372,IF(C372&gt;0,C372+B$12*B$383,0))</f>
        <v>0</v>
      </c>
    </row>
    <row r="373" customFormat="false" ht="15" hidden="false" customHeight="false" outlineLevel="0" collapsed="false">
      <c r="A373" s="57" t="n">
        <v>6.54</v>
      </c>
      <c r="B373" s="10" t="n">
        <f aca="false">B$260+A373</f>
        <v>6.54</v>
      </c>
      <c r="C373" s="58" t="n">
        <v>0</v>
      </c>
      <c r="D373" s="10" t="n">
        <f aca="false">IF($D$258=TRUE(),C373,IF(C373&gt;0,C373+B$12*B$383,0))</f>
        <v>0</v>
      </c>
    </row>
    <row r="374" customFormat="false" ht="15" hidden="false" customHeight="false" outlineLevel="0" collapsed="false">
      <c r="A374" s="57" t="n">
        <v>6.59</v>
      </c>
      <c r="B374" s="10" t="n">
        <f aca="false">B$260+A374</f>
        <v>6.59</v>
      </c>
      <c r="C374" s="58" t="n">
        <v>0</v>
      </c>
      <c r="D374" s="10" t="n">
        <f aca="false">IF($D$258=TRUE(),C374,IF(C374&gt;0,C374+B$12*B$383,0))</f>
        <v>0</v>
      </c>
    </row>
    <row r="375" customFormat="false" ht="15" hidden="false" customHeight="false" outlineLevel="0" collapsed="false">
      <c r="A375" s="57" t="n">
        <v>6.64</v>
      </c>
      <c r="B375" s="10" t="n">
        <f aca="false">B$260+A375</f>
        <v>6.64</v>
      </c>
      <c r="C375" s="58" t="n">
        <v>0</v>
      </c>
      <c r="D375" s="10" t="n">
        <f aca="false">IF($D$258=TRUE(),C375,IF(C375&gt;0,C375+B$12*B$383,0))</f>
        <v>0</v>
      </c>
    </row>
    <row r="376" customFormat="false" ht="15" hidden="false" customHeight="false" outlineLevel="0" collapsed="false">
      <c r="A376" s="57" t="n">
        <v>6.69</v>
      </c>
      <c r="B376" s="10" t="n">
        <f aca="false">B$260+A376</f>
        <v>6.69</v>
      </c>
      <c r="C376" s="58" t="n">
        <v>0</v>
      </c>
      <c r="D376" s="10" t="n">
        <f aca="false">IF($D$258=TRUE(),C376,IF(C376&gt;0,C376+B$12*B$383,0))</f>
        <v>0</v>
      </c>
    </row>
    <row r="377" customFormat="false" ht="15" hidden="false" customHeight="false" outlineLevel="0" collapsed="false">
      <c r="A377" s="57" t="n">
        <v>6.74</v>
      </c>
      <c r="B377" s="10" t="n">
        <f aca="false">B$260+A377</f>
        <v>6.74</v>
      </c>
      <c r="C377" s="58" t="n">
        <v>0</v>
      </c>
      <c r="D377" s="10" t="n">
        <f aca="false">IF($D$258=TRUE(),C377,IF(C377&gt;0,C377+B$12*B$383,0))</f>
        <v>0</v>
      </c>
    </row>
    <row r="378" customFormat="false" ht="15" hidden="false" customHeight="false" outlineLevel="0" collapsed="false">
      <c r="A378" s="57" t="n">
        <v>6.79</v>
      </c>
      <c r="B378" s="10" t="n">
        <f aca="false">B$260+A378</f>
        <v>6.79</v>
      </c>
      <c r="C378" s="58" t="n">
        <v>0</v>
      </c>
      <c r="D378" s="10" t="n">
        <f aca="false">IF($D$258=TRUE(),C378,IF(C378&gt;0,C378+B$12*B$383,0))</f>
        <v>0</v>
      </c>
    </row>
    <row r="379" customFormat="false" ht="15" hidden="false" customHeight="false" outlineLevel="0" collapsed="false">
      <c r="A379" s="57" t="n">
        <v>6.9</v>
      </c>
      <c r="B379" s="10" t="n">
        <f aca="false">B$260+A379</f>
        <v>6.9</v>
      </c>
      <c r="C379" s="58" t="n">
        <v>0</v>
      </c>
      <c r="D379" s="10" t="n">
        <f aca="false">IF($D$258=TRUE(),C379,IF(C379&gt;0,C379+B$12*B$383,0))</f>
        <v>0</v>
      </c>
    </row>
    <row r="380" customFormat="false" ht="15" hidden="false" customHeight="false" outlineLevel="0" collapsed="false">
      <c r="A380" s="57" t="n">
        <v>7</v>
      </c>
      <c r="B380" s="10" t="n">
        <f aca="false">B$260+A380</f>
        <v>7</v>
      </c>
      <c r="C380" s="58" t="n">
        <v>0</v>
      </c>
      <c r="D380" s="10" t="n">
        <f aca="false">IF($D$258=TRUE(),C380,IF(C380&gt;0,C380+B$12*B$383,0))</f>
        <v>0</v>
      </c>
    </row>
    <row r="383" customFormat="false" ht="17.25" hidden="false" customHeight="false" outlineLevel="0" collapsed="false">
      <c r="A383" s="45" t="s">
        <v>164</v>
      </c>
      <c r="B383" s="11" t="n">
        <v>0.0167</v>
      </c>
      <c r="C383" s="48"/>
    </row>
    <row r="384" customFormat="false" ht="15" hidden="false" customHeight="false" outlineLevel="0" collapsed="false">
      <c r="A384" s="45" t="s">
        <v>165</v>
      </c>
      <c r="B384" s="10" t="n">
        <f aca="false">SUMPRODUCT(D260:D379+D261:D380,A261:A380-A260:A379)/2</f>
        <v>373.8279601505</v>
      </c>
      <c r="C384" s="61" t="s">
        <v>166</v>
      </c>
      <c r="D384" s="44"/>
    </row>
    <row r="385" customFormat="false" ht="15" hidden="false" customHeight="false" outlineLevel="0" collapsed="false">
      <c r="A385" s="45" t="s">
        <v>167</v>
      </c>
      <c r="B385" s="10" t="n">
        <f aca="false">IF(B251=0,1,B384/B251)</f>
        <v>37.38279601505</v>
      </c>
      <c r="C385" s="61" t="s">
        <v>166</v>
      </c>
      <c r="D385" s="1" t="s">
        <v>178</v>
      </c>
    </row>
    <row r="386" customFormat="false" ht="15" hidden="false" customHeight="false" outlineLevel="0" collapsed="false">
      <c r="A386" s="44"/>
    </row>
    <row r="387" customFormat="false" ht="15" hidden="false" customHeight="false" outlineLevel="0" collapsed="false">
      <c r="A387" s="44"/>
    </row>
    <row r="388" customFormat="false" ht="15" hidden="false" customHeight="false" outlineLevel="0" collapsed="false">
      <c r="A388" s="18" t="s">
        <v>179</v>
      </c>
    </row>
    <row r="389" customFormat="false" ht="15" hidden="false" customHeight="false" outlineLevel="0" collapsed="false">
      <c r="A389" s="3" t="s">
        <v>55</v>
      </c>
      <c r="B389" s="3" t="s">
        <v>3</v>
      </c>
      <c r="C389" s="3" t="s">
        <v>180</v>
      </c>
      <c r="D389" s="3" t="s">
        <v>4</v>
      </c>
      <c r="E389" s="3" t="s">
        <v>5</v>
      </c>
    </row>
    <row r="390" customFormat="false" ht="18" hidden="false" customHeight="false" outlineLevel="0" collapsed="false">
      <c r="A390" s="45" t="s">
        <v>137</v>
      </c>
      <c r="B390" s="11" t="n">
        <v>11.93</v>
      </c>
      <c r="C390" s="10" t="n">
        <f aca="false">IF(B$91=TRUE(),B390,0)</f>
        <v>0</v>
      </c>
      <c r="D390" s="10" t="s">
        <v>138</v>
      </c>
      <c r="E390" s="10" t="s">
        <v>139</v>
      </c>
    </row>
    <row r="391" customFormat="false" ht="18" hidden="false" customHeight="false" outlineLevel="0" collapsed="false">
      <c r="A391" s="45" t="s">
        <v>140</v>
      </c>
      <c r="B391" s="11" t="n">
        <v>30</v>
      </c>
      <c r="C391" s="10" t="n">
        <f aca="false">IF(OR(B90=TRUE(),B$91=TRUE()),B391,0)</f>
        <v>0</v>
      </c>
      <c r="D391" s="10" t="s">
        <v>138</v>
      </c>
      <c r="E391" s="10" t="s">
        <v>141</v>
      </c>
    </row>
    <row r="392" customFormat="false" ht="18" hidden="false" customHeight="false" outlineLevel="0" collapsed="false">
      <c r="A392" s="45" t="s">
        <v>142</v>
      </c>
      <c r="B392" s="11" t="n">
        <v>10</v>
      </c>
      <c r="C392" s="10" t="n">
        <f aca="false">IF(OR(B90=TRUE(),B$91=TRUE()),B392,0)</f>
        <v>0</v>
      </c>
      <c r="D392" s="10" t="s">
        <v>138</v>
      </c>
      <c r="E392" s="10" t="s">
        <v>181</v>
      </c>
    </row>
    <row r="393" customFormat="false" ht="18" hidden="false" customHeight="false" outlineLevel="0" collapsed="false">
      <c r="A393" s="45" t="s">
        <v>144</v>
      </c>
      <c r="B393" s="31" t="n">
        <f aca="false">C91</f>
        <v>7</v>
      </c>
      <c r="C393" s="10" t="n">
        <f aca="false">IF(B$91=TRUE(),B393,FALSE())</f>
        <v>0</v>
      </c>
      <c r="D393" s="10" t="s">
        <v>108</v>
      </c>
      <c r="E393" s="10" t="s">
        <v>145</v>
      </c>
    </row>
    <row r="394" customFormat="false" ht="15" hidden="false" customHeight="false" outlineLevel="0" collapsed="false">
      <c r="A394" s="45" t="s">
        <v>172</v>
      </c>
      <c r="B394" s="31" t="n">
        <f aca="false">IF(B91=TRUE(),IF(B90=TRUE(),C90,0),FALSE())</f>
        <v>0</v>
      </c>
      <c r="C394" s="10" t="n">
        <f aca="false">IF(B$91=TRUE(),B394,FALSE())</f>
        <v>0</v>
      </c>
      <c r="D394" s="10" t="s">
        <v>108</v>
      </c>
      <c r="E394" s="62" t="s">
        <v>182</v>
      </c>
    </row>
    <row r="396" customFormat="false" ht="15" hidden="false" customHeight="false" outlineLevel="0" collapsed="false">
      <c r="E396" s="45" t="s">
        <v>150</v>
      </c>
      <c r="F396" s="27" t="n">
        <f aca="false">PI()*(6/24)^2</f>
        <v>0.196349540849362</v>
      </c>
      <c r="G396" s="1" t="s">
        <v>120</v>
      </c>
    </row>
    <row r="397" customFormat="false" ht="15" hidden="false" customHeight="false" outlineLevel="0" collapsed="false">
      <c r="A397" s="49" t="s">
        <v>151</v>
      </c>
      <c r="B397" s="50"/>
      <c r="C397" s="51" t="s">
        <v>153</v>
      </c>
      <c r="D397" s="52" t="b">
        <f aca="false">FALSE()</f>
        <v>0</v>
      </c>
      <c r="E397" s="45" t="s">
        <v>154</v>
      </c>
      <c r="F397" s="27" t="n">
        <f aca="false">PI()*(6/24)^2</f>
        <v>0.196349540849362</v>
      </c>
      <c r="G397" s="1" t="s">
        <v>120</v>
      </c>
    </row>
    <row r="398" customFormat="false" ht="15" hidden="false" customHeight="false" outlineLevel="0" collapsed="false">
      <c r="A398" s="45" t="s">
        <v>155</v>
      </c>
      <c r="B398" s="45" t="s">
        <v>183</v>
      </c>
      <c r="C398" s="53" t="s">
        <v>184</v>
      </c>
      <c r="D398" s="53" t="s">
        <v>158</v>
      </c>
      <c r="E398" s="54" t="s">
        <v>159</v>
      </c>
      <c r="F398" s="45" t="s">
        <v>160</v>
      </c>
      <c r="G398" s="45" t="s">
        <v>161</v>
      </c>
      <c r="H398" s="45" t="s">
        <v>162</v>
      </c>
      <c r="I398" s="55"/>
      <c r="J398" s="56"/>
      <c r="K398" s="44"/>
      <c r="L398" s="44"/>
    </row>
    <row r="399" customFormat="false" ht="15" hidden="false" customHeight="false" outlineLevel="0" collapsed="false">
      <c r="A399" s="57" t="n">
        <v>0</v>
      </c>
      <c r="B399" s="10" t="n">
        <f aca="false">D$91+A399</f>
        <v>0</v>
      </c>
      <c r="C399" s="63" t="n">
        <v>0</v>
      </c>
      <c r="D399" s="10" t="n">
        <f aca="false">IF($D$397=TRUE(),C399,IF(C399&gt;0,C399+B$12*B$523,0))</f>
        <v>0</v>
      </c>
      <c r="E399" s="59" t="n">
        <v>0</v>
      </c>
      <c r="F399" s="27" t="n">
        <v>0.75</v>
      </c>
      <c r="G399" s="27" t="n">
        <v>0.15</v>
      </c>
      <c r="H399" s="10" t="n">
        <f aca="false">F399+G399*B$523/F$396</f>
        <v>0.783330864802077</v>
      </c>
      <c r="I399" s="44"/>
      <c r="J399" s="44"/>
      <c r="K399" s="44"/>
      <c r="L399" s="44"/>
    </row>
    <row r="400" customFormat="false" ht="15" hidden="false" customHeight="false" outlineLevel="0" collapsed="false">
      <c r="A400" s="27" t="n">
        <v>0.02</v>
      </c>
      <c r="B400" s="10" t="n">
        <f aca="false">B$399+A400</f>
        <v>0.02</v>
      </c>
      <c r="C400" s="27" t="n">
        <v>395.9080002222</v>
      </c>
      <c r="D400" s="10" t="n">
        <f aca="false">IF($D$397=TRUE(),C400,IF(C400&gt;0,C400+B$12*B$523,0))</f>
        <v>488.2390714922</v>
      </c>
      <c r="E400" s="59" t="n">
        <v>0.0900000000000318</v>
      </c>
      <c r="F400" s="27" t="n">
        <v>0.75</v>
      </c>
      <c r="G400" s="27" t="n">
        <v>0.15</v>
      </c>
      <c r="H400" s="10" t="n">
        <f aca="false">F400+G400*B$523/F$396</f>
        <v>0.783330864802077</v>
      </c>
      <c r="I400" s="44"/>
      <c r="J400" s="44"/>
      <c r="K400" s="44"/>
      <c r="L400" s="44"/>
    </row>
    <row r="401" customFormat="false" ht="15" hidden="false" customHeight="false" outlineLevel="0" collapsed="false">
      <c r="A401" s="27" t="n">
        <v>0.07</v>
      </c>
      <c r="B401" s="10" t="n">
        <f aca="false">B$399+A401</f>
        <v>0.07</v>
      </c>
      <c r="C401" s="27" t="n">
        <v>562.753012087</v>
      </c>
      <c r="D401" s="10" t="n">
        <f aca="false">IF($D$397=TRUE(),C401,IF(C401&gt;0,C401+B$12*B$523,0))</f>
        <v>655.084083357</v>
      </c>
      <c r="E401" s="59" t="n">
        <v>0.120000000000004</v>
      </c>
      <c r="F401" s="27" t="n">
        <v>0.75</v>
      </c>
      <c r="G401" s="27" t="n">
        <v>0.151</v>
      </c>
      <c r="H401" s="10" t="n">
        <f aca="false">F401+G401*B$523/F$396</f>
        <v>0.783553070567424</v>
      </c>
      <c r="I401" s="44"/>
      <c r="J401" s="44"/>
      <c r="K401" s="44"/>
      <c r="L401" s="44"/>
    </row>
    <row r="402" customFormat="false" ht="15" hidden="false" customHeight="false" outlineLevel="0" collapsed="false">
      <c r="A402" s="27" t="n">
        <v>0.12</v>
      </c>
      <c r="B402" s="10" t="n">
        <f aca="false">B$399+A402</f>
        <v>0.12</v>
      </c>
      <c r="C402" s="27" t="n">
        <v>545.060462726</v>
      </c>
      <c r="D402" s="10" t="n">
        <f aca="false">IF($D$397=TRUE(),C402,IF(C402&gt;0,C402+B$12*B$523,0))</f>
        <v>637.391533996</v>
      </c>
      <c r="E402" s="59" t="n">
        <v>0.180000000000064</v>
      </c>
      <c r="F402" s="27" t="n">
        <v>0.75</v>
      </c>
      <c r="G402" s="27" t="n">
        <v>0.152</v>
      </c>
      <c r="H402" s="10" t="n">
        <f aca="false">F402+G402*B$523/F$396</f>
        <v>0.783775276332771</v>
      </c>
      <c r="I402" s="44"/>
      <c r="J402" s="44"/>
      <c r="K402" s="44"/>
      <c r="L402" s="44"/>
    </row>
    <row r="403" customFormat="false" ht="15" hidden="false" customHeight="false" outlineLevel="0" collapsed="false">
      <c r="A403" s="27" t="n">
        <v>0.17</v>
      </c>
      <c r="B403" s="10" t="n">
        <f aca="false">B$399+A403</f>
        <v>0.17</v>
      </c>
      <c r="C403" s="27" t="n">
        <v>536.6930334094</v>
      </c>
      <c r="D403" s="10" t="n">
        <f aca="false">IF($D$397=TRUE(),C403,IF(C403&gt;0,C403+B$12*B$523,0))</f>
        <v>629.0241046794</v>
      </c>
      <c r="E403" s="59" t="n">
        <v>0.210000000000036</v>
      </c>
      <c r="F403" s="27" t="n">
        <v>0.75</v>
      </c>
      <c r="G403" s="27" t="n">
        <v>0.159</v>
      </c>
      <c r="H403" s="10" t="n">
        <f aca="false">F403+G403*B$523/F$396</f>
        <v>0.785330716690202</v>
      </c>
      <c r="I403" s="44"/>
      <c r="J403" s="44"/>
      <c r="K403" s="44"/>
      <c r="L403" s="44"/>
    </row>
    <row r="404" customFormat="false" ht="15" hidden="false" customHeight="false" outlineLevel="0" collapsed="false">
      <c r="A404" s="27" t="n">
        <v>0.22</v>
      </c>
      <c r="B404" s="10" t="n">
        <f aca="false">B$399+A404</f>
        <v>0.22</v>
      </c>
      <c r="C404" s="27" t="n">
        <v>536.5828764947</v>
      </c>
      <c r="D404" s="10" t="n">
        <f aca="false">IF($D$397=TRUE(),C404,IF(C404&gt;0,C404+B$12*B$523,0))</f>
        <v>628.9139477647</v>
      </c>
      <c r="E404" s="59" t="n">
        <v>0.240000000000009</v>
      </c>
      <c r="F404" s="27" t="n">
        <v>0.75</v>
      </c>
      <c r="G404" s="60" t="n">
        <v>0.17</v>
      </c>
      <c r="H404" s="10" t="n">
        <f aca="false">F404+G404*B$523/F$396</f>
        <v>0.787774980109021</v>
      </c>
      <c r="I404" s="44"/>
      <c r="J404" s="44"/>
      <c r="K404" s="44"/>
      <c r="L404" s="44"/>
    </row>
    <row r="405" customFormat="false" ht="15" hidden="false" customHeight="false" outlineLevel="0" collapsed="false">
      <c r="A405" s="27" t="n">
        <v>0.27</v>
      </c>
      <c r="B405" s="10" t="n">
        <f aca="false">B$399+A405</f>
        <v>0.27</v>
      </c>
      <c r="C405" s="27" t="n">
        <v>537.7294076477</v>
      </c>
      <c r="D405" s="10" t="n">
        <f aca="false">IF($D$397=TRUE(),C405,IF(C405&gt;0,C405+B$12*B$523,0))</f>
        <v>630.0604789177</v>
      </c>
      <c r="E405" s="59" t="n">
        <v>0.300000000000182</v>
      </c>
      <c r="F405" s="27" t="n">
        <v>0.75</v>
      </c>
      <c r="G405" s="27" t="n">
        <v>0.201</v>
      </c>
      <c r="H405" s="10" t="n">
        <f aca="false">F405+G405*B$523/F$396</f>
        <v>0.794663358834783</v>
      </c>
      <c r="I405" s="44"/>
      <c r="J405" s="44"/>
      <c r="K405" s="44"/>
      <c r="L405" s="44"/>
    </row>
    <row r="406" customFormat="false" ht="15" hidden="false" customHeight="false" outlineLevel="0" collapsed="false">
      <c r="A406" s="57" t="n">
        <v>0.32</v>
      </c>
      <c r="B406" s="10" t="n">
        <f aca="false">B$399+A406</f>
        <v>0.32</v>
      </c>
      <c r="C406" s="11" t="n">
        <v>538.5432199563</v>
      </c>
      <c r="D406" s="10" t="n">
        <f aca="false">IF($D$397=TRUE(),C406,IF(C406&gt;0,C406+B$12*B$523,0))</f>
        <v>630.8742912263</v>
      </c>
      <c r="E406" s="59" t="n">
        <v>0.360000000000127</v>
      </c>
      <c r="F406" s="11" t="n">
        <v>0.75</v>
      </c>
      <c r="G406" s="11" t="n">
        <v>0.201</v>
      </c>
      <c r="H406" s="10" t="n">
        <f aca="false">F406+G406*B$523/F$396</f>
        <v>0.794663358834783</v>
      </c>
      <c r="I406" s="44"/>
      <c r="J406" s="44"/>
      <c r="K406" s="44"/>
      <c r="L406" s="44"/>
    </row>
    <row r="407" customFormat="false" ht="15" hidden="false" customHeight="false" outlineLevel="0" collapsed="false">
      <c r="A407" s="57" t="n">
        <v>0.37</v>
      </c>
      <c r="B407" s="10" t="n">
        <f aca="false">B$399+A407</f>
        <v>0.37</v>
      </c>
      <c r="C407" s="11" t="n">
        <v>540.6946519434</v>
      </c>
      <c r="D407" s="10" t="n">
        <f aca="false">IF($D$397=TRUE(),C407,IF(C407&gt;0,C407+B$12*B$523,0))</f>
        <v>633.0257232134</v>
      </c>
      <c r="E407" s="59" t="n">
        <v>0.420000000000073</v>
      </c>
      <c r="F407" s="11" t="n">
        <v>0.77</v>
      </c>
      <c r="G407" s="11" t="n">
        <v>0.201</v>
      </c>
      <c r="H407" s="10" t="n">
        <f aca="false">F407+G407*B$523/F$396</f>
        <v>0.814663358834783</v>
      </c>
      <c r="I407" s="44"/>
      <c r="J407" s="44"/>
      <c r="K407" s="44"/>
      <c r="L407" s="44"/>
    </row>
    <row r="408" customFormat="false" ht="15" hidden="false" customHeight="false" outlineLevel="0" collapsed="false">
      <c r="A408" s="57" t="n">
        <v>0.42</v>
      </c>
      <c r="B408" s="10" t="n">
        <f aca="false">B$399+A408</f>
        <v>0.42</v>
      </c>
      <c r="C408" s="11" t="n">
        <v>545.5123308863</v>
      </c>
      <c r="D408" s="10" t="n">
        <f aca="false">IF($D$397=TRUE(),C408,IF(C408&gt;0,C408+B$12*B$523,0))</f>
        <v>637.8434021563</v>
      </c>
      <c r="E408" s="59" t="n">
        <v>0.449999999999818</v>
      </c>
      <c r="F408" s="11" t="n">
        <v>0.8</v>
      </c>
      <c r="G408" s="11" t="n">
        <v>0.201</v>
      </c>
      <c r="H408" s="10" t="n">
        <f aca="false">F408+G408*B$523/F$396</f>
        <v>0.844663358834783</v>
      </c>
      <c r="I408" s="44"/>
      <c r="J408" s="44"/>
      <c r="K408" s="44"/>
      <c r="L408" s="44"/>
    </row>
    <row r="409" customFormat="false" ht="15" hidden="false" customHeight="false" outlineLevel="0" collapsed="false">
      <c r="A409" s="57" t="n">
        <v>0.47</v>
      </c>
      <c r="B409" s="10" t="n">
        <f aca="false">B$399+A409</f>
        <v>0.47</v>
      </c>
      <c r="C409" s="11" t="n">
        <v>549.3183646942</v>
      </c>
      <c r="D409" s="10" t="n">
        <f aca="false">IF($D$397=TRUE(),C409,IF(C409&gt;0,C409+B$12*B$523,0))</f>
        <v>641.6494359642</v>
      </c>
      <c r="E409" s="59" t="n">
        <v>0.510000000000218</v>
      </c>
      <c r="F409" s="11" t="n">
        <v>0.825</v>
      </c>
      <c r="G409" s="11" t="n">
        <v>0.201</v>
      </c>
      <c r="H409" s="10" t="n">
        <f aca="false">F409+G409*B$523/F$396</f>
        <v>0.869663358834783</v>
      </c>
      <c r="I409" s="44"/>
      <c r="J409" s="44"/>
      <c r="K409" s="44"/>
      <c r="L409" s="44"/>
    </row>
    <row r="410" customFormat="false" ht="15" hidden="false" customHeight="false" outlineLevel="0" collapsed="false">
      <c r="A410" s="57" t="n">
        <v>0.52</v>
      </c>
      <c r="B410" s="10" t="n">
        <f aca="false">B$399+A410</f>
        <v>0.52</v>
      </c>
      <c r="C410" s="11" t="n">
        <v>552.3375633971</v>
      </c>
      <c r="D410" s="10" t="n">
        <f aca="false">IF($D$397=TRUE(),C410,IF(C410&gt;0,C410+B$12*B$523,0))</f>
        <v>644.6686346671</v>
      </c>
      <c r="E410" s="59" t="n">
        <v>0.539999999999964</v>
      </c>
      <c r="F410" s="11" t="n">
        <v>0.84</v>
      </c>
      <c r="G410" s="11" t="n">
        <v>0.201</v>
      </c>
      <c r="H410" s="10" t="n">
        <f aca="false">F410+G410*B$523/F$396</f>
        <v>0.884663358834783</v>
      </c>
      <c r="I410" s="44"/>
      <c r="J410" s="44"/>
      <c r="K410" s="44"/>
      <c r="L410" s="44"/>
    </row>
    <row r="411" customFormat="false" ht="15" hidden="false" customHeight="false" outlineLevel="0" collapsed="false">
      <c r="A411" s="57" t="n">
        <v>0.57</v>
      </c>
      <c r="B411" s="10" t="n">
        <f aca="false">B$399+A411</f>
        <v>0.57</v>
      </c>
      <c r="C411" s="11" t="n">
        <v>554.3855827704</v>
      </c>
      <c r="D411" s="10" t="n">
        <f aca="false">IF($D$397=TRUE(),C411,IF(C411&gt;0,C411+B$12*B$523,0))</f>
        <v>646.7166540404</v>
      </c>
      <c r="E411" s="59" t="n">
        <v>0.600000000000364</v>
      </c>
      <c r="F411" s="11" t="n">
        <v>0.87</v>
      </c>
      <c r="G411" s="11" t="n">
        <v>0.201</v>
      </c>
      <c r="H411" s="10" t="n">
        <f aca="false">F411+G411*B$523/F$396</f>
        <v>0.914663358834783</v>
      </c>
      <c r="I411" s="44"/>
      <c r="J411" s="44"/>
      <c r="K411" s="44"/>
      <c r="L411" s="44"/>
    </row>
    <row r="412" customFormat="false" ht="15" hidden="false" customHeight="false" outlineLevel="0" collapsed="false">
      <c r="A412" s="57" t="n">
        <v>0.72</v>
      </c>
      <c r="B412" s="10" t="n">
        <f aca="false">B$399+A412</f>
        <v>0.72</v>
      </c>
      <c r="C412" s="11" t="n">
        <v>564.8257605636</v>
      </c>
      <c r="D412" s="10" t="n">
        <f aca="false">IF($D$397=TRUE(),C412,IF(C412&gt;0,C412+B$12*B$523,0))</f>
        <v>657.1568318336</v>
      </c>
      <c r="E412" s="59" t="n">
        <v>0.659999999999854</v>
      </c>
      <c r="F412" s="11" t="n">
        <v>0.887</v>
      </c>
      <c r="G412" s="11" t="n">
        <v>0.201</v>
      </c>
      <c r="H412" s="10" t="n">
        <f aca="false">F412+G412*B$523/F$396</f>
        <v>0.931663358834783</v>
      </c>
      <c r="I412" s="44"/>
      <c r="J412" s="44"/>
      <c r="K412" s="44"/>
      <c r="L412" s="44"/>
    </row>
    <row r="413" customFormat="false" ht="15" hidden="false" customHeight="false" outlineLevel="0" collapsed="false">
      <c r="A413" s="57" t="n">
        <v>0.77</v>
      </c>
      <c r="B413" s="10" t="n">
        <f aca="false">B$399+A413</f>
        <v>0.77</v>
      </c>
      <c r="C413" s="11" t="n">
        <v>566.5860230985</v>
      </c>
      <c r="D413" s="10" t="n">
        <f aca="false">IF($D$397=TRUE(),C413,IF(C413&gt;0,C413+B$12*B$523,0))</f>
        <v>658.9170943685</v>
      </c>
      <c r="E413" s="59" t="n">
        <v>0.6899999999996</v>
      </c>
      <c r="F413" s="11" t="n">
        <v>0.893</v>
      </c>
      <c r="G413" s="11" t="n">
        <v>0.201</v>
      </c>
      <c r="H413" s="10" t="n">
        <f aca="false">F413+G413*B$523/F$396</f>
        <v>0.937663358834783</v>
      </c>
      <c r="I413" s="44"/>
      <c r="J413" s="44"/>
      <c r="K413" s="44"/>
      <c r="L413" s="44"/>
    </row>
    <row r="414" customFormat="false" ht="15" hidden="false" customHeight="false" outlineLevel="0" collapsed="false">
      <c r="A414" s="57" t="n">
        <v>0.82</v>
      </c>
      <c r="B414" s="10" t="n">
        <f aca="false">B$399+A414</f>
        <v>0.82</v>
      </c>
      <c r="C414" s="11" t="n">
        <v>568.5441184598</v>
      </c>
      <c r="D414" s="10" t="n">
        <f aca="false">IF($D$397=TRUE(),C414,IF(C414&gt;0,C414+B$12*B$523,0))</f>
        <v>660.8751897298</v>
      </c>
      <c r="E414" s="59" t="n">
        <v>0.779999999999745</v>
      </c>
      <c r="F414" s="11" t="n">
        <v>0.898</v>
      </c>
      <c r="G414" s="11" t="n">
        <v>0.201</v>
      </c>
      <c r="H414" s="10" t="n">
        <f aca="false">F414+G414*B$523/F$396</f>
        <v>0.942663358834783</v>
      </c>
      <c r="I414" s="44"/>
      <c r="J414" s="44"/>
      <c r="K414" s="44"/>
      <c r="L414" s="44"/>
    </row>
    <row r="415" customFormat="false" ht="15" hidden="false" customHeight="false" outlineLevel="0" collapsed="false">
      <c r="A415" s="57" t="n">
        <v>0.87</v>
      </c>
      <c r="B415" s="10" t="n">
        <f aca="false">B$399+A415</f>
        <v>0.87</v>
      </c>
      <c r="C415" s="11" t="n">
        <v>570.7540010547</v>
      </c>
      <c r="D415" s="10" t="n">
        <f aca="false">IF($D$397=TRUE(),C415,IF(C415&gt;0,C415+B$12*B$523,0))</f>
        <v>663.0850723247</v>
      </c>
      <c r="E415" s="59" t="n">
        <v>0.8100000000004</v>
      </c>
      <c r="F415" s="11" t="n">
        <v>0.9</v>
      </c>
      <c r="G415" s="11" t="n">
        <v>0.201</v>
      </c>
      <c r="H415" s="10" t="n">
        <f aca="false">F415+G415*B$523/F$396</f>
        <v>0.944663358834783</v>
      </c>
      <c r="I415" s="44"/>
      <c r="J415" s="44"/>
      <c r="K415" s="44"/>
      <c r="L415" s="44"/>
    </row>
    <row r="416" customFormat="false" ht="15" hidden="false" customHeight="false" outlineLevel="0" collapsed="false">
      <c r="A416" s="57" t="n">
        <v>0.92</v>
      </c>
      <c r="B416" s="10" t="n">
        <f aca="false">B$399+A416</f>
        <v>0.92</v>
      </c>
      <c r="C416" s="11" t="n">
        <v>574.5083285557</v>
      </c>
      <c r="D416" s="10" t="n">
        <f aca="false">IF($D$397=TRUE(),C416,IF(C416&gt;0,C416+B$12*B$523,0))</f>
        <v>666.8393998257</v>
      </c>
      <c r="E416" s="59" t="n">
        <v>0.899999999999636</v>
      </c>
      <c r="F416" s="11" t="n">
        <v>0.9005</v>
      </c>
      <c r="G416" s="11" t="n">
        <v>0.201</v>
      </c>
      <c r="H416" s="10" t="n">
        <f aca="false">F416+G416*B$523/F$396</f>
        <v>0.945163358834783</v>
      </c>
      <c r="I416" s="44"/>
      <c r="J416" s="44"/>
      <c r="K416" s="44"/>
      <c r="L416" s="44"/>
    </row>
    <row r="417" customFormat="false" ht="15" hidden="false" customHeight="false" outlineLevel="0" collapsed="false">
      <c r="A417" s="57" t="n">
        <v>0.97</v>
      </c>
      <c r="B417" s="10" t="n">
        <f aca="false">B$399+A417</f>
        <v>0.97</v>
      </c>
      <c r="C417" s="11" t="n">
        <v>576.0010671549</v>
      </c>
      <c r="D417" s="10" t="n">
        <f aca="false">IF($D$397=TRUE(),C417,IF(C417&gt;0,C417+B$12*B$523,0))</f>
        <v>668.3321384249</v>
      </c>
      <c r="E417" s="59" t="n">
        <v>1</v>
      </c>
      <c r="F417" s="11" t="n">
        <v>0.901</v>
      </c>
      <c r="G417" s="11" t="n">
        <v>0.201</v>
      </c>
      <c r="H417" s="10" t="n">
        <f aca="false">F417+G417*B$523/F$396</f>
        <v>0.945663358834783</v>
      </c>
      <c r="I417" s="44"/>
      <c r="J417" s="44"/>
      <c r="K417" s="44"/>
      <c r="L417" s="44"/>
    </row>
    <row r="418" customFormat="false" ht="15" hidden="false" customHeight="false" outlineLevel="0" collapsed="false">
      <c r="A418" s="57" t="n">
        <v>1.02</v>
      </c>
      <c r="B418" s="10" t="n">
        <f aca="false">B$399+A418</f>
        <v>1.02</v>
      </c>
      <c r="C418" s="11" t="n">
        <v>578.0288536255</v>
      </c>
      <c r="D418" s="10" t="n">
        <f aca="false">IF($D$397=TRUE(),C418,IF(C418&gt;0,C418+B$12*B$523,0))</f>
        <v>670.3599248955</v>
      </c>
      <c r="E418" s="59" t="n">
        <v>1.5</v>
      </c>
      <c r="F418" s="11" t="n">
        <v>0.9013</v>
      </c>
      <c r="G418" s="11" t="n">
        <v>0.201</v>
      </c>
      <c r="H418" s="10" t="n">
        <f aca="false">F418+G418*B$523/F$396</f>
        <v>0.945963358834783</v>
      </c>
      <c r="I418" s="44"/>
      <c r="J418" s="44"/>
      <c r="K418" s="44"/>
      <c r="L418" s="44"/>
    </row>
    <row r="419" customFormat="false" ht="15" hidden="false" customHeight="false" outlineLevel="0" collapsed="false">
      <c r="A419" s="57" t="n">
        <v>1.07</v>
      </c>
      <c r="B419" s="10" t="n">
        <f aca="false">B$399+A419</f>
        <v>1.07</v>
      </c>
      <c r="C419" s="11" t="n">
        <v>580.4365690468</v>
      </c>
      <c r="D419" s="10" t="n">
        <f aca="false">IF($D$397=TRUE(),C419,IF(C419&gt;0,C419+B$12*B$523,0))</f>
        <v>672.7676403168</v>
      </c>
    </row>
    <row r="420" customFormat="false" ht="15" hidden="false" customHeight="false" outlineLevel="0" collapsed="false">
      <c r="A420" s="57" t="n">
        <v>1.12</v>
      </c>
      <c r="B420" s="10" t="n">
        <f aca="false">B$399+A420</f>
        <v>1.12</v>
      </c>
      <c r="C420" s="11" t="n">
        <v>584.4359394805</v>
      </c>
      <c r="D420" s="10" t="n">
        <f aca="false">IF($D$397=TRUE(),C420,IF(C420&gt;0,C420+B$12*B$523,0))</f>
        <v>676.7670107505</v>
      </c>
    </row>
    <row r="421" customFormat="false" ht="15" hidden="false" customHeight="false" outlineLevel="0" collapsed="false">
      <c r="A421" s="57" t="n">
        <v>1.27</v>
      </c>
      <c r="B421" s="10" t="n">
        <f aca="false">B$399+A421</f>
        <v>1.27</v>
      </c>
      <c r="C421" s="11" t="n">
        <v>583.3770842392</v>
      </c>
      <c r="D421" s="10" t="n">
        <f aca="false">IF($D$397=TRUE(),C421,IF(C421&gt;0,C421+B$12*B$523,0))</f>
        <v>675.7081555092</v>
      </c>
    </row>
    <row r="422" customFormat="false" ht="15" hidden="false" customHeight="false" outlineLevel="0" collapsed="false">
      <c r="A422" s="57" t="n">
        <v>1.32</v>
      </c>
      <c r="B422" s="10" t="n">
        <f aca="false">B$399+A422</f>
        <v>1.32</v>
      </c>
      <c r="C422" s="11" t="n">
        <v>586.6525663763</v>
      </c>
      <c r="D422" s="10" t="n">
        <f aca="false">IF($D$397=TRUE(),C422,IF(C422&gt;0,C422+B$12*B$523,0))</f>
        <v>678.9836376463</v>
      </c>
    </row>
    <row r="423" customFormat="false" ht="15" hidden="false" customHeight="false" outlineLevel="0" collapsed="false">
      <c r="A423" s="57" t="n">
        <v>1.37</v>
      </c>
      <c r="B423" s="10" t="n">
        <f aca="false">B$399+A423</f>
        <v>1.37</v>
      </c>
      <c r="C423" s="11" t="n">
        <v>588.0239075593</v>
      </c>
      <c r="D423" s="10" t="n">
        <f aca="false">IF($D$397=TRUE(),C423,IF(C423&gt;0,C423+B$12*B$523,0))</f>
        <v>680.3549788293</v>
      </c>
    </row>
    <row r="424" customFormat="false" ht="15" hidden="false" customHeight="false" outlineLevel="0" collapsed="false">
      <c r="A424" s="57" t="n">
        <v>1.42</v>
      </c>
      <c r="B424" s="10" t="n">
        <f aca="false">B$399+A424</f>
        <v>1.42</v>
      </c>
      <c r="C424" s="11" t="n">
        <v>587.1988547492</v>
      </c>
      <c r="D424" s="10" t="n">
        <f aca="false">IF($D$397=TRUE(),C424,IF(C424&gt;0,C424+B$12*B$523,0))</f>
        <v>679.5299260192</v>
      </c>
    </row>
    <row r="425" customFormat="false" ht="15" hidden="false" customHeight="false" outlineLevel="0" collapsed="false">
      <c r="A425" s="57" t="n">
        <v>1.47</v>
      </c>
      <c r="B425" s="10" t="n">
        <f aca="false">B$399+A425</f>
        <v>1.47</v>
      </c>
      <c r="C425" s="11" t="n">
        <v>590.786822828</v>
      </c>
      <c r="D425" s="10" t="n">
        <f aca="false">IF($D$397=TRUE(),C425,IF(C425&gt;0,C425+B$12*B$523,0))</f>
        <v>683.117894098</v>
      </c>
    </row>
    <row r="426" customFormat="false" ht="15" hidden="false" customHeight="false" outlineLevel="0" collapsed="false">
      <c r="A426" s="57" t="n">
        <v>1.52</v>
      </c>
      <c r="B426" s="10" t="n">
        <f aca="false">B$399+A426</f>
        <v>1.52</v>
      </c>
      <c r="C426" s="11" t="n">
        <v>588.1228239725</v>
      </c>
      <c r="D426" s="10" t="n">
        <f aca="false">IF($D$397=TRUE(),C426,IF(C426&gt;0,C426+B$12*B$523,0))</f>
        <v>680.4538952425</v>
      </c>
    </row>
    <row r="427" customFormat="false" ht="15" hidden="false" customHeight="false" outlineLevel="0" collapsed="false">
      <c r="A427" s="57" t="n">
        <v>1.57</v>
      </c>
      <c r="B427" s="10" t="n">
        <f aca="false">B$399+A427</f>
        <v>1.57</v>
      </c>
      <c r="C427" s="11" t="n">
        <v>588.8264793664</v>
      </c>
      <c r="D427" s="10" t="n">
        <f aca="false">IF($D$397=TRUE(),C427,IF(C427&gt;0,C427+B$12*B$523,0))</f>
        <v>681.1575506364</v>
      </c>
    </row>
    <row r="428" customFormat="false" ht="15" hidden="false" customHeight="false" outlineLevel="0" collapsed="false">
      <c r="A428" s="57" t="n">
        <v>1.61</v>
      </c>
      <c r="B428" s="10" t="n">
        <f aca="false">B$399+A428</f>
        <v>1.61</v>
      </c>
      <c r="C428" s="11" t="n">
        <v>591.2252023865</v>
      </c>
      <c r="D428" s="10" t="n">
        <f aca="false">IF($D$397=TRUE(),C428,IF(C428&gt;0,C428+B$12*B$523,0))</f>
        <v>683.5562736565</v>
      </c>
    </row>
    <row r="429" customFormat="false" ht="15" hidden="false" customHeight="false" outlineLevel="0" collapsed="false">
      <c r="A429" s="57" t="n">
        <v>1.66</v>
      </c>
      <c r="B429" s="10" t="n">
        <f aca="false">B$399+A429</f>
        <v>1.66</v>
      </c>
      <c r="C429" s="11" t="n">
        <v>589.8628536047</v>
      </c>
      <c r="D429" s="10" t="n">
        <f aca="false">IF($D$397=TRUE(),C429,IF(C429&gt;0,C429+B$12*B$523,0))</f>
        <v>682.1939248747</v>
      </c>
    </row>
    <row r="430" customFormat="false" ht="15" hidden="false" customHeight="false" outlineLevel="0" collapsed="false">
      <c r="A430" s="57" t="n">
        <v>1.71</v>
      </c>
      <c r="B430" s="10" t="n">
        <f aca="false">B$399+A430</f>
        <v>1.71</v>
      </c>
      <c r="C430" s="11" t="n">
        <v>590.8879873415</v>
      </c>
      <c r="D430" s="10" t="n">
        <f aca="false">IF($D$397=TRUE(),C430,IF(C430&gt;0,C430+B$12*B$523,0))</f>
        <v>683.2190586115</v>
      </c>
    </row>
    <row r="431" customFormat="false" ht="15" hidden="false" customHeight="false" outlineLevel="0" collapsed="false">
      <c r="A431" s="57" t="n">
        <v>1.86</v>
      </c>
      <c r="B431" s="10" t="n">
        <f aca="false">B$399+A431</f>
        <v>1.86</v>
      </c>
      <c r="C431" s="11" t="n">
        <v>591.5781541336</v>
      </c>
      <c r="D431" s="10" t="n">
        <f aca="false">IF($D$397=TRUE(),C431,IF(C431&gt;0,C431+B$12*B$523,0))</f>
        <v>683.9092254036</v>
      </c>
    </row>
    <row r="432" customFormat="false" ht="15" hidden="false" customHeight="false" outlineLevel="0" collapsed="false">
      <c r="A432" s="57" t="n">
        <v>1.91</v>
      </c>
      <c r="B432" s="10" t="n">
        <f aca="false">B$399+A432</f>
        <v>1.91</v>
      </c>
      <c r="C432" s="11" t="n">
        <v>592.3132829317</v>
      </c>
      <c r="D432" s="10" t="n">
        <f aca="false">IF($D$397=TRUE(),C432,IF(C432&gt;0,C432+B$12*B$523,0))</f>
        <v>684.6443542017</v>
      </c>
    </row>
    <row r="433" customFormat="false" ht="15" hidden="false" customHeight="false" outlineLevel="0" collapsed="false">
      <c r="A433" s="57" t="n">
        <v>1.96</v>
      </c>
      <c r="B433" s="10" t="n">
        <f aca="false">B$399+A433</f>
        <v>1.96</v>
      </c>
      <c r="C433" s="11" t="n">
        <v>590.9531822502</v>
      </c>
      <c r="D433" s="10" t="n">
        <f aca="false">IF($D$397=TRUE(),C433,IF(C433&gt;0,C433+B$12*B$523,0))</f>
        <v>683.2842535202</v>
      </c>
    </row>
    <row r="434" customFormat="false" ht="15" hidden="false" customHeight="false" outlineLevel="0" collapsed="false">
      <c r="A434" s="57" t="n">
        <v>2.01</v>
      </c>
      <c r="B434" s="10" t="n">
        <f aca="false">B$399+A434</f>
        <v>2.01</v>
      </c>
      <c r="C434" s="11" t="n">
        <v>592.0525032969</v>
      </c>
      <c r="D434" s="10" t="n">
        <f aca="false">IF($D$397=TRUE(),C434,IF(C434&gt;0,C434+B$12*B$523,0))</f>
        <v>684.3835745669</v>
      </c>
    </row>
    <row r="435" customFormat="false" ht="15" hidden="false" customHeight="false" outlineLevel="0" collapsed="false">
      <c r="A435" s="57" t="n">
        <v>2.06</v>
      </c>
      <c r="B435" s="10" t="n">
        <f aca="false">B$399+A435</f>
        <v>2.06</v>
      </c>
      <c r="C435" s="11" t="n">
        <v>590.0292130269</v>
      </c>
      <c r="D435" s="10" t="n">
        <f aca="false">IF($D$397=TRUE(),C435,IF(C435&gt;0,C435+B$12*B$523,0))</f>
        <v>682.3602842969</v>
      </c>
    </row>
    <row r="436" customFormat="false" ht="15" hidden="false" customHeight="false" outlineLevel="0" collapsed="false">
      <c r="A436" s="57" t="n">
        <v>2.11</v>
      </c>
      <c r="B436" s="10" t="n">
        <f aca="false">B$399+A436</f>
        <v>2.11</v>
      </c>
      <c r="C436" s="11" t="n">
        <v>591.7220325528</v>
      </c>
      <c r="D436" s="10" t="n">
        <f aca="false">IF($D$397=TRUE(),C436,IF(C436&gt;0,C436+B$12*B$523,0))</f>
        <v>684.0531038228</v>
      </c>
    </row>
    <row r="437" customFormat="false" ht="15" hidden="false" customHeight="false" outlineLevel="0" collapsed="false">
      <c r="A437" s="57" t="n">
        <v>2.16</v>
      </c>
      <c r="B437" s="10" t="n">
        <f aca="false">B$399+A437</f>
        <v>2.16</v>
      </c>
      <c r="C437" s="11" t="n">
        <v>590.8879873415</v>
      </c>
      <c r="D437" s="10" t="n">
        <f aca="false">IF($D$397=TRUE(),C437,IF(C437&gt;0,C437+B$12*B$523,0))</f>
        <v>683.2190586115</v>
      </c>
    </row>
    <row r="438" customFormat="false" ht="15" hidden="false" customHeight="false" outlineLevel="0" collapsed="false">
      <c r="A438" s="57" t="n">
        <v>2.21</v>
      </c>
      <c r="B438" s="10" t="n">
        <f aca="false">B$399+A438</f>
        <v>2.21</v>
      </c>
      <c r="C438" s="11" t="n">
        <v>590.2854964611</v>
      </c>
      <c r="D438" s="10" t="n">
        <f aca="false">IF($D$397=TRUE(),C438,IF(C438&gt;0,C438+B$12*B$523,0))</f>
        <v>682.6165677311</v>
      </c>
    </row>
    <row r="439" customFormat="false" ht="15" hidden="false" customHeight="false" outlineLevel="0" collapsed="false">
      <c r="A439" s="57" t="n">
        <v>2.26</v>
      </c>
      <c r="B439" s="10" t="n">
        <f aca="false">B$399+A439</f>
        <v>2.26</v>
      </c>
      <c r="C439" s="11" t="n">
        <v>592.090721002</v>
      </c>
      <c r="D439" s="10" t="n">
        <f aca="false">IF($D$397=TRUE(),C439,IF(C439&gt;0,C439+B$12*B$523,0))</f>
        <v>684.421792272</v>
      </c>
    </row>
    <row r="440" customFormat="false" ht="15" hidden="false" customHeight="false" outlineLevel="0" collapsed="false">
      <c r="A440" s="57" t="n">
        <v>2.31</v>
      </c>
      <c r="B440" s="10" t="n">
        <f aca="false">B$399+A440</f>
        <v>2.31</v>
      </c>
      <c r="C440" s="11" t="n">
        <v>589.5166461585</v>
      </c>
      <c r="D440" s="10" t="n">
        <f aca="false">IF($D$397=TRUE(),C440,IF(C440&gt;0,C440+B$12*B$523,0))</f>
        <v>681.8477174285</v>
      </c>
    </row>
    <row r="441" customFormat="false" ht="15" hidden="false" customHeight="false" outlineLevel="0" collapsed="false">
      <c r="A441" s="57" t="n">
        <v>2.36</v>
      </c>
      <c r="B441" s="10" t="n">
        <f aca="false">B$399+A441</f>
        <v>2.36</v>
      </c>
      <c r="C441" s="11" t="n">
        <v>591.3218706994</v>
      </c>
      <c r="D441" s="10" t="n">
        <f aca="false">IF($D$397=TRUE(),C441,IF(C441&gt;0,C441+B$12*B$523,0))</f>
        <v>683.6529419694</v>
      </c>
    </row>
    <row r="442" customFormat="false" ht="15" hidden="false" customHeight="false" outlineLevel="0" collapsed="false">
      <c r="A442" s="57" t="n">
        <v>2.41</v>
      </c>
      <c r="B442" s="10" t="n">
        <f aca="false">B$399+A442</f>
        <v>2.41</v>
      </c>
      <c r="C442" s="11" t="n">
        <v>588.8197350655</v>
      </c>
      <c r="D442" s="10" t="n">
        <f aca="false">IF($D$397=TRUE(),C442,IF(C442&gt;0,C442+B$12*B$523,0))</f>
        <v>681.1508063355</v>
      </c>
    </row>
    <row r="443" customFormat="false" ht="15" hidden="false" customHeight="false" outlineLevel="0" collapsed="false">
      <c r="A443" s="57" t="n">
        <v>2.56</v>
      </c>
      <c r="B443" s="10" t="n">
        <f aca="false">B$399+A443</f>
        <v>2.56</v>
      </c>
      <c r="C443" s="11" t="n">
        <v>587.5225811924</v>
      </c>
      <c r="D443" s="10" t="n">
        <f aca="false">IF($D$397=TRUE(),C443,IF(C443&gt;0,C443+B$12*B$523,0))</f>
        <v>679.8536524624</v>
      </c>
    </row>
    <row r="444" customFormat="false" ht="15" hidden="false" customHeight="false" outlineLevel="0" collapsed="false">
      <c r="A444" s="57" t="n">
        <v>2.61</v>
      </c>
      <c r="B444" s="10" t="n">
        <f aca="false">B$399+A444</f>
        <v>2.61</v>
      </c>
      <c r="C444" s="11" t="n">
        <v>587.3337407672</v>
      </c>
      <c r="D444" s="10" t="n">
        <f aca="false">IF($D$397=TRUE(),C444,IF(C444&gt;0,C444+B$12*B$523,0))</f>
        <v>679.6648120372</v>
      </c>
    </row>
    <row r="445" customFormat="false" ht="15" hidden="false" customHeight="false" outlineLevel="0" collapsed="false">
      <c r="A445" s="57" t="n">
        <v>2.66</v>
      </c>
      <c r="B445" s="10" t="n">
        <f aca="false">B$399+A445</f>
        <v>2.66</v>
      </c>
      <c r="C445" s="11" t="n">
        <v>586.5311689601</v>
      </c>
      <c r="D445" s="10" t="n">
        <f aca="false">IF($D$397=TRUE(),C445,IF(C445&gt;0,C445+B$12*B$523,0))</f>
        <v>678.8622402301</v>
      </c>
    </row>
    <row r="446" customFormat="false" ht="15" hidden="false" customHeight="false" outlineLevel="0" collapsed="false">
      <c r="A446" s="57" t="n">
        <v>2.71</v>
      </c>
      <c r="B446" s="10" t="n">
        <f aca="false">B$399+A446</f>
        <v>2.71</v>
      </c>
      <c r="C446" s="11" t="n">
        <v>585.2834732936</v>
      </c>
      <c r="D446" s="10" t="n">
        <f aca="false">IF($D$397=TRUE(),C446,IF(C446&gt;0,C446+B$12*B$523,0))</f>
        <v>677.6145445636</v>
      </c>
    </row>
    <row r="447" customFormat="false" ht="15" hidden="false" customHeight="false" outlineLevel="0" collapsed="false">
      <c r="A447" s="57" t="n">
        <v>2.76</v>
      </c>
      <c r="B447" s="10" t="n">
        <f aca="false">B$399+A447</f>
        <v>2.76</v>
      </c>
      <c r="C447" s="11" t="n">
        <v>584.7259444192</v>
      </c>
      <c r="D447" s="10" t="n">
        <f aca="false">IF($D$397=TRUE(),C447,IF(C447&gt;0,C447+B$12*B$523,0))</f>
        <v>677.0570156892</v>
      </c>
    </row>
    <row r="448" customFormat="false" ht="15" hidden="false" customHeight="false" outlineLevel="0" collapsed="false">
      <c r="A448" s="57" t="n">
        <v>2.81</v>
      </c>
      <c r="B448" s="10" t="n">
        <f aca="false">B$399+A448</f>
        <v>2.81</v>
      </c>
      <c r="C448" s="11" t="n">
        <v>580.3443969345</v>
      </c>
      <c r="D448" s="10" t="n">
        <f aca="false">IF($D$397=TRUE(),C448,IF(C448&gt;0,C448+B$12*B$523,0))</f>
        <v>672.6754682045</v>
      </c>
    </row>
    <row r="449" customFormat="false" ht="15" hidden="false" customHeight="false" outlineLevel="0" collapsed="false">
      <c r="A449" s="57" t="n">
        <v>2.86</v>
      </c>
      <c r="B449" s="10" t="n">
        <f aca="false">B$399+A449</f>
        <v>2.86</v>
      </c>
      <c r="C449" s="11" t="n">
        <v>578.219942151</v>
      </c>
      <c r="D449" s="10" t="n">
        <f aca="false">IF($D$397=TRUE(),C449,IF(C449&gt;0,C449+B$12*B$523,0))</f>
        <v>670.551013421</v>
      </c>
    </row>
    <row r="450" customFormat="false" ht="15" hidden="false" customHeight="false" outlineLevel="0" collapsed="false">
      <c r="A450" s="57" t="n">
        <v>2.91</v>
      </c>
      <c r="B450" s="10" t="n">
        <f aca="false">B$399+A450</f>
        <v>2.91</v>
      </c>
      <c r="C450" s="11" t="n">
        <v>572.4355800791</v>
      </c>
      <c r="D450" s="10" t="n">
        <f aca="false">IF($D$397=TRUE(),C450,IF(C450&gt;0,C450+B$12*B$523,0))</f>
        <v>664.7666513491</v>
      </c>
    </row>
    <row r="451" customFormat="false" ht="15" hidden="false" customHeight="false" outlineLevel="0" collapsed="false">
      <c r="A451" s="57" t="n">
        <v>2.96</v>
      </c>
      <c r="B451" s="10" t="n">
        <f aca="false">B$399+A451</f>
        <v>2.96</v>
      </c>
      <c r="C451" s="11" t="n">
        <v>569.0387005258</v>
      </c>
      <c r="D451" s="10" t="n">
        <f aca="false">IF($D$397=TRUE(),C451,IF(C451&gt;0,C451+B$12*B$523,0))</f>
        <v>661.3697717958</v>
      </c>
    </row>
    <row r="452" customFormat="false" ht="15" hidden="false" customHeight="false" outlineLevel="0" collapsed="false">
      <c r="A452" s="57" t="n">
        <v>3.01</v>
      </c>
      <c r="B452" s="10" t="n">
        <f aca="false">B$399+A452</f>
        <v>3.01</v>
      </c>
      <c r="C452" s="11" t="n">
        <v>564.8145200621</v>
      </c>
      <c r="D452" s="10" t="n">
        <f aca="false">IF($D$397=TRUE(),C452,IF(C452&gt;0,C452+B$12*B$523,0))</f>
        <v>657.1455913321</v>
      </c>
    </row>
    <row r="453" customFormat="false" ht="15" hidden="false" customHeight="false" outlineLevel="0" collapsed="false">
      <c r="A453" s="57" t="n">
        <v>3.06</v>
      </c>
      <c r="B453" s="10" t="n">
        <f aca="false">B$399+A453</f>
        <v>3.06</v>
      </c>
      <c r="C453" s="11" t="n">
        <v>561.1163950686</v>
      </c>
      <c r="D453" s="10" t="n">
        <f aca="false">IF($D$397=TRUE(),C453,IF(C453&gt;0,C453+B$12*B$523,0))</f>
        <v>653.4474663386</v>
      </c>
    </row>
    <row r="454" customFormat="false" ht="15" hidden="false" customHeight="false" outlineLevel="0" collapsed="false">
      <c r="A454" s="57" t="n">
        <v>3.11</v>
      </c>
      <c r="B454" s="10" t="n">
        <f aca="false">B$399+A454</f>
        <v>3.11</v>
      </c>
      <c r="C454" s="11" t="n">
        <v>551.445067578</v>
      </c>
      <c r="D454" s="10" t="n">
        <f aca="false">IF($D$397=TRUE(),C454,IF(C454&gt;0,C454+B$12*B$523,0))</f>
        <v>643.776138848</v>
      </c>
    </row>
    <row r="455" customFormat="false" ht="15" hidden="false" customHeight="false" outlineLevel="0" collapsed="false">
      <c r="A455" s="57" t="n">
        <v>3.26</v>
      </c>
      <c r="B455" s="10" t="n">
        <f aca="false">B$399+A455</f>
        <v>3.26</v>
      </c>
      <c r="C455" s="11" t="n">
        <v>535.1890543087</v>
      </c>
      <c r="D455" s="10" t="n">
        <f aca="false">IF($D$397=TRUE(),C455,IF(C455&gt;0,C455+B$12*B$523,0))</f>
        <v>627.5201255787</v>
      </c>
    </row>
    <row r="456" customFormat="false" ht="15" hidden="false" customHeight="false" outlineLevel="0" collapsed="false">
      <c r="A456" s="57" t="n">
        <v>3.31</v>
      </c>
      <c r="B456" s="10" t="n">
        <f aca="false">B$399+A456</f>
        <v>3.31</v>
      </c>
      <c r="C456" s="11" t="n">
        <v>529.885785701</v>
      </c>
      <c r="D456" s="10" t="n">
        <f aca="false">IF($D$397=TRUE(),C456,IF(C456&gt;0,C456+B$12*B$523,0))</f>
        <v>622.216856971</v>
      </c>
    </row>
    <row r="457" customFormat="false" ht="15" hidden="false" customHeight="false" outlineLevel="0" collapsed="false">
      <c r="A457" s="57" t="n">
        <v>3.36</v>
      </c>
      <c r="B457" s="10" t="n">
        <f aca="false">B$399+A457</f>
        <v>3.36</v>
      </c>
      <c r="C457" s="11" t="n">
        <v>525.7200558451</v>
      </c>
      <c r="D457" s="10" t="n">
        <f aca="false">IF($D$397=TRUE(),C457,IF(C457&gt;0,C457+B$12*B$523,0))</f>
        <v>618.0511271151</v>
      </c>
    </row>
    <row r="458" customFormat="false" ht="15" hidden="false" customHeight="false" outlineLevel="0" collapsed="false">
      <c r="A458" s="57" t="n">
        <v>3.41</v>
      </c>
      <c r="B458" s="10" t="n">
        <f aca="false">B$399+A458</f>
        <v>3.41</v>
      </c>
      <c r="C458" s="11" t="n">
        <v>520.4482606416</v>
      </c>
      <c r="D458" s="10" t="n">
        <f aca="false">IF($D$397=TRUE(),C458,IF(C458&gt;0,C458+B$12*B$523,0))</f>
        <v>612.7793319116</v>
      </c>
    </row>
    <row r="459" customFormat="false" ht="15" hidden="false" customHeight="false" outlineLevel="0" collapsed="false">
      <c r="A459" s="57" t="n">
        <v>3.46</v>
      </c>
      <c r="B459" s="10" t="n">
        <f aca="false">B$399+A459</f>
        <v>3.46</v>
      </c>
      <c r="C459" s="11" t="n">
        <v>515.970044844</v>
      </c>
      <c r="D459" s="10" t="n">
        <f aca="false">IF($D$397=TRUE(),C459,IF(C459&gt;0,C459+B$12*B$523,0))</f>
        <v>608.301116114</v>
      </c>
    </row>
    <row r="460" customFormat="false" ht="15" hidden="false" customHeight="false" outlineLevel="0" collapsed="false">
      <c r="A460" s="57" t="n">
        <v>3.6</v>
      </c>
      <c r="B460" s="10" t="n">
        <f aca="false">B$399+A460</f>
        <v>3.6</v>
      </c>
      <c r="C460" s="11" t="n">
        <v>502.9130783016</v>
      </c>
      <c r="D460" s="10" t="n">
        <f aca="false">IF($D$397=TRUE(),C460,IF(C460&gt;0,C460+B$12*B$523,0))</f>
        <v>595.2441495716</v>
      </c>
    </row>
    <row r="461" customFormat="false" ht="15" hidden="false" customHeight="false" outlineLevel="0" collapsed="false">
      <c r="A461" s="57" t="n">
        <v>3.65</v>
      </c>
      <c r="B461" s="10" t="n">
        <f aca="false">B$399+A461</f>
        <v>3.65</v>
      </c>
      <c r="C461" s="11" t="n">
        <v>498.322457489</v>
      </c>
      <c r="D461" s="10" t="n">
        <f aca="false">IF($D$397=TRUE(),C461,IF(C461&gt;0,C461+B$12*B$523,0))</f>
        <v>590.653528759</v>
      </c>
    </row>
    <row r="462" customFormat="false" ht="15" hidden="false" customHeight="false" outlineLevel="0" collapsed="false">
      <c r="A462" s="57" t="n">
        <v>3.7</v>
      </c>
      <c r="B462" s="10" t="n">
        <f aca="false">B$399+A462</f>
        <v>3.7</v>
      </c>
      <c r="C462" s="11" t="n">
        <v>495.9709445752</v>
      </c>
      <c r="D462" s="10" t="n">
        <f aca="false">IF($D$397=TRUE(),C462,IF(C462&gt;0,C462+B$12*B$523,0))</f>
        <v>588.3020158452</v>
      </c>
    </row>
    <row r="463" customFormat="false" ht="15" hidden="false" customHeight="false" outlineLevel="0" collapsed="false">
      <c r="A463" s="57" t="n">
        <v>3.75</v>
      </c>
      <c r="B463" s="10" t="n">
        <f aca="false">B$399+A463</f>
        <v>3.75</v>
      </c>
      <c r="C463" s="11" t="n">
        <v>487.7811151823</v>
      </c>
      <c r="D463" s="10" t="n">
        <f aca="false">IF($D$397=TRUE(),C463,IF(C463&gt;0,C463+B$12*B$523,0))</f>
        <v>580.1121864523</v>
      </c>
    </row>
    <row r="464" customFormat="false" ht="15" hidden="false" customHeight="false" outlineLevel="0" collapsed="false">
      <c r="A464" s="57" t="n">
        <v>3.8</v>
      </c>
      <c r="B464" s="10" t="n">
        <f aca="false">B$399+A464</f>
        <v>3.8</v>
      </c>
      <c r="C464" s="11" t="n">
        <v>482.3002466509</v>
      </c>
      <c r="D464" s="10" t="n">
        <f aca="false">IF($D$397=TRUE(),C464,IF(C464&gt;0,C464+B$12*B$523,0))</f>
        <v>574.6313179209</v>
      </c>
    </row>
    <row r="465" customFormat="false" ht="15" hidden="false" customHeight="false" outlineLevel="0" collapsed="false">
      <c r="A465" s="57" t="n">
        <v>3.85</v>
      </c>
      <c r="B465" s="10" t="n">
        <f aca="false">B$399+A465</f>
        <v>3.85</v>
      </c>
      <c r="C465" s="11" t="n">
        <v>473.5191668791</v>
      </c>
      <c r="D465" s="10" t="n">
        <f aca="false">IF($D$397=TRUE(),C465,IF(C465&gt;0,C465+B$12*B$523,0))</f>
        <v>565.8502381491</v>
      </c>
    </row>
    <row r="466" customFormat="false" ht="15" hidden="false" customHeight="false" outlineLevel="0" collapsed="false">
      <c r="A466" s="57" t="n">
        <v>3.9</v>
      </c>
      <c r="B466" s="10" t="n">
        <f aca="false">B$399+A466</f>
        <v>3.9</v>
      </c>
      <c r="C466" s="11" t="n">
        <v>468.2945817819</v>
      </c>
      <c r="D466" s="10" t="n">
        <f aca="false">IF($D$397=TRUE(),C466,IF(C466&gt;0,C466+B$12*B$523,0))</f>
        <v>560.6256530519</v>
      </c>
    </row>
    <row r="467" customFormat="false" ht="15" hidden="false" customHeight="false" outlineLevel="0" collapsed="false">
      <c r="A467" s="57" t="n">
        <v>3.95</v>
      </c>
      <c r="B467" s="10" t="n">
        <f aca="false">B$399+A467</f>
        <v>3.95</v>
      </c>
      <c r="C467" s="11" t="n">
        <v>464.9516566358</v>
      </c>
      <c r="D467" s="10" t="n">
        <f aca="false">IF($D$397=TRUE(),C467,IF(C467&gt;0,C467+B$12*B$523,0))</f>
        <v>557.2827279058</v>
      </c>
    </row>
    <row r="468" customFormat="false" ht="15" hidden="false" customHeight="false" outlineLevel="0" collapsed="false">
      <c r="A468" s="57" t="n">
        <v>4</v>
      </c>
      <c r="B468" s="10" t="n">
        <f aca="false">B$399+A468</f>
        <v>4</v>
      </c>
      <c r="C468" s="11" t="n">
        <v>458.0477406145</v>
      </c>
      <c r="D468" s="10" t="n">
        <f aca="false">IF($D$397=TRUE(),C468,IF(C468&gt;0,C468+B$12*B$523,0))</f>
        <v>550.3788118845</v>
      </c>
    </row>
    <row r="469" customFormat="false" ht="15" hidden="false" customHeight="false" outlineLevel="0" collapsed="false">
      <c r="A469" s="57" t="n">
        <v>4.05</v>
      </c>
      <c r="B469" s="10" t="n">
        <f aca="false">B$399+A469</f>
        <v>4.05</v>
      </c>
      <c r="C469" s="11" t="n">
        <v>448.2730005101</v>
      </c>
      <c r="D469" s="10" t="n">
        <f aca="false">IF($D$397=TRUE(),C469,IF(C469&gt;0,C469+B$12*B$523,0))</f>
        <v>540.6040717801</v>
      </c>
    </row>
    <row r="470" customFormat="false" ht="15" hidden="false" customHeight="false" outlineLevel="0" collapsed="false">
      <c r="A470" s="57" t="n">
        <v>4.2</v>
      </c>
      <c r="B470" s="10" t="n">
        <f aca="false">B$399+A470</f>
        <v>4.2</v>
      </c>
      <c r="C470" s="11" t="n">
        <v>431.6168253874</v>
      </c>
      <c r="D470" s="10" t="n">
        <f aca="false">IF($D$397=TRUE(),C470,IF(C470&gt;0,C470+B$12*B$523,0))</f>
        <v>523.9478966574</v>
      </c>
    </row>
    <row r="471" customFormat="false" ht="15" hidden="false" customHeight="false" outlineLevel="0" collapsed="false">
      <c r="A471" s="57" t="n">
        <v>4.25</v>
      </c>
      <c r="B471" s="10" t="n">
        <f aca="false">B$399+A471</f>
        <v>4.25</v>
      </c>
      <c r="C471" s="11" t="n">
        <v>424.5420537433</v>
      </c>
      <c r="D471" s="10" t="n">
        <f aca="false">IF($D$397=TRUE(),C471,IF(C471&gt;0,C471+B$12*B$523,0))</f>
        <v>516.8731250133</v>
      </c>
    </row>
    <row r="472" customFormat="false" ht="15" hidden="false" customHeight="false" outlineLevel="0" collapsed="false">
      <c r="A472" s="57" t="n">
        <v>4.3</v>
      </c>
      <c r="B472" s="10" t="n">
        <f aca="false">B$399+A472</f>
        <v>4.3</v>
      </c>
      <c r="C472" s="11" t="n">
        <v>414.4345947945</v>
      </c>
      <c r="D472" s="10" t="n">
        <f aca="false">IF($D$397=TRUE(),C472,IF(C472&gt;0,C472+B$12*B$523,0))</f>
        <v>506.7656660645</v>
      </c>
    </row>
    <row r="473" customFormat="false" ht="15" hidden="false" customHeight="false" outlineLevel="0" collapsed="false">
      <c r="A473" s="57" t="n">
        <v>4.35</v>
      </c>
      <c r="B473" s="10" t="n">
        <f aca="false">B$399+A473</f>
        <v>4.35</v>
      </c>
      <c r="C473" s="11" t="n">
        <v>408.3849568872</v>
      </c>
      <c r="D473" s="10" t="n">
        <f aca="false">IF($D$397=TRUE(),C473,IF(C473&gt;0,C473+B$12*B$523,0))</f>
        <v>500.7160281572</v>
      </c>
    </row>
    <row r="474" customFormat="false" ht="15" hidden="false" customHeight="false" outlineLevel="0" collapsed="false">
      <c r="A474" s="57" t="n">
        <v>4.4</v>
      </c>
      <c r="B474" s="10" t="n">
        <f aca="false">B$399+A474</f>
        <v>4.4</v>
      </c>
      <c r="C474" s="11" t="n">
        <v>401.9981039349</v>
      </c>
      <c r="D474" s="10" t="n">
        <f aca="false">IF($D$397=TRUE(),C474,IF(C474&gt;0,C474+B$12*B$523,0))</f>
        <v>494.3291752049</v>
      </c>
    </row>
    <row r="475" customFormat="false" ht="15" hidden="false" customHeight="false" outlineLevel="0" collapsed="false">
      <c r="A475" s="57" t="n">
        <v>4.45</v>
      </c>
      <c r="B475" s="10" t="n">
        <f aca="false">B$399+A475</f>
        <v>4.45</v>
      </c>
      <c r="C475" s="11" t="n">
        <v>396.2069975621</v>
      </c>
      <c r="D475" s="10" t="n">
        <f aca="false">IF($D$397=TRUE(),C475,IF(C475&gt;0,C475+B$12*B$523,0))</f>
        <v>488.5380688321</v>
      </c>
    </row>
    <row r="476" customFormat="false" ht="15" hidden="false" customHeight="false" outlineLevel="0" collapsed="false">
      <c r="A476" s="57" t="n">
        <v>4.5</v>
      </c>
      <c r="B476" s="10" t="n">
        <f aca="false">B$399+A476</f>
        <v>4.5</v>
      </c>
      <c r="C476" s="11" t="n">
        <v>390.6474455202</v>
      </c>
      <c r="D476" s="10" t="n">
        <f aca="false">IF($D$397=TRUE(),C476,IF(C476&gt;0,C476+B$12*B$523,0))</f>
        <v>482.9785167902</v>
      </c>
    </row>
    <row r="477" customFormat="false" ht="15" hidden="false" customHeight="false" outlineLevel="0" collapsed="false">
      <c r="A477" s="57" t="n">
        <v>4.55</v>
      </c>
      <c r="B477" s="10" t="n">
        <f aca="false">B$399+A477</f>
        <v>4.55</v>
      </c>
      <c r="C477" s="11" t="n">
        <v>385.1778174903</v>
      </c>
      <c r="D477" s="10" t="n">
        <f aca="false">IF($D$397=TRUE(),C477,IF(C477&gt;0,C477+B$12*B$523,0))</f>
        <v>477.5088887603</v>
      </c>
    </row>
    <row r="478" customFormat="false" ht="15" hidden="false" customHeight="false" outlineLevel="0" collapsed="false">
      <c r="A478" s="57" t="n">
        <v>4.6</v>
      </c>
      <c r="B478" s="10" t="n">
        <f aca="false">B$399+A478</f>
        <v>4.6</v>
      </c>
      <c r="C478" s="11" t="n">
        <v>379.6070249469</v>
      </c>
      <c r="D478" s="10" t="n">
        <f aca="false">IF($D$397=TRUE(),C478,IF(C478&gt;0,C478+B$12*B$523,0))</f>
        <v>471.9380962169</v>
      </c>
    </row>
    <row r="479" customFormat="false" ht="15" hidden="false" customHeight="false" outlineLevel="0" collapsed="false">
      <c r="A479" s="57" t="n">
        <v>4.65</v>
      </c>
      <c r="B479" s="10" t="n">
        <f aca="false">B$399+A479</f>
        <v>4.65</v>
      </c>
      <c r="C479" s="11" t="n">
        <v>374.9489611253</v>
      </c>
      <c r="D479" s="10" t="n">
        <f aca="false">IF($D$397=TRUE(),C479,IF(C479&gt;0,C479+B$12*B$523,0))</f>
        <v>467.2800323953</v>
      </c>
    </row>
    <row r="480" customFormat="false" ht="15" hidden="false" customHeight="false" outlineLevel="0" collapsed="false">
      <c r="A480" s="57" t="n">
        <v>4.7</v>
      </c>
      <c r="B480" s="10" t="n">
        <f aca="false">B$399+A480</f>
        <v>4.7</v>
      </c>
      <c r="C480" s="11" t="n">
        <v>370.5809022424</v>
      </c>
      <c r="D480" s="10" t="n">
        <f aca="false">IF($D$397=TRUE(),C480,IF(C480&gt;0,C480+B$12*B$523,0))</f>
        <v>462.9119735124</v>
      </c>
    </row>
    <row r="481" customFormat="false" ht="15" hidden="false" customHeight="false" outlineLevel="0" collapsed="false">
      <c r="A481" s="57" t="n">
        <v>4.75</v>
      </c>
      <c r="B481" s="10" t="n">
        <f aca="false">B$399+A481</f>
        <v>4.75</v>
      </c>
      <c r="C481" s="11" t="n">
        <v>363.9849759622</v>
      </c>
      <c r="D481" s="10" t="n">
        <f aca="false">IF($D$397=TRUE(),C481,IF(C481&gt;0,C481+B$12*B$523,0))</f>
        <v>456.3160472322</v>
      </c>
    </row>
    <row r="482" customFormat="false" ht="15" hidden="false" customHeight="false" outlineLevel="0" collapsed="false">
      <c r="A482" s="57" t="n">
        <v>4.9</v>
      </c>
      <c r="B482" s="10" t="n">
        <f aca="false">B$399+A482</f>
        <v>4.9</v>
      </c>
      <c r="C482" s="11" t="n">
        <v>350.2828046337</v>
      </c>
      <c r="D482" s="10" t="n">
        <f aca="false">IF($D$397=TRUE(),C482,IF(C482&gt;0,C482+B$12*B$523,0))</f>
        <v>442.6138759037</v>
      </c>
    </row>
    <row r="483" customFormat="false" ht="15" hidden="false" customHeight="false" outlineLevel="0" collapsed="false">
      <c r="A483" s="57" t="n">
        <v>4.95</v>
      </c>
      <c r="B483" s="10" t="n">
        <f aca="false">B$399+A483</f>
        <v>4.95</v>
      </c>
      <c r="C483" s="11" t="n">
        <v>346.0473836685</v>
      </c>
      <c r="D483" s="10" t="n">
        <f aca="false">IF($D$397=TRUE(),C483,IF(C483&gt;0,C483+B$12*B$523,0))</f>
        <v>438.3784549385</v>
      </c>
    </row>
    <row r="484" customFormat="false" ht="15" hidden="false" customHeight="false" outlineLevel="0" collapsed="false">
      <c r="A484" s="57" t="n">
        <v>5</v>
      </c>
      <c r="B484" s="10" t="n">
        <f aca="false">B$399+A484</f>
        <v>5</v>
      </c>
      <c r="C484" s="11" t="n">
        <v>339.6200649108</v>
      </c>
      <c r="D484" s="10" t="n">
        <f aca="false">IF($D$397=TRUE(),C484,IF(C484&gt;0,C484+B$12*B$523,0))</f>
        <v>431.9511361808</v>
      </c>
    </row>
    <row r="485" customFormat="false" ht="15" hidden="false" customHeight="false" outlineLevel="0" collapsed="false">
      <c r="A485" s="57" t="n">
        <v>5.1</v>
      </c>
      <c r="B485" s="10" t="n">
        <f aca="false">B$399+A485</f>
        <v>5.1</v>
      </c>
      <c r="C485" s="11" t="n">
        <v>332.1766048175</v>
      </c>
      <c r="D485" s="10" t="n">
        <f aca="false">IF($D$397=TRUE(),C485,IF(C485&gt;0,C485+B$12*B$523,0))</f>
        <v>424.5076760875</v>
      </c>
    </row>
    <row r="486" customFormat="false" ht="15" hidden="false" customHeight="false" outlineLevel="0" collapsed="false">
      <c r="A486" s="57" t="n">
        <v>5.15</v>
      </c>
      <c r="B486" s="10" t="n">
        <f aca="false">B$399+A486</f>
        <v>5.15</v>
      </c>
      <c r="C486" s="11" t="n">
        <v>330.816504136</v>
      </c>
      <c r="D486" s="10" t="n">
        <f aca="false">IF($D$397=TRUE(),C486,IF(C486&gt;0,C486+B$12*B$523,0))</f>
        <v>423.147575406</v>
      </c>
    </row>
    <row r="487" customFormat="false" ht="15" hidden="false" customHeight="false" outlineLevel="0" collapsed="false">
      <c r="A487" s="57" t="n">
        <v>5.2</v>
      </c>
      <c r="B487" s="10" t="n">
        <f aca="false">B$399+A487</f>
        <v>5.2</v>
      </c>
      <c r="C487" s="11" t="n">
        <v>331.6730303503</v>
      </c>
      <c r="D487" s="10" t="n">
        <f aca="false">IF($D$397=TRUE(),C487,IF(C487&gt;0,C487+B$12*B$523,0))</f>
        <v>424.0041016203</v>
      </c>
    </row>
    <row r="488" customFormat="false" ht="15" hidden="false" customHeight="false" outlineLevel="0" collapsed="false">
      <c r="A488" s="57" t="n">
        <v>5.24</v>
      </c>
      <c r="B488" s="10" t="n">
        <f aca="false">B$399+A488</f>
        <v>5.24</v>
      </c>
      <c r="C488" s="11" t="n">
        <v>314.7066173862</v>
      </c>
      <c r="D488" s="10" t="n">
        <f aca="false">IF($D$397=TRUE(),C488,IF(C488&gt;0,C488+B$12*B$523,0))</f>
        <v>407.0376886562</v>
      </c>
    </row>
    <row r="489" customFormat="false" ht="15" hidden="false" customHeight="false" outlineLevel="0" collapsed="false">
      <c r="A489" s="57" t="n">
        <v>5.29</v>
      </c>
      <c r="B489" s="10" t="n">
        <f aca="false">B$399+A489</f>
        <v>5.29</v>
      </c>
      <c r="C489" s="11" t="n">
        <v>306.3953905771</v>
      </c>
      <c r="D489" s="10" t="n">
        <f aca="false">IF($D$397=TRUE(),C489,IF(C489&gt;0,C489+B$12*B$523,0))</f>
        <v>398.7264618471</v>
      </c>
    </row>
    <row r="490" customFormat="false" ht="15" hidden="false" customHeight="false" outlineLevel="0" collapsed="false">
      <c r="A490" s="57" t="n">
        <v>5.34</v>
      </c>
      <c r="B490" s="10" t="n">
        <f aca="false">B$399+A490</f>
        <v>5.34</v>
      </c>
      <c r="C490" s="11" t="n">
        <v>305.9704996204</v>
      </c>
      <c r="D490" s="10" t="n">
        <f aca="false">IF($D$397=TRUE(),C490,IF(C490&gt;0,C490+B$12*B$523,0))</f>
        <v>398.3015708904</v>
      </c>
    </row>
    <row r="491" customFormat="false" ht="15" hidden="false" customHeight="false" outlineLevel="0" collapsed="false">
      <c r="A491" s="57" t="n">
        <v>5.39</v>
      </c>
      <c r="B491" s="10" t="n">
        <f aca="false">B$399+A491</f>
        <v>5.39</v>
      </c>
      <c r="C491" s="11" t="n">
        <v>295.341481402</v>
      </c>
      <c r="D491" s="10" t="n">
        <f aca="false">IF($D$397=TRUE(),C491,IF(C491&gt;0,C491+B$12*B$523,0))</f>
        <v>387.672552672</v>
      </c>
    </row>
    <row r="492" customFormat="false" ht="15" hidden="false" customHeight="false" outlineLevel="0" collapsed="false">
      <c r="A492" s="57" t="n">
        <v>5.44</v>
      </c>
      <c r="B492" s="10" t="n">
        <f aca="false">B$399+A492</f>
        <v>5.44</v>
      </c>
      <c r="C492" s="11" t="n">
        <v>279.3529920684</v>
      </c>
      <c r="D492" s="10" t="n">
        <f aca="false">IF($D$397=TRUE(),C492,IF(C492&gt;0,C492+B$12*B$523,0))</f>
        <v>371.6840633384</v>
      </c>
    </row>
    <row r="493" customFormat="false" ht="15" hidden="false" customHeight="false" outlineLevel="0" collapsed="false">
      <c r="A493" s="57" t="n">
        <v>5.49</v>
      </c>
      <c r="B493" s="10" t="n">
        <f aca="false">B$399+A493</f>
        <v>5.49</v>
      </c>
      <c r="C493" s="11" t="n">
        <v>261.8717641356</v>
      </c>
      <c r="D493" s="10" t="n">
        <f aca="false">IF($D$397=TRUE(),C493,IF(C493&gt;0,C493+B$12*B$523,0))</f>
        <v>354.2028354056</v>
      </c>
    </row>
    <row r="494" customFormat="false" ht="15" hidden="false" customHeight="false" outlineLevel="0" collapsed="false">
      <c r="A494" s="57" t="n">
        <v>5.54</v>
      </c>
      <c r="B494" s="10" t="n">
        <f aca="false">B$399+A494</f>
        <v>5.54</v>
      </c>
      <c r="C494" s="11" t="n">
        <v>248.378666135</v>
      </c>
      <c r="D494" s="10" t="n">
        <f aca="false">IF($D$397=TRUE(),C494,IF(C494&gt;0,C494+B$12*B$523,0))</f>
        <v>340.709737405</v>
      </c>
    </row>
    <row r="495" customFormat="false" ht="15" hidden="false" customHeight="false" outlineLevel="0" collapsed="false">
      <c r="A495" s="57" t="n">
        <v>5.59</v>
      </c>
      <c r="B495" s="10" t="n">
        <f aca="false">B$399+A495</f>
        <v>5.59</v>
      </c>
      <c r="C495" s="11" t="n">
        <v>235.8275221601</v>
      </c>
      <c r="D495" s="10" t="n">
        <f aca="false">IF($D$397=TRUE(),C495,IF(C495&gt;0,C495+B$12*B$523,0))</f>
        <v>328.1585934301</v>
      </c>
    </row>
    <row r="496" customFormat="false" ht="15" hidden="false" customHeight="false" outlineLevel="0" collapsed="false">
      <c r="A496" s="57" t="n">
        <v>5.64</v>
      </c>
      <c r="B496" s="10" t="n">
        <f aca="false">B$399+A496</f>
        <v>5.64</v>
      </c>
      <c r="C496" s="11" t="n">
        <v>227.4218751384</v>
      </c>
      <c r="D496" s="10" t="n">
        <f aca="false">IF($D$397=TRUE(),C496,IF(C496&gt;0,C496+B$12*B$523,0))</f>
        <v>319.7529464084</v>
      </c>
    </row>
    <row r="497" customFormat="false" ht="15" hidden="false" customHeight="false" outlineLevel="0" collapsed="false">
      <c r="A497" s="57" t="n">
        <v>5.74</v>
      </c>
      <c r="B497" s="10" t="n">
        <f aca="false">B$399+A497</f>
        <v>5.74</v>
      </c>
      <c r="C497" s="11" t="n">
        <v>212.7148029758</v>
      </c>
      <c r="D497" s="10" t="n">
        <f aca="false">IF($D$397=TRUE(),C497,IF(C497&gt;0,C497+B$12*B$523,0))</f>
        <v>305.0458742458</v>
      </c>
    </row>
    <row r="498" customFormat="false" ht="15" hidden="false" customHeight="false" outlineLevel="0" collapsed="false">
      <c r="A498" s="57" t="n">
        <v>5.79</v>
      </c>
      <c r="B498" s="10" t="n">
        <f aca="false">B$399+A498</f>
        <v>5.79</v>
      </c>
      <c r="C498" s="11" t="n">
        <v>208.8053565541</v>
      </c>
      <c r="D498" s="10" t="n">
        <f aca="false">IF($D$397=TRUE(),C498,IF(C498&gt;0,C498+B$12*B$523,0))</f>
        <v>301.1364278241</v>
      </c>
    </row>
    <row r="499" customFormat="false" ht="15" hidden="false" customHeight="false" outlineLevel="0" collapsed="false">
      <c r="A499" s="57" t="n">
        <v>5.84</v>
      </c>
      <c r="B499" s="10" t="n">
        <f aca="false">B$399+A499</f>
        <v>5.84</v>
      </c>
      <c r="C499" s="11" t="n">
        <v>201.2607319473</v>
      </c>
      <c r="D499" s="10" t="n">
        <f aca="false">IF($D$397=TRUE(),C499,IF(C499&gt;0,C499+B$12*B$523,0))</f>
        <v>293.5918032173</v>
      </c>
    </row>
    <row r="500" customFormat="false" ht="15" hidden="false" customHeight="false" outlineLevel="0" collapsed="false">
      <c r="A500" s="57" t="n">
        <v>5.89</v>
      </c>
      <c r="B500" s="10" t="n">
        <f aca="false">B$399+A500</f>
        <v>5.89</v>
      </c>
      <c r="C500" s="11" t="n">
        <v>184.8833212618</v>
      </c>
      <c r="D500" s="10" t="n">
        <f aca="false">IF($D$397=TRUE(),C500,IF(C500&gt;0,C500+B$12*B$523,0))</f>
        <v>277.2143925318</v>
      </c>
    </row>
    <row r="501" customFormat="false" ht="15" hidden="false" customHeight="false" outlineLevel="0" collapsed="false">
      <c r="A501" s="57" t="n">
        <v>5.94</v>
      </c>
      <c r="B501" s="10" t="n">
        <f aca="false">B$399+A501</f>
        <v>5.94</v>
      </c>
      <c r="C501" s="11" t="n">
        <v>164.8055374825</v>
      </c>
      <c r="D501" s="10" t="n">
        <f aca="false">IF($D$397=TRUE(),C501,IF(C501&gt;0,C501+B$12*B$523,0))</f>
        <v>257.1366087525</v>
      </c>
    </row>
    <row r="502" customFormat="false" ht="15" hidden="false" customHeight="false" outlineLevel="0" collapsed="false">
      <c r="A502" s="57" t="n">
        <v>5.99</v>
      </c>
      <c r="B502" s="10" t="n">
        <f aca="false">B$399+A502</f>
        <v>5.99</v>
      </c>
      <c r="C502" s="11" t="n">
        <v>147.0612818146</v>
      </c>
      <c r="D502" s="10" t="n">
        <f aca="false">IF($D$397=TRUE(),C502,IF(C502&gt;0,C502+B$12*B$523,0))</f>
        <v>239.3923530846</v>
      </c>
    </row>
    <row r="503" customFormat="false" ht="15" hidden="false" customHeight="false" outlineLevel="0" collapsed="false">
      <c r="A503" s="57" t="n">
        <v>6.04</v>
      </c>
      <c r="B503" s="10" t="n">
        <f aca="false">B$399+A503</f>
        <v>6.04</v>
      </c>
      <c r="C503" s="11" t="n">
        <v>134.3662594205</v>
      </c>
      <c r="D503" s="10" t="n">
        <f aca="false">IF($D$397=TRUE(),C503,IF(C503&gt;0,C503+B$12*B$523,0))</f>
        <v>226.6973306905</v>
      </c>
    </row>
    <row r="504" customFormat="false" ht="15" hidden="false" customHeight="false" outlineLevel="0" collapsed="false">
      <c r="A504" s="57" t="n">
        <v>6.09</v>
      </c>
      <c r="B504" s="10" t="n">
        <f aca="false">B$399+A504</f>
        <v>6.09</v>
      </c>
      <c r="C504" s="11" t="n">
        <v>128.2042164982</v>
      </c>
      <c r="D504" s="10" t="n">
        <f aca="false">IF($D$397=TRUE(),C504,IF(C504&gt;0,C504+B$12*B$523,0))</f>
        <v>220.5352877682</v>
      </c>
    </row>
    <row r="505" customFormat="false" ht="15" hidden="false" customHeight="false" outlineLevel="0" collapsed="false">
      <c r="A505" s="57" t="n">
        <v>6.14</v>
      </c>
      <c r="B505" s="10" t="n">
        <f aca="false">B$399+A505</f>
        <v>6.14</v>
      </c>
      <c r="C505" s="11" t="n">
        <v>123.024593407</v>
      </c>
      <c r="D505" s="10" t="n">
        <f aca="false">IF($D$397=TRUE(),C505,IF(C505&gt;0,C505+B$12*B$523,0))</f>
        <v>215.355664677</v>
      </c>
    </row>
    <row r="506" customFormat="false" ht="15" hidden="false" customHeight="false" outlineLevel="0" collapsed="false">
      <c r="A506" s="57" t="n">
        <v>6.19</v>
      </c>
      <c r="B506" s="10" t="n">
        <f aca="false">B$399+A506</f>
        <v>6.19</v>
      </c>
      <c r="C506" s="11" t="n">
        <v>118.6565345241</v>
      </c>
      <c r="D506" s="10" t="n">
        <f aca="false">IF($D$397=TRUE(),C506,IF(C506&gt;0,C506+B$12*B$523,0))</f>
        <v>210.9876057941</v>
      </c>
    </row>
    <row r="507" customFormat="false" ht="15" hidden="false" customHeight="false" outlineLevel="0" collapsed="false">
      <c r="A507" s="57" t="n">
        <v>6.24</v>
      </c>
      <c r="B507" s="10" t="n">
        <f aca="false">B$399+A507</f>
        <v>6.24</v>
      </c>
      <c r="C507" s="11" t="n">
        <v>113.6769923596</v>
      </c>
      <c r="D507" s="10" t="n">
        <f aca="false">IF($D$397=TRUE(),C507,IF(C507&gt;0,C507+B$12*B$523,0))</f>
        <v>206.0080636296</v>
      </c>
    </row>
    <row r="508" customFormat="false" ht="15" hidden="false" customHeight="false" outlineLevel="0" collapsed="false">
      <c r="A508" s="57" t="n">
        <v>6.29</v>
      </c>
      <c r="B508" s="10" t="n">
        <f aca="false">B$399+A508</f>
        <v>6.29</v>
      </c>
      <c r="C508" s="11" t="n">
        <v>107.5374304403</v>
      </c>
      <c r="D508" s="10" t="n">
        <f aca="false">IF($D$397=TRUE(),C508,IF(C508&gt;0,C508+B$12*B$523,0))</f>
        <v>199.8685017103</v>
      </c>
    </row>
    <row r="509" customFormat="false" ht="15" hidden="false" customHeight="false" outlineLevel="0" collapsed="false">
      <c r="A509" s="57" t="n">
        <v>6.34</v>
      </c>
      <c r="B509" s="10" t="n">
        <f aca="false">B$399+A509</f>
        <v>6.34</v>
      </c>
      <c r="C509" s="11" t="n">
        <v>102.611842683</v>
      </c>
      <c r="D509" s="10" t="n">
        <f aca="false">IF($D$397=TRUE(),C509,IF(C509&gt;0,C509+B$12*B$523,0))</f>
        <v>194.942913953</v>
      </c>
    </row>
    <row r="510" customFormat="false" ht="15" hidden="false" customHeight="false" outlineLevel="0" collapsed="false">
      <c r="A510" s="57" t="n">
        <v>6.44</v>
      </c>
      <c r="B510" s="10" t="n">
        <f aca="false">B$399+A510</f>
        <v>6.44</v>
      </c>
      <c r="C510" s="11" t="n">
        <v>96.1620429223</v>
      </c>
      <c r="D510" s="10" t="n">
        <f aca="false">IF($D$397=TRUE(),C510,IF(C510&gt;0,C510+B$12*B$523,0))</f>
        <v>188.4931141923</v>
      </c>
    </row>
    <row r="511" customFormat="false" ht="15" hidden="false" customHeight="false" outlineLevel="0" collapsed="false">
      <c r="A511" s="57" t="n">
        <v>6.49</v>
      </c>
      <c r="B511" s="10" t="n">
        <f aca="false">B$399+A511</f>
        <v>6.49</v>
      </c>
      <c r="C511" s="11" t="n">
        <v>94.3343373784</v>
      </c>
      <c r="D511" s="10" t="n">
        <f aca="false">IF($D$397=TRUE(),C511,IF(C511&gt;0,C511+B$12*B$523,0))</f>
        <v>186.6654086484</v>
      </c>
    </row>
    <row r="512" customFormat="false" ht="15" hidden="false" customHeight="false" outlineLevel="0" collapsed="false">
      <c r="A512" s="57" t="n">
        <v>6.54</v>
      </c>
      <c r="B512" s="10" t="n">
        <f aca="false">B$399+A512</f>
        <v>6.54</v>
      </c>
      <c r="C512" s="11" t="n">
        <v>93.0866417119</v>
      </c>
      <c r="D512" s="10" t="n">
        <f aca="false">IF($D$397=TRUE(),C512,IF(C512&gt;0,C512+B$12*B$523,0))</f>
        <v>185.4177129819</v>
      </c>
    </row>
    <row r="513" customFormat="false" ht="15" hidden="false" customHeight="false" outlineLevel="0" collapsed="false">
      <c r="A513" s="57" t="n">
        <v>6.59</v>
      </c>
      <c r="B513" s="10" t="n">
        <f aca="false">B$399+A513</f>
        <v>6.59</v>
      </c>
      <c r="C513" s="11" t="n">
        <v>92.2953104063</v>
      </c>
      <c r="D513" s="10" t="n">
        <f aca="false">IF($D$397=TRUE(),C513,IF(C513&gt;0,C513+B$12*B$523,0))</f>
        <v>184.6263816763</v>
      </c>
    </row>
    <row r="514" customFormat="false" ht="15" hidden="false" customHeight="false" outlineLevel="0" collapsed="false">
      <c r="A514" s="57" t="n">
        <v>6.64</v>
      </c>
      <c r="B514" s="10" t="n">
        <f aca="false">B$399+A514</f>
        <v>6.64</v>
      </c>
      <c r="C514" s="11" t="n">
        <v>91.6388651187</v>
      </c>
      <c r="D514" s="10" t="n">
        <f aca="false">IF($D$397=TRUE(),C514,IF(C514&gt;0,C514+B$12*B$523,0))</f>
        <v>183.9699363887</v>
      </c>
    </row>
    <row r="515" customFormat="false" ht="15" hidden="false" customHeight="false" outlineLevel="0" collapsed="false">
      <c r="A515" s="57" t="n">
        <v>6.69</v>
      </c>
      <c r="B515" s="10" t="n">
        <f aca="false">B$399+A515</f>
        <v>6.69</v>
      </c>
      <c r="C515" s="11" t="n">
        <v>90.9689312293</v>
      </c>
      <c r="D515" s="10" t="n">
        <f aca="false">IF($D$397=TRUE(),C515,IF(C515&gt;0,C515+B$12*B$523,0))</f>
        <v>183.3000024993</v>
      </c>
    </row>
    <row r="516" customFormat="false" ht="15" hidden="false" customHeight="false" outlineLevel="0" collapsed="false">
      <c r="A516" s="57" t="n">
        <v>6.74</v>
      </c>
      <c r="B516" s="10" t="n">
        <f aca="false">B$399+A516</f>
        <v>6.74</v>
      </c>
      <c r="C516" s="11" t="n">
        <v>90.5800098774</v>
      </c>
      <c r="D516" s="10" t="n">
        <f aca="false">IF($D$397=TRUE(),C516,IF(C516&gt;0,C516+B$12*B$523,0))</f>
        <v>182.9110811474</v>
      </c>
    </row>
    <row r="517" customFormat="false" ht="15" hidden="false" customHeight="false" outlineLevel="0" collapsed="false">
      <c r="A517" s="57" t="n">
        <v>6.79</v>
      </c>
      <c r="B517" s="10" t="n">
        <f aca="false">B$399+A517</f>
        <v>6.79</v>
      </c>
      <c r="C517" s="11" t="n">
        <v>90.3686884492</v>
      </c>
      <c r="D517" s="10" t="n">
        <f aca="false">IF($D$397=TRUE(),C517,IF(C517&gt;0,C517+B$12*B$523,0))</f>
        <v>182.6997597192</v>
      </c>
    </row>
    <row r="518" customFormat="false" ht="15" hidden="false" customHeight="false" outlineLevel="0" collapsed="false">
      <c r="A518" s="57" t="n">
        <v>6.9</v>
      </c>
      <c r="B518" s="10" t="n">
        <f aca="false">B$399+A518</f>
        <v>6.9</v>
      </c>
      <c r="C518" s="11" t="n">
        <v>90.157367021</v>
      </c>
      <c r="D518" s="10" t="n">
        <f aca="false">IF($D$397=TRUE(),C518,IF(C518&gt;0,C518+B$12*B$523,0))</f>
        <v>182.488438291</v>
      </c>
    </row>
    <row r="519" customFormat="false" ht="15" hidden="false" customHeight="false" outlineLevel="0" collapsed="false">
      <c r="A519" s="57" t="n">
        <v>7</v>
      </c>
      <c r="B519" s="10" t="n">
        <f aca="false">B$399+A519</f>
        <v>7</v>
      </c>
      <c r="C519" s="11" t="n">
        <v>0</v>
      </c>
      <c r="D519" s="10" t="n">
        <f aca="false">IF($D$397=TRUE(),C519,IF(C519&gt;0,C519+B$12*B$523,0))</f>
        <v>0</v>
      </c>
    </row>
    <row r="523" customFormat="false" ht="17.25" hidden="false" customHeight="false" outlineLevel="0" collapsed="false">
      <c r="A523" s="45" t="s">
        <v>164</v>
      </c>
      <c r="B523" s="11" t="n">
        <v>0.04363</v>
      </c>
      <c r="C523" s="61"/>
    </row>
    <row r="524" customFormat="false" ht="15" hidden="false" customHeight="false" outlineLevel="0" collapsed="false">
      <c r="A524" s="45" t="s">
        <v>165</v>
      </c>
      <c r="B524" s="10" t="n">
        <f aca="false">SUMPRODUCT(D399:D518+D400:D519,A400:A519-A399:A518)/2</f>
        <v>3622.21463443028</v>
      </c>
      <c r="C524" s="61" t="s">
        <v>166</v>
      </c>
    </row>
    <row r="525" customFormat="false" ht="15" hidden="false" customHeight="false" outlineLevel="0" collapsed="false">
      <c r="A525" s="45" t="s">
        <v>167</v>
      </c>
      <c r="B525" s="10" t="n">
        <f aca="false">IF(B524=0,1,B524/B390)</f>
        <v>303.622349910333</v>
      </c>
      <c r="C525" s="61" t="s">
        <v>166</v>
      </c>
      <c r="D525" s="1" t="s">
        <v>178</v>
      </c>
    </row>
    <row r="528" customFormat="false" ht="15" hidden="false" customHeight="false" outlineLevel="0" collapsed="false">
      <c r="A528" s="18" t="s">
        <v>185</v>
      </c>
    </row>
    <row r="529" customFormat="false" ht="15" hidden="false" customHeight="true" outlineLevel="0" collapsed="false">
      <c r="A529" s="9" t="s">
        <v>186</v>
      </c>
      <c r="B529" s="9" t="s">
        <v>187</v>
      </c>
      <c r="C529" s="9" t="s">
        <v>188</v>
      </c>
      <c r="D529" s="9" t="s">
        <v>189</v>
      </c>
      <c r="E529" s="34"/>
    </row>
    <row r="530" customFormat="false" ht="15" hidden="false" customHeight="false" outlineLevel="0" collapsed="false">
      <c r="A530" s="9" t="s">
        <v>94</v>
      </c>
      <c r="B530" s="64" t="e">
        <f aca="false">IF(B82=TRUE(),C$111+C$112+C$113+C$251+C$252+C$253+C$390+C$391+C$392,NA())</f>
        <v>#N/A</v>
      </c>
      <c r="C530" s="64" t="e">
        <f aca="false">B530/B$5</f>
        <v>#N/A</v>
      </c>
      <c r="D530" s="64" t="e">
        <f aca="false">B530</f>
        <v>#N/A</v>
      </c>
      <c r="E530" s="34"/>
    </row>
    <row r="531" customFormat="false" ht="15" hidden="false" customHeight="false" outlineLevel="0" collapsed="false">
      <c r="A531" s="9" t="s">
        <v>95</v>
      </c>
      <c r="B531" s="64" t="e">
        <f aca="false">IF(B83=TRUE(),D530,NA())</f>
        <v>#N/A</v>
      </c>
      <c r="C531" s="64" t="e">
        <f aca="false">B531/B$5</f>
        <v>#N/A</v>
      </c>
      <c r="D531" s="64" t="e">
        <f aca="false">B531</f>
        <v>#N/A</v>
      </c>
      <c r="E531" s="34"/>
    </row>
    <row r="532" customFormat="false" ht="15" hidden="false" customHeight="false" outlineLevel="0" collapsed="false">
      <c r="A532" s="9" t="s">
        <v>96</v>
      </c>
      <c r="B532" s="64" t="n">
        <f aca="false">IF(B84=TRUE(),C$111+C$112+C$113+C$251+C$252+C$253+C$390+C$391+C$392,NA())</f>
        <v>61</v>
      </c>
      <c r="C532" s="64" t="n">
        <f aca="false">B532/B$5</f>
        <v>1.89594082178156</v>
      </c>
      <c r="D532" s="10" t="n">
        <f aca="false">B532</f>
        <v>61</v>
      </c>
      <c r="E532" s="34"/>
    </row>
    <row r="533" customFormat="false" ht="15" hidden="false" customHeight="false" outlineLevel="0" collapsed="false">
      <c r="A533" s="9" t="s">
        <v>97</v>
      </c>
      <c r="B533" s="64" t="n">
        <f aca="false">IF(B85=TRUE(),IF(B84=TRUE(),D532,IF(B83=TRUE(),D531,D530)),NA())</f>
        <v>61</v>
      </c>
      <c r="C533" s="64" t="n">
        <f aca="false">B533/B$5</f>
        <v>1.89594082178156</v>
      </c>
      <c r="D533" s="10" t="n">
        <f aca="false">IF(B533=FALSE(),NA(),B533-C111)</f>
        <v>51</v>
      </c>
      <c r="E533" s="34"/>
    </row>
    <row r="534" customFormat="false" ht="15" hidden="false" customHeight="false" outlineLevel="0" collapsed="false">
      <c r="A534" s="9" t="s">
        <v>98</v>
      </c>
      <c r="B534" s="65" t="n">
        <f aca="false">IF(B86=TRUE(),D533,NA())</f>
        <v>51</v>
      </c>
      <c r="C534" s="64" t="n">
        <f aca="false">B534/B$5</f>
        <v>1.5851308509977</v>
      </c>
      <c r="D534" s="10" t="n">
        <f aca="false">IF(B86=TRUE(),B534,NA())</f>
        <v>51</v>
      </c>
      <c r="E534" s="34"/>
    </row>
    <row r="535" customFormat="false" ht="15" hidden="false" customHeight="false" outlineLevel="0" collapsed="false">
      <c r="A535" s="9" t="s">
        <v>99</v>
      </c>
      <c r="B535" s="10" t="e">
        <f aca="false">IF(B87=TRUE(),IF(B86=TRUE(),D534-C112-C113,D533-C112-C113),NA())</f>
        <v>#N/A</v>
      </c>
      <c r="C535" s="64" t="e">
        <f aca="false">B535/B$5</f>
        <v>#N/A</v>
      </c>
      <c r="D535" s="10" t="e">
        <f aca="false">B535</f>
        <v>#N/A</v>
      </c>
      <c r="E535" s="34"/>
    </row>
    <row r="536" customFormat="false" ht="15" hidden="false" customHeight="false" outlineLevel="0" collapsed="false">
      <c r="A536" s="9" t="s">
        <v>100</v>
      </c>
      <c r="B536" s="10" t="e">
        <f aca="false">IF(B88=TRUE(),IF(B87=TRUE(),D535,IF(B86=TRUE(),D534-C112-C113,NA())),NA())</f>
        <v>#N/A</v>
      </c>
      <c r="C536" s="64" t="e">
        <f aca="false">B536/B$5</f>
        <v>#N/A</v>
      </c>
      <c r="D536" s="10" t="e">
        <f aca="false">IF(B536=FALSE(),NA(),B536-C251)</f>
        <v>#N/A</v>
      </c>
      <c r="E536" s="34"/>
    </row>
    <row r="537" customFormat="false" ht="15" hidden="false" customHeight="false" outlineLevel="0" collapsed="false">
      <c r="A537" s="9" t="s">
        <v>101</v>
      </c>
      <c r="B537" s="65" t="e">
        <f aca="false">IF(B89=TRUE(),D536,NA())</f>
        <v>#N/A</v>
      </c>
      <c r="C537" s="64" t="e">
        <f aca="false">B537/B$5</f>
        <v>#N/A</v>
      </c>
      <c r="D537" s="10" t="e">
        <f aca="false">IF(B89=TRUE(),B537,NA())</f>
        <v>#N/A</v>
      </c>
      <c r="E537" s="34"/>
    </row>
    <row r="538" customFormat="false" ht="15" hidden="false" customHeight="false" outlineLevel="0" collapsed="false">
      <c r="A538" s="9" t="s">
        <v>102</v>
      </c>
      <c r="B538" s="10" t="e">
        <f aca="false">IF(B90=TRUE(),IF(B89=TRUE(),D537-C252-C253,D536-C252-C253),NA())</f>
        <v>#N/A</v>
      </c>
      <c r="C538" s="64" t="e">
        <f aca="false">B538/B$5</f>
        <v>#N/A</v>
      </c>
      <c r="D538" s="10" t="e">
        <f aca="false">B538</f>
        <v>#N/A</v>
      </c>
      <c r="E538" s="34"/>
    </row>
    <row r="539" customFormat="false" ht="15" hidden="false" customHeight="false" outlineLevel="0" collapsed="false">
      <c r="A539" s="9" t="s">
        <v>103</v>
      </c>
      <c r="B539" s="10" t="e">
        <f aca="false">IF(B91=TRUE(),IF(B90=TRUE(),D538,IF(B89=TRUE(),D537-C252-C253,NA())),NA())</f>
        <v>#N/A</v>
      </c>
      <c r="C539" s="64" t="e">
        <f aca="false">B539/B$5</f>
        <v>#N/A</v>
      </c>
      <c r="D539" s="10" t="e">
        <f aca="false">IF(B539=FALSE(),NA(),B539-C390)</f>
        <v>#N/A</v>
      </c>
      <c r="E539" s="34"/>
    </row>
    <row r="540" customFormat="false" ht="15" hidden="false" customHeight="false" outlineLevel="0" collapsed="false">
      <c r="A540" s="9" t="s">
        <v>104</v>
      </c>
      <c r="B540" s="10" t="e">
        <f aca="false">IF(B92=TRUE(),D539,NA())</f>
        <v>#N/A</v>
      </c>
      <c r="C540" s="64" t="e">
        <f aca="false">B540/B$5</f>
        <v>#N/A</v>
      </c>
      <c r="D540" s="10" t="e">
        <f aca="false">B540</f>
        <v>#N/A</v>
      </c>
      <c r="E540" s="34"/>
    </row>
    <row r="541" customFormat="false" ht="15" hidden="false" customHeight="false" outlineLevel="0" collapsed="false">
      <c r="A541" s="9" t="s">
        <v>105</v>
      </c>
      <c r="B541" s="10" t="e">
        <f aca="false">IF(B93=TRUE(),IF(B91=TRUE(),D540,IF(B90=TRUE(),D538,IF(B88=TRUE(),D537,IF(B87=TRUE(),D535,D534)))),NA())</f>
        <v>#N/A</v>
      </c>
      <c r="C541" s="64" t="e">
        <f aca="false">B541/B$5</f>
        <v>#N/A</v>
      </c>
      <c r="D541" s="10" t="e">
        <f aca="false">B541</f>
        <v>#N/A</v>
      </c>
      <c r="E541" s="34"/>
    </row>
    <row r="542" customFormat="false" ht="15" hidden="false" customHeight="false" outlineLevel="0" collapsed="false">
      <c r="A542" s="9" t="s">
        <v>106</v>
      </c>
      <c r="B542" s="10" t="e">
        <f aca="false">IF(B94=TRUE(),IF(B93=TRUE(),D541,IF(B91=TRUE(),D540,IF(B90=TRUE(),D538,IF(88=TRUE(),D537,IF(B87=TRUE(),D535,IF(B85=TRUE(),D534,IF(B83=TRUE(),D531,D530))))))),NA())</f>
        <v>#N/A</v>
      </c>
      <c r="C542" s="64" t="e">
        <f aca="false">B542/B$5</f>
        <v>#N/A</v>
      </c>
      <c r="D542" s="10" t="e">
        <f aca="false">B542</f>
        <v>#N/A</v>
      </c>
      <c r="E542" s="34"/>
    </row>
    <row r="544" customFormat="false" ht="15" hidden="false" customHeight="false" outlineLevel="0" collapsed="false">
      <c r="A544" s="3" t="s">
        <v>190</v>
      </c>
      <c r="B544" s="66" t="b">
        <f aca="false">TRUE()</f>
        <v>1</v>
      </c>
      <c r="C544" s="1" t="s">
        <v>191</v>
      </c>
    </row>
    <row r="545" customFormat="false" ht="15" hidden="false" customHeight="false" outlineLevel="0" collapsed="false">
      <c r="B545" s="3" t="s">
        <v>192</v>
      </c>
      <c r="C545" s="3" t="s">
        <v>193</v>
      </c>
      <c r="D545" s="3" t="s">
        <v>194</v>
      </c>
    </row>
    <row r="546" customFormat="false" ht="15" hidden="false" customHeight="false" outlineLevel="0" collapsed="false">
      <c r="A546" s="9" t="s">
        <v>88</v>
      </c>
      <c r="B546" s="0"/>
      <c r="C546" s="1" t="str">
        <f aca="false">IF(B82=TRUE()," 1 - First Stage on Coasting Flight",IF(B84=TRUE()," 3 - First Stage Powered Flight on launcher","ERROR"))</f>
        <v> 3 - First Stage Powered Flight on launcher</v>
      </c>
      <c r="D546" s="1" t="s">
        <v>195</v>
      </c>
    </row>
    <row r="547" customFormat="false" ht="15" hidden="false" customHeight="false" outlineLevel="0" collapsed="false">
      <c r="A547" s="9" t="s">
        <v>196</v>
      </c>
      <c r="B547" s="0"/>
      <c r="C547" s="1" t="n">
        <v>0</v>
      </c>
      <c r="D547" s="0"/>
    </row>
    <row r="548" customFormat="false" ht="15" hidden="false" customHeight="false" outlineLevel="0" collapsed="false">
      <c r="A548" s="9" t="s">
        <v>197</v>
      </c>
      <c r="B548" s="0"/>
      <c r="C548" s="1" t="e">
        <f aca="false">Vrelative(B68,B67)/SOS(Temperature(0,G8,G7,B13,G11,B65),1.4,B10)</f>
        <v>#VALUE!</v>
      </c>
      <c r="D548" s="1" t="str">
        <f aca="false">"N/A"</f>
        <v>N/A</v>
      </c>
    </row>
    <row r="549" customFormat="false" ht="15" hidden="false" customHeight="false" outlineLevel="0" collapsed="false">
      <c r="A549" s="9" t="s">
        <v>198</v>
      </c>
      <c r="B549" s="0"/>
      <c r="C549" s="1" t="n">
        <f aca="false">B65</f>
        <v>1898</v>
      </c>
      <c r="D549" s="1" t="n">
        <f aca="false">B72</f>
        <v>1898</v>
      </c>
    </row>
    <row r="550" customFormat="false" ht="15" hidden="false" customHeight="false" outlineLevel="0" collapsed="false">
      <c r="A550" s="9" t="s">
        <v>199</v>
      </c>
      <c r="B550" s="0"/>
      <c r="C550" s="1" t="n">
        <f aca="false">0</f>
        <v>0</v>
      </c>
      <c r="D550" s="1" t="s">
        <v>195</v>
      </c>
    </row>
    <row r="558" customFormat="false" ht="15" hidden="false" customHeight="false" outlineLevel="0" collapsed="false">
      <c r="A558" s="0"/>
    </row>
    <row r="559" customFormat="false" ht="15" hidden="false" customHeight="false" outlineLevel="0" collapsed="false">
      <c r="A559" s="0"/>
    </row>
    <row r="560" customFormat="false" ht="15" hidden="false" customHeight="false" outlineLevel="0" collapsed="false">
      <c r="A560" s="0"/>
    </row>
    <row r="561" customFormat="false" ht="15" hidden="false" customHeight="false" outlineLevel="0" collapsed="false">
      <c r="A561" s="0"/>
    </row>
    <row r="562" customFormat="false" ht="15" hidden="false" customHeight="false" outlineLevel="0" collapsed="false">
      <c r="A562" s="0"/>
    </row>
    <row r="568" customFormat="false" ht="15" hidden="false" customHeight="false" outlineLevel="0" collapsed="false">
      <c r="E568" s="67"/>
      <c r="F568" s="67"/>
      <c r="G568" s="67"/>
      <c r="H568" s="67"/>
      <c r="I568" s="67"/>
      <c r="J568" s="67"/>
      <c r="K568" s="68"/>
      <c r="L568" s="68"/>
      <c r="M568" s="68"/>
    </row>
    <row r="576" customFormat="false" ht="15" hidden="false" customHeight="false" outlineLevel="0" collapsed="false">
      <c r="D576" s="67"/>
      <c r="E576" s="67"/>
      <c r="F576" s="67"/>
      <c r="H576" s="67"/>
      <c r="I576" s="67"/>
      <c r="J576" s="67"/>
    </row>
  </sheetData>
  <mergeCells count="8">
    <mergeCell ref="A3:D3"/>
    <mergeCell ref="F3:H3"/>
    <mergeCell ref="E76:E79"/>
    <mergeCell ref="A80:C80"/>
    <mergeCell ref="E568:G568"/>
    <mergeCell ref="H568:J568"/>
    <mergeCell ref="D576:F576"/>
    <mergeCell ref="H576:J576"/>
  </mergeCells>
  <conditionalFormatting sqref="G83:G84">
    <cfRule type="cellIs" priority="2" operator="equal" aboveAverage="0" equalAverage="0" bottom="0" percent="0" rank="0" text="" dxfId="0">
      <formula>"ERROR"</formula>
    </cfRule>
    <cfRule type="cellIs" priority="3" operator="equal" aboveAverage="0" equalAverage="0" bottom="0" percent="0" rank="0" text="" dxfId="1">
      <formula>"Pass"</formula>
    </cfRule>
  </conditionalFormatting>
  <conditionalFormatting sqref="F76:F78">
    <cfRule type="cellIs" priority="4" operator="equal" aboveAverage="0" equalAverage="0" bottom="0" percent="0" rank="0" text="" dxfId="2">
      <formula>"ERROR"</formula>
    </cfRule>
    <cfRule type="cellIs" priority="5" operator="equal" aboveAverage="0" equalAverage="0" bottom="0" percent="0" rank="0" text="" dxfId="3">
      <formula>"Good"</formula>
    </cfRule>
  </conditionalFormatting>
  <conditionalFormatting sqref="F82:F94">
    <cfRule type="cellIs" priority="6" operator="equal" aboveAverage="0" equalAverage="0" bottom="0" percent="0" rank="0" text="" dxfId="4">
      <formula>"ERROR"</formula>
    </cfRule>
    <cfRule type="cellIs" priority="7" operator="equal" aboveAverage="0" equalAverage="0" bottom="0" percent="0" rank="0" text="" dxfId="5">
      <formula>"OK"</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9" topLeftCell="S1118" activePane="bottomRight" state="frozen"/>
      <selection pane="topLeft" activeCell="A1" activeCellId="0" sqref="A1"/>
      <selection pane="topRight" activeCell="S1" activeCellId="0" sqref="S1"/>
      <selection pane="bottomLeft" activeCell="A1118" activeCellId="0" sqref="A1118"/>
      <selection pane="bottomRight" activeCell="Q1133" activeCellId="0" sqref="Q1133"/>
    </sheetView>
  </sheetViews>
  <sheetFormatPr defaultColWidth="8.96484375" defaultRowHeight="15" customHeight="false" zeroHeight="false" outlineLevelRow="0" outlineLevelCol="0"/>
  <cols>
    <col collapsed="false" customWidth="true" hidden="false" outlineLevel="0" max="1" min="1" style="0" width="9.7"/>
    <col collapsed="false" customWidth="true" hidden="false" outlineLevel="0" max="2" min="2" style="0" width="19.56"/>
    <col collapsed="false" customWidth="true" hidden="false" outlineLevel="0" max="3" min="3" style="0" width="30.28"/>
    <col collapsed="false" customWidth="true" hidden="false" outlineLevel="0" max="4" min="4" style="0" width="9.56"/>
    <col collapsed="false" customWidth="true" hidden="false" outlineLevel="0" max="5" min="5" style="0" width="15.85"/>
    <col collapsed="false" customWidth="true" hidden="false" outlineLevel="0" max="6" min="6" style="0" width="11.85"/>
    <col collapsed="false" customWidth="true" hidden="false" outlineLevel="0" max="9" min="8" style="0" width="8.56"/>
    <col collapsed="false" customWidth="true" hidden="false" outlineLevel="0" max="10" min="10" style="0" width="8.85"/>
    <col collapsed="false" customWidth="true" hidden="false" outlineLevel="0" max="12" min="11" style="0" width="8.56"/>
    <col collapsed="false" customWidth="true" hidden="false" outlineLevel="0" max="13" min="13" style="0" width="8.85"/>
    <col collapsed="false" customWidth="true" hidden="false" outlineLevel="0" max="17" min="17" style="0" width="10.41"/>
    <col collapsed="false" customWidth="true" hidden="false" outlineLevel="0" max="20" min="18" style="0" width="10.28"/>
    <col collapsed="false" customWidth="true" hidden="false" outlineLevel="0" max="22" min="21" style="0" width="9.99"/>
    <col collapsed="false" customWidth="true" hidden="false" outlineLevel="0" max="24" min="23" style="0" width="10.99"/>
    <col collapsed="false" customWidth="true" hidden="false" outlineLevel="0" max="25" min="25" style="0" width="14.7"/>
    <col collapsed="false" customWidth="true" hidden="false" outlineLevel="0" max="27" min="26" style="0" width="10.56"/>
    <col collapsed="false" customWidth="true" hidden="false" outlineLevel="0" max="28" min="28" style="0" width="12.56"/>
    <col collapsed="false" customWidth="true" hidden="false" outlineLevel="0" max="29" min="29" style="0" width="10.99"/>
    <col collapsed="false" customWidth="true" hidden="false" outlineLevel="0" max="32" min="32" style="0" width="10.71"/>
    <col collapsed="false" customWidth="true" hidden="false" outlineLevel="0" max="34" min="33" style="0" width="11.42"/>
    <col collapsed="false" customWidth="true" hidden="false" outlineLevel="0" max="35" min="35" style="0" width="11.99"/>
    <col collapsed="false" customWidth="true" hidden="false" outlineLevel="0" max="37" min="36" style="0" width="11.13"/>
    <col collapsed="false" customWidth="true" hidden="false" outlineLevel="0" max="38" min="38" style="0" width="10.56"/>
    <col collapsed="false" customWidth="true" hidden="false" outlineLevel="0" max="39" min="39" style="0" width="14.56"/>
    <col collapsed="false" customWidth="true" hidden="false" outlineLevel="0" max="40" min="40" style="0" width="13.85"/>
    <col collapsed="false" customWidth="true" hidden="false" outlineLevel="0" max="41" min="41" style="0" width="11.7"/>
    <col collapsed="false" customWidth="true" hidden="false" outlineLevel="0" max="42" min="42" style="0" width="15.56"/>
    <col collapsed="false" customWidth="true" hidden="false" outlineLevel="0" max="43" min="43" style="0" width="13.56"/>
    <col collapsed="false" customWidth="true" hidden="false" outlineLevel="0" max="44" min="44" style="0" width="17.99"/>
    <col collapsed="false" customWidth="true" hidden="false" outlineLevel="0" max="45" min="45" style="0" width="13.28"/>
    <col collapsed="false" customWidth="true" hidden="false" outlineLevel="0" max="46" min="46" style="0" width="12.7"/>
    <col collapsed="false" customWidth="true" hidden="false" outlineLevel="0" max="47" min="47" style="0" width="18.41"/>
    <col collapsed="false" customWidth="true" hidden="false" outlineLevel="0" max="48" min="48" style="0" width="12.14"/>
    <col collapsed="false" customWidth="true" hidden="false" outlineLevel="0" max="49" min="49" style="0" width="13.14"/>
    <col collapsed="false" customWidth="true" hidden="false" outlineLevel="0" max="50" min="50" style="0" width="18.85"/>
    <col collapsed="false" customWidth="true" hidden="false" outlineLevel="0" max="51" min="51" style="0" width="18.99"/>
    <col collapsed="false" customWidth="true" hidden="false" outlineLevel="0" max="52" min="52" style="0" width="19.7"/>
    <col collapsed="false" customWidth="true" hidden="false" outlineLevel="0" max="53" min="53" style="0" width="15.41"/>
  </cols>
  <sheetData>
    <row r="1" customFormat="false" ht="15" hidden="false" customHeight="false" outlineLevel="0" collapsed="false">
      <c r="A1" s="69" t="n">
        <v>1</v>
      </c>
      <c r="B1" s="69" t="n">
        <v>2</v>
      </c>
      <c r="C1" s="69" t="n">
        <v>3</v>
      </c>
      <c r="D1" s="69" t="n">
        <v>4</v>
      </c>
      <c r="E1" s="69" t="n">
        <v>5</v>
      </c>
      <c r="F1" s="69" t="n">
        <v>6</v>
      </c>
      <c r="G1" s="69" t="n">
        <v>7</v>
      </c>
      <c r="H1" s="69" t="n">
        <v>8</v>
      </c>
      <c r="I1" s="69" t="n">
        <v>9</v>
      </c>
      <c r="J1" s="69" t="n">
        <v>10</v>
      </c>
      <c r="K1" s="69" t="n">
        <v>11</v>
      </c>
      <c r="L1" s="69" t="n">
        <v>12</v>
      </c>
      <c r="M1" s="69" t="n">
        <v>13</v>
      </c>
      <c r="N1" s="69" t="n">
        <v>14</v>
      </c>
      <c r="O1" s="69" t="n">
        <v>15</v>
      </c>
      <c r="P1" s="69" t="n">
        <v>16</v>
      </c>
      <c r="Q1" s="69" t="n">
        <v>17</v>
      </c>
      <c r="R1" s="69" t="n">
        <v>18</v>
      </c>
      <c r="S1" s="69" t="n">
        <v>19</v>
      </c>
      <c r="T1" s="69" t="n">
        <v>20</v>
      </c>
      <c r="U1" s="69" t="n">
        <v>21</v>
      </c>
      <c r="V1" s="69" t="n">
        <v>22</v>
      </c>
      <c r="W1" s="69" t="n">
        <v>23</v>
      </c>
      <c r="X1" s="69" t="n">
        <v>24</v>
      </c>
      <c r="Y1" s="69" t="n">
        <v>25</v>
      </c>
      <c r="Z1" s="69" t="n">
        <v>26</v>
      </c>
      <c r="AA1" s="69" t="n">
        <v>27</v>
      </c>
      <c r="AB1" s="69" t="n">
        <v>28</v>
      </c>
      <c r="AC1" s="69" t="n">
        <v>29</v>
      </c>
      <c r="AD1" s="69" t="n">
        <v>30</v>
      </c>
      <c r="AE1" s="69" t="n">
        <v>31</v>
      </c>
      <c r="AF1" s="69" t="n">
        <v>32</v>
      </c>
      <c r="AG1" s="69" t="n">
        <v>33</v>
      </c>
      <c r="AH1" s="69" t="n">
        <v>34</v>
      </c>
      <c r="AI1" s="69" t="n">
        <v>35</v>
      </c>
      <c r="AJ1" s="69" t="n">
        <v>36</v>
      </c>
      <c r="AK1" s="69" t="n">
        <v>37</v>
      </c>
      <c r="AL1" s="69" t="n">
        <v>38</v>
      </c>
      <c r="AM1" s="69" t="n">
        <v>39</v>
      </c>
      <c r="AN1" s="69" t="n">
        <v>40</v>
      </c>
      <c r="AO1" s="69" t="n">
        <v>41</v>
      </c>
      <c r="AP1" s="69" t="n">
        <v>42</v>
      </c>
      <c r="AQ1" s="69" t="n">
        <v>43</v>
      </c>
      <c r="AR1" s="69" t="n">
        <v>44</v>
      </c>
      <c r="AS1" s="69" t="n">
        <v>45</v>
      </c>
      <c r="AT1" s="69" t="n">
        <v>46</v>
      </c>
      <c r="AU1" s="69" t="n">
        <v>47</v>
      </c>
      <c r="AV1" s="69" t="n">
        <v>48</v>
      </c>
      <c r="AW1" s="69" t="n">
        <v>49</v>
      </c>
      <c r="AX1" s="69" t="n">
        <v>50</v>
      </c>
    </row>
    <row r="2" customFormat="false" ht="67.5" hidden="false" customHeight="true" outlineLevel="0" collapsed="false">
      <c r="A2" s="70" t="s">
        <v>200</v>
      </c>
      <c r="B2" s="70" t="s">
        <v>201</v>
      </c>
      <c r="C2" s="70" t="s">
        <v>202</v>
      </c>
      <c r="D2" s="71" t="s">
        <v>203</v>
      </c>
      <c r="E2" s="71" t="s">
        <v>204</v>
      </c>
      <c r="F2" s="71" t="s">
        <v>205</v>
      </c>
      <c r="G2" s="71" t="s">
        <v>206</v>
      </c>
      <c r="H2" s="71" t="s">
        <v>207</v>
      </c>
      <c r="I2" s="71" t="s">
        <v>208</v>
      </c>
      <c r="J2" s="71" t="s">
        <v>209</v>
      </c>
      <c r="K2" s="71" t="s">
        <v>208</v>
      </c>
      <c r="L2" s="72" t="s">
        <v>210</v>
      </c>
      <c r="M2" s="71" t="s">
        <v>211</v>
      </c>
      <c r="N2" s="72" t="s">
        <v>210</v>
      </c>
      <c r="O2" s="71" t="s">
        <v>212</v>
      </c>
      <c r="P2" s="71" t="s">
        <v>213</v>
      </c>
      <c r="Q2" s="71" t="s">
        <v>214</v>
      </c>
      <c r="R2" s="71" t="s">
        <v>215</v>
      </c>
      <c r="S2" s="71" t="s">
        <v>216</v>
      </c>
      <c r="T2" s="71" t="s">
        <v>217</v>
      </c>
      <c r="U2" s="71" t="s">
        <v>197</v>
      </c>
      <c r="V2" s="71" t="s">
        <v>218</v>
      </c>
      <c r="W2" s="71" t="s">
        <v>219</v>
      </c>
      <c r="X2" s="71" t="s">
        <v>220</v>
      </c>
      <c r="Y2" s="71" t="s">
        <v>221</v>
      </c>
      <c r="Z2" s="71" t="s">
        <v>222</v>
      </c>
      <c r="AA2" s="71" t="s">
        <v>223</v>
      </c>
      <c r="AB2" s="71" t="s">
        <v>224</v>
      </c>
      <c r="AC2" s="71" t="s">
        <v>225</v>
      </c>
      <c r="AD2" s="71" t="s">
        <v>226</v>
      </c>
      <c r="AE2" s="71" t="s">
        <v>227</v>
      </c>
      <c r="AF2" s="73" t="s">
        <v>228</v>
      </c>
      <c r="AG2" s="71" t="s">
        <v>229</v>
      </c>
      <c r="AH2" s="71" t="s">
        <v>230</v>
      </c>
      <c r="AI2" s="71" t="s">
        <v>231</v>
      </c>
      <c r="AJ2" s="71" t="s">
        <v>232</v>
      </c>
      <c r="AK2" s="71" t="s">
        <v>233</v>
      </c>
      <c r="AL2" s="71" t="s">
        <v>234</v>
      </c>
      <c r="AM2" s="71" t="str">
        <f aca="false">IF(inputsheet!G18=TRUE(),("In-Plane Impact Range, ft"),IF(inputsheet!G18=FALSE(),("Cross-Plane Impact Range, ft"),"Impact Range, ft"))</f>
        <v>Impact Range, ft</v>
      </c>
      <c r="AN2" s="71" t="s">
        <v>235</v>
      </c>
      <c r="AO2" s="71" t="s">
        <v>236</v>
      </c>
      <c r="AP2" s="71" t="s">
        <v>237</v>
      </c>
      <c r="AQ2" s="71" t="s">
        <v>238</v>
      </c>
      <c r="AR2" s="71" t="s">
        <v>239</v>
      </c>
      <c r="AS2" s="71" t="s">
        <v>240</v>
      </c>
      <c r="AT2" s="71" t="s">
        <v>241</v>
      </c>
      <c r="AU2" s="71" t="s">
        <v>242</v>
      </c>
      <c r="AV2" s="71" t="s">
        <v>243</v>
      </c>
      <c r="AW2" s="71" t="s">
        <v>244</v>
      </c>
      <c r="AX2" s="71" t="s">
        <v>245</v>
      </c>
    </row>
    <row r="3" customFormat="false" ht="30" hidden="false" customHeight="true" outlineLevel="0" collapsed="false">
      <c r="A3" s="74" t="s">
        <v>246</v>
      </c>
      <c r="B3" s="75"/>
      <c r="C3" s="76"/>
      <c r="D3" s="77"/>
      <c r="E3" s="78"/>
      <c r="F3" s="79"/>
      <c r="G3" s="80"/>
      <c r="H3" s="80"/>
      <c r="I3" s="81"/>
      <c r="J3" s="81"/>
      <c r="K3" s="82"/>
      <c r="L3" s="83"/>
      <c r="M3" s="84"/>
      <c r="N3" s="84"/>
      <c r="Q3" s="85" t="s">
        <v>247</v>
      </c>
      <c r="R3" s="85" t="s">
        <v>247</v>
      </c>
      <c r="S3" s="85" t="s">
        <v>248</v>
      </c>
      <c r="T3" s="85" t="s">
        <v>249</v>
      </c>
      <c r="U3" s="85" t="s">
        <v>250</v>
      </c>
      <c r="V3" s="85" t="s">
        <v>251</v>
      </c>
      <c r="W3" s="85" t="s">
        <v>252</v>
      </c>
      <c r="X3" s="85" t="s">
        <v>253</v>
      </c>
      <c r="Y3" s="85" t="s">
        <v>254</v>
      </c>
      <c r="Z3" s="85" t="s">
        <v>255</v>
      </c>
      <c r="AA3" s="85" t="s">
        <v>256</v>
      </c>
      <c r="AB3" s="85" t="s">
        <v>257</v>
      </c>
      <c r="AC3" s="85" t="s">
        <v>258</v>
      </c>
      <c r="AD3" s="85" t="s">
        <v>259</v>
      </c>
      <c r="AE3" s="86" t="s">
        <v>260</v>
      </c>
      <c r="AF3" s="87" t="s">
        <v>261</v>
      </c>
      <c r="AG3" s="86" t="s">
        <v>262</v>
      </c>
      <c r="AH3" s="86" t="s">
        <v>263</v>
      </c>
      <c r="AI3" s="86" t="s">
        <v>264</v>
      </c>
      <c r="AJ3" s="88" t="s">
        <v>265</v>
      </c>
      <c r="AK3" s="89" t="s">
        <v>266</v>
      </c>
      <c r="AL3" s="89" t="s">
        <v>267</v>
      </c>
      <c r="AM3" s="89" t="s">
        <v>268</v>
      </c>
      <c r="AN3" s="89" t="s">
        <v>269</v>
      </c>
      <c r="AO3" s="89" t="s">
        <v>270</v>
      </c>
      <c r="AP3" s="89" t="s">
        <v>271</v>
      </c>
      <c r="AQ3" s="89" t="s">
        <v>272</v>
      </c>
      <c r="AR3" s="89" t="s">
        <v>273</v>
      </c>
      <c r="AS3" s="89" t="s">
        <v>274</v>
      </c>
      <c r="AT3" s="89" t="s">
        <v>275</v>
      </c>
      <c r="AU3" s="89" t="s">
        <v>276</v>
      </c>
      <c r="AV3" s="89" t="s">
        <v>277</v>
      </c>
      <c r="AW3" s="88" t="s">
        <v>278</v>
      </c>
      <c r="AX3" s="89" t="s">
        <v>279</v>
      </c>
    </row>
    <row r="7" customFormat="false" ht="42.75" hidden="false" customHeight="true" outlineLevel="0" collapsed="false">
      <c r="AM7" s="71" t="s">
        <v>280</v>
      </c>
      <c r="AN7" s="71" t="s">
        <v>281</v>
      </c>
      <c r="AO7" s="71" t="s">
        <v>282</v>
      </c>
      <c r="AP7" s="71" t="s">
        <v>283</v>
      </c>
      <c r="AQ7" s="71" t="s">
        <v>284</v>
      </c>
      <c r="AR7" s="71" t="s">
        <v>285</v>
      </c>
      <c r="AS7" s="71" t="s">
        <v>286</v>
      </c>
      <c r="AT7" s="71" t="s">
        <v>287</v>
      </c>
      <c r="AU7" s="71" t="s">
        <v>288</v>
      </c>
      <c r="AV7" s="71" t="s">
        <v>289</v>
      </c>
      <c r="AW7" s="71" t="s">
        <v>290</v>
      </c>
      <c r="AX7" s="71" t="s">
        <v>291</v>
      </c>
    </row>
    <row r="8" customFormat="false" ht="22.5" hidden="false" customHeight="true" outlineLevel="0" collapsed="false">
      <c r="AM8" s="90" t="s">
        <v>292</v>
      </c>
      <c r="AN8" s="90" t="s">
        <v>293</v>
      </c>
      <c r="AO8" s="90" t="s">
        <v>294</v>
      </c>
      <c r="AP8" s="90" t="s">
        <v>295</v>
      </c>
      <c r="AQ8" s="90" t="s">
        <v>296</v>
      </c>
      <c r="AR8" s="90" t="s">
        <v>297</v>
      </c>
      <c r="AS8" s="90" t="s">
        <v>298</v>
      </c>
      <c r="AT8" s="90" t="s">
        <v>299</v>
      </c>
      <c r="AU8" s="90" t="s">
        <v>300</v>
      </c>
      <c r="AV8" s="90" t="s">
        <v>301</v>
      </c>
      <c r="AW8" s="90" t="s">
        <v>302</v>
      </c>
      <c r="AX8" s="90" t="s">
        <v>303</v>
      </c>
    </row>
    <row r="9" customFormat="false" ht="16.5" hidden="false" customHeight="true" outlineLevel="0" collapsed="false"/>
    <row r="10" customFormat="false" ht="17.25" hidden="false" customHeight="true" outlineLevel="0" collapsed="false"/>
    <row r="13" customFormat="false" ht="16.5" hidden="false" customHeight="true" outlineLevel="0" collapsed="false"/>
    <row r="17"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2" activeCellId="0" sqref="H2:M9"/>
    </sheetView>
  </sheetViews>
  <sheetFormatPr defaultColWidth="8.96484375" defaultRowHeight="15" customHeight="false" zeroHeight="false" outlineLevelRow="0" outlineLevelCol="0"/>
  <cols>
    <col collapsed="false" customWidth="true" hidden="false" outlineLevel="0" max="1" min="1" style="0" width="19.85"/>
    <col collapsed="false" customWidth="true" hidden="false" outlineLevel="0" max="2" min="2" style="0" width="16.28"/>
    <col collapsed="false" customWidth="true" hidden="false" outlineLevel="0" max="4" min="3" style="0" width="11.42"/>
    <col collapsed="false" customWidth="true" hidden="false" outlineLevel="0" max="5" min="5" style="0" width="15.56"/>
    <col collapsed="false" customWidth="true" hidden="false" outlineLevel="0" max="6" min="6" style="0" width="17.56"/>
    <col collapsed="false" customWidth="true" hidden="false" outlineLevel="0" max="7" min="7" style="0" width="17.14"/>
    <col collapsed="false" customWidth="true" hidden="false" outlineLevel="0" max="8" min="8" style="0" width="13.99"/>
    <col collapsed="false" customWidth="true" hidden="false" outlineLevel="0" max="9" min="9" style="0" width="13.7"/>
    <col collapsed="false" customWidth="true" hidden="false" outlineLevel="0" max="10" min="10" style="0" width="16.13"/>
    <col collapsed="false" customWidth="true" hidden="false" outlineLevel="0" max="11" min="11" style="0" width="12.56"/>
    <col collapsed="false" customWidth="true" hidden="false" outlineLevel="0" max="12" min="12" style="0" width="11.42"/>
    <col collapsed="false" customWidth="true" hidden="false" outlineLevel="0" max="13" min="13" style="0" width="12.56"/>
    <col collapsed="false" customWidth="true" hidden="false" outlineLevel="0" max="14" min="14" style="0" width="19.14"/>
    <col collapsed="false" customWidth="true" hidden="false" outlineLevel="0" max="15" min="15" style="0" width="18.14"/>
    <col collapsed="false" customWidth="true" hidden="false" outlineLevel="0" max="16" min="16" style="0" width="18.99"/>
    <col collapsed="false" customWidth="true" hidden="false" outlineLevel="0" max="17" min="17" style="0" width="17.7"/>
    <col collapsed="false" customWidth="true" hidden="false" outlineLevel="0" max="18" min="18" style="0" width="18.56"/>
    <col collapsed="false" customWidth="true" hidden="false" outlineLevel="0" max="19" min="19" style="0" width="18.7"/>
    <col collapsed="false" customWidth="true" hidden="false" outlineLevel="0" max="20" min="20" style="0" width="11.28"/>
    <col collapsed="false" customWidth="true" hidden="false" outlineLevel="0" max="21" min="21" style="0" width="11.85"/>
    <col collapsed="false" customWidth="true" hidden="false" outlineLevel="0" max="22" min="22" style="0" width="10.41"/>
    <col collapsed="false" customWidth="true" hidden="false" outlineLevel="0" max="23" min="23" style="0" width="13.99"/>
    <col collapsed="false" customWidth="true" hidden="false" outlineLevel="0" max="25" min="25" style="0" width="10.28"/>
    <col collapsed="false" customWidth="true" hidden="false" outlineLevel="0" max="26" min="26" style="0" width="11.99"/>
    <col collapsed="false" customWidth="true" hidden="false" outlineLevel="0" max="27" min="27" style="0" width="12.7"/>
  </cols>
  <sheetData>
    <row r="1" customFormat="false" ht="15" hidden="false" customHeight="false" outlineLevel="0" collapsed="false">
      <c r="A1" s="91"/>
      <c r="B1" s="91"/>
      <c r="C1" s="91"/>
      <c r="D1" s="91"/>
      <c r="E1" s="91"/>
      <c r="F1" s="91"/>
      <c r="G1" s="91"/>
      <c r="H1" s="91"/>
      <c r="I1" s="91"/>
      <c r="J1" s="91"/>
    </row>
    <row r="2" customFormat="false" ht="30" hidden="false" customHeight="true" outlineLevel="0" collapsed="false">
      <c r="A2" s="92"/>
      <c r="B2" s="93" t="s">
        <v>304</v>
      </c>
      <c r="C2" s="93" t="s">
        <v>305</v>
      </c>
      <c r="D2" s="93" t="s">
        <v>305</v>
      </c>
      <c r="E2" s="93" t="s">
        <v>306</v>
      </c>
      <c r="F2" s="93" t="s">
        <v>306</v>
      </c>
      <c r="H2" s="94" t="s">
        <v>307</v>
      </c>
      <c r="I2" s="94" t="s">
        <v>307</v>
      </c>
      <c r="L2" s="91"/>
      <c r="N2" s="91"/>
      <c r="O2" s="91"/>
      <c r="P2" s="91"/>
      <c r="Q2" s="91"/>
      <c r="R2" s="92"/>
      <c r="S2" s="92"/>
      <c r="T2" s="91"/>
      <c r="U2" s="91"/>
      <c r="V2" s="91"/>
      <c r="W2" s="91"/>
      <c r="X2" s="91"/>
      <c r="Y2" s="95"/>
      <c r="Z2" s="95"/>
      <c r="AA2" s="95"/>
      <c r="AB2" s="91"/>
    </row>
    <row r="3" customFormat="false" ht="51.75" hidden="false" customHeight="true" outlineLevel="0" collapsed="false">
      <c r="A3" s="92"/>
      <c r="B3" s="71" t="s">
        <v>308</v>
      </c>
      <c r="C3" s="71" t="s">
        <v>309</v>
      </c>
      <c r="D3" s="71" t="s">
        <v>310</v>
      </c>
      <c r="E3" s="96" t="s">
        <v>311</v>
      </c>
      <c r="F3" s="71" t="s">
        <v>312</v>
      </c>
      <c r="G3" s="71" t="s">
        <v>313</v>
      </c>
      <c r="H3" s="71" t="s">
        <v>309</v>
      </c>
      <c r="I3" s="71" t="s">
        <v>310</v>
      </c>
      <c r="J3" s="71" t="s">
        <v>314</v>
      </c>
      <c r="K3" s="71" t="s">
        <v>315</v>
      </c>
      <c r="L3" s="71" t="s">
        <v>316</v>
      </c>
      <c r="M3" s="71" t="s">
        <v>317</v>
      </c>
      <c r="N3" s="92"/>
      <c r="O3" s="92"/>
      <c r="P3" s="92"/>
      <c r="Q3" s="92"/>
      <c r="R3" s="92"/>
      <c r="S3" s="92"/>
      <c r="T3" s="92"/>
      <c r="U3" s="92"/>
      <c r="V3" s="92"/>
      <c r="W3" s="92"/>
      <c r="X3" s="91"/>
      <c r="Y3" s="92"/>
      <c r="Z3" s="92"/>
      <c r="AA3" s="92"/>
      <c r="AB3" s="91"/>
    </row>
    <row r="4" customFormat="false" ht="15" hidden="false" customHeight="false" outlineLevel="0" collapsed="false">
      <c r="A4" s="91"/>
      <c r="B4" s="97" t="n">
        <v>1396</v>
      </c>
      <c r="C4" s="97" t="n">
        <v>0</v>
      </c>
      <c r="D4" s="97" t="n">
        <v>0</v>
      </c>
      <c r="E4" s="32" t="n">
        <v>2000</v>
      </c>
      <c r="F4" s="98" t="n">
        <v>0</v>
      </c>
      <c r="G4" s="0" t="e">
        <f aca="false">IF(B4&lt;0,interpfn(C4:C9,C4:D9,ABS(B4),2),-interpfn(C4:C9,C4:D9,ABS(B4),2))</f>
        <v>#VALUE!</v>
      </c>
      <c r="H4" s="99" t="n">
        <v>1270.6</v>
      </c>
      <c r="I4" s="99" t="n">
        <v>0</v>
      </c>
      <c r="J4" s="0" t="e">
        <f aca="false">IF(INDEX(H4:I9,MATCH(0,I4:I9,0),1)&lt;=E4,interpfn(H4:H9,H4:I9,E4,2),-interpfn(H4:H9,H4:I9,E4,2))</f>
        <v>#VALUE!</v>
      </c>
      <c r="K4" s="0" t="e">
        <f aca="false">SQRT(J4^2+G4^2)</f>
        <v>#VALUE!</v>
      </c>
      <c r="L4" s="0" t="e">
        <f aca="false">90-K4</f>
        <v>#VALUE!</v>
      </c>
      <c r="M4" s="0" t="e">
        <f aca="false">inputsheet!B73+ATAN2(J4,G4)*180/PI()</f>
        <v>#VALUE!</v>
      </c>
      <c r="N4" s="91"/>
      <c r="O4" s="91"/>
      <c r="P4" s="91"/>
      <c r="Q4" s="91"/>
      <c r="R4" s="91"/>
      <c r="S4" s="91"/>
      <c r="T4" s="91"/>
      <c r="U4" s="91"/>
      <c r="V4" s="91"/>
      <c r="W4" s="91"/>
      <c r="X4" s="91"/>
      <c r="Y4" s="91"/>
      <c r="Z4" s="91"/>
      <c r="AA4" s="91"/>
      <c r="AB4" s="91"/>
    </row>
    <row r="5" customFormat="false" ht="15" hidden="false" customHeight="false" outlineLevel="0" collapsed="false">
      <c r="C5" s="97" t="n">
        <v>611.4</v>
      </c>
      <c r="D5" s="97" t="n">
        <v>2</v>
      </c>
      <c r="H5" s="97" t="n">
        <v>1954.1</v>
      </c>
      <c r="I5" s="97" t="n">
        <v>2</v>
      </c>
      <c r="L5" s="91"/>
      <c r="N5" s="91"/>
      <c r="O5" s="91"/>
      <c r="P5" s="91"/>
      <c r="Q5" s="91"/>
      <c r="R5" s="91"/>
      <c r="S5" s="91"/>
      <c r="T5" s="91"/>
      <c r="U5" s="91"/>
      <c r="V5" s="91"/>
      <c r="W5" s="91"/>
      <c r="X5" s="91"/>
      <c r="Y5" s="91"/>
      <c r="Z5" s="91"/>
      <c r="AA5" s="91"/>
      <c r="AB5" s="91"/>
    </row>
    <row r="6" customFormat="false" ht="15" hidden="false" customHeight="false" outlineLevel="0" collapsed="false">
      <c r="C6" s="97" t="n">
        <v>1217.3</v>
      </c>
      <c r="D6" s="97" t="n">
        <v>4</v>
      </c>
      <c r="H6" s="97" t="n">
        <v>2284.1</v>
      </c>
      <c r="I6" s="97" t="n">
        <v>3</v>
      </c>
      <c r="L6" s="91"/>
      <c r="N6" s="91"/>
      <c r="O6" s="91"/>
      <c r="P6" s="91"/>
      <c r="Q6" s="91"/>
      <c r="R6" s="91"/>
      <c r="S6" s="91"/>
      <c r="T6" s="91"/>
      <c r="U6" s="91"/>
      <c r="V6" s="91"/>
      <c r="W6" s="91"/>
      <c r="X6" s="91"/>
      <c r="Y6" s="91"/>
      <c r="Z6" s="91"/>
      <c r="AA6" s="91"/>
      <c r="AB6" s="91"/>
    </row>
    <row r="7" customFormat="false" ht="15" hidden="false" customHeight="false" outlineLevel="0" collapsed="false">
      <c r="C7" s="97" t="n">
        <v>1814.6</v>
      </c>
      <c r="D7" s="97" t="n">
        <v>6</v>
      </c>
      <c r="H7" s="97" t="n">
        <v>3508.3</v>
      </c>
      <c r="I7" s="97" t="n">
        <v>7</v>
      </c>
      <c r="L7" s="91"/>
      <c r="N7" s="91"/>
      <c r="O7" s="91"/>
      <c r="P7" s="91"/>
      <c r="Q7" s="91"/>
      <c r="R7" s="91"/>
      <c r="S7" s="91"/>
      <c r="T7" s="91"/>
      <c r="U7" s="91"/>
      <c r="V7" s="91"/>
      <c r="W7" s="91"/>
      <c r="X7" s="91"/>
      <c r="Y7" s="91"/>
      <c r="Z7" s="91"/>
      <c r="AA7" s="91"/>
      <c r="AB7" s="91"/>
    </row>
    <row r="8" customFormat="false" ht="15" hidden="false" customHeight="false" outlineLevel="0" collapsed="false">
      <c r="C8" s="97" t="n">
        <v>2401.1</v>
      </c>
      <c r="D8" s="97" t="n">
        <v>8</v>
      </c>
      <c r="H8" s="97"/>
      <c r="I8" s="97"/>
      <c r="L8" s="91"/>
      <c r="N8" s="91"/>
      <c r="O8" s="91"/>
      <c r="P8" s="91"/>
      <c r="Q8" s="91"/>
      <c r="R8" s="91"/>
      <c r="S8" s="91"/>
      <c r="T8" s="91"/>
      <c r="U8" s="91"/>
      <c r="V8" s="91"/>
      <c r="W8" s="91"/>
      <c r="X8" s="91"/>
      <c r="Y8" s="91"/>
      <c r="Z8" s="91"/>
      <c r="AA8" s="91"/>
      <c r="AB8" s="91"/>
    </row>
    <row r="9" customFormat="false" ht="15" hidden="false" customHeight="false" outlineLevel="0" collapsed="false">
      <c r="C9" s="97"/>
      <c r="D9" s="97"/>
      <c r="H9" s="97"/>
      <c r="I9" s="97"/>
      <c r="L9" s="91"/>
      <c r="N9" s="91"/>
      <c r="O9" s="91"/>
      <c r="P9" s="91"/>
      <c r="Q9" s="91"/>
      <c r="R9" s="91"/>
      <c r="S9" s="91"/>
      <c r="T9" s="91"/>
      <c r="U9" s="91"/>
      <c r="V9" s="91"/>
      <c r="W9" s="91"/>
      <c r="X9" s="91"/>
      <c r="Y9" s="91"/>
      <c r="Z9" s="91"/>
      <c r="AA9" s="91"/>
      <c r="AB9" s="91"/>
    </row>
    <row r="10" customFormat="false" ht="15" hidden="false" customHeight="false" outlineLevel="0" collapsed="false">
      <c r="M10" s="91"/>
      <c r="N10" s="91"/>
      <c r="O10" s="91"/>
      <c r="P10" s="91"/>
      <c r="Q10" s="91"/>
      <c r="R10" s="91"/>
      <c r="S10" s="91"/>
      <c r="T10" s="91"/>
      <c r="U10" s="91"/>
      <c r="V10" s="91"/>
      <c r="W10" s="91"/>
      <c r="X10" s="91"/>
      <c r="Y10" s="91"/>
      <c r="Z10" s="91"/>
      <c r="AA10" s="91"/>
      <c r="AB10" s="91"/>
    </row>
    <row r="11" customFormat="false" ht="15" hidden="false" customHeight="false" outlineLevel="0" collapsed="false">
      <c r="M11" s="91"/>
      <c r="N11" s="91"/>
      <c r="O11" s="91"/>
      <c r="P11" s="91"/>
      <c r="Q11" s="91"/>
      <c r="R11" s="91"/>
      <c r="S11" s="91"/>
      <c r="T11" s="91"/>
      <c r="U11" s="91"/>
      <c r="V11" s="91"/>
      <c r="W11" s="91"/>
      <c r="X11" s="91"/>
      <c r="Y11" s="91"/>
      <c r="Z11" s="91"/>
      <c r="AA11" s="91"/>
      <c r="AB11" s="91"/>
    </row>
    <row r="12" customFormat="false" ht="15" hidden="false" customHeight="false" outlineLevel="0" collapsed="false">
      <c r="M12" s="91"/>
      <c r="N12" s="91"/>
      <c r="O12" s="91"/>
      <c r="P12" s="91"/>
      <c r="Q12" s="91"/>
      <c r="R12" s="91"/>
      <c r="S12" s="91"/>
      <c r="T12" s="91"/>
      <c r="U12" s="91"/>
      <c r="V12" s="91"/>
      <c r="W12" s="91"/>
      <c r="X12" s="91"/>
      <c r="Y12" s="91"/>
      <c r="Z12" s="91"/>
      <c r="AA12" s="91"/>
      <c r="AB12" s="91"/>
    </row>
    <row r="13" customFormat="false" ht="15" hidden="false" customHeight="false" outlineLevel="0" collapsed="false">
      <c r="M13" s="91"/>
      <c r="N13" s="91"/>
      <c r="O13" s="91"/>
      <c r="P13" s="91"/>
      <c r="Q13" s="91"/>
      <c r="R13" s="91"/>
      <c r="S13" s="91"/>
      <c r="T13" s="91"/>
      <c r="U13" s="91"/>
      <c r="V13" s="91"/>
      <c r="W13" s="91"/>
      <c r="X13" s="91"/>
      <c r="Y13" s="91"/>
      <c r="Z13" s="91"/>
      <c r="AA13" s="91"/>
      <c r="AB13" s="91"/>
    </row>
    <row r="14" customFormat="false" ht="15" hidden="false" customHeight="false" outlineLevel="0" collapsed="false">
      <c r="M14" s="91"/>
      <c r="N14" s="91"/>
      <c r="O14" s="91"/>
      <c r="P14" s="91"/>
      <c r="Q14" s="91"/>
      <c r="R14" s="91"/>
      <c r="S14" s="91"/>
      <c r="T14" s="91"/>
      <c r="U14" s="91"/>
      <c r="V14" s="91"/>
      <c r="W14" s="91"/>
      <c r="X14" s="91"/>
      <c r="Y14" s="91"/>
      <c r="Z14" s="91"/>
      <c r="AA14" s="91"/>
      <c r="AB14" s="91"/>
    </row>
    <row r="15" customFormat="false" ht="15" hidden="false" customHeight="false" outlineLevel="0" collapsed="false">
      <c r="M15" s="91"/>
      <c r="N15" s="91"/>
      <c r="O15" s="91"/>
      <c r="P15" s="91"/>
      <c r="Q15" s="91"/>
      <c r="R15" s="91"/>
      <c r="S15" s="91"/>
      <c r="T15" s="91"/>
      <c r="U15" s="91"/>
      <c r="V15" s="91"/>
      <c r="W15" s="91"/>
      <c r="X15" s="91"/>
      <c r="Y15" s="91"/>
      <c r="Z15" s="91"/>
      <c r="AA15" s="91"/>
      <c r="AB15" s="91"/>
    </row>
    <row r="16" customFormat="false" ht="15" hidden="false" customHeight="false" outlineLevel="0" collapsed="false">
      <c r="M16" s="91"/>
      <c r="N16" s="91"/>
      <c r="O16" s="91"/>
      <c r="P16" s="91"/>
      <c r="Q16" s="91"/>
      <c r="R16" s="91"/>
      <c r="S16" s="91"/>
      <c r="T16" s="91"/>
      <c r="U16" s="91"/>
      <c r="V16" s="91"/>
      <c r="W16" s="91"/>
      <c r="X16" s="91"/>
      <c r="Y16" s="91"/>
      <c r="Z16" s="91"/>
      <c r="AA16" s="91"/>
      <c r="AB16" s="91"/>
    </row>
    <row r="17" customFormat="false" ht="15" hidden="false" customHeight="false" outlineLevel="0" collapsed="false">
      <c r="M17" s="91"/>
      <c r="N17" s="91"/>
      <c r="O17" s="91"/>
      <c r="P17" s="91"/>
      <c r="Q17" s="91"/>
      <c r="R17" s="91"/>
      <c r="S17" s="91"/>
      <c r="T17" s="91"/>
      <c r="U17" s="91"/>
      <c r="V17" s="91"/>
      <c r="W17" s="91"/>
      <c r="X17" s="91"/>
      <c r="Y17" s="91"/>
      <c r="Z17" s="91"/>
      <c r="AA17" s="91"/>
      <c r="AB17" s="91"/>
    </row>
    <row r="18" customFormat="false" ht="15" hidden="false" customHeight="false" outlineLevel="0" collapsed="false">
      <c r="M18" s="91"/>
      <c r="N18" s="91"/>
      <c r="O18" s="91"/>
      <c r="P18" s="91"/>
      <c r="Q18" s="91"/>
      <c r="R18" s="91"/>
      <c r="S18" s="91"/>
      <c r="T18" s="91"/>
      <c r="U18" s="91"/>
      <c r="V18" s="91"/>
      <c r="W18" s="91"/>
      <c r="X18" s="91"/>
      <c r="Y18" s="91"/>
      <c r="Z18" s="91"/>
      <c r="AA18" s="91"/>
      <c r="AB18" s="91"/>
    </row>
    <row r="19" customFormat="false" ht="15" hidden="false" customHeight="false" outlineLevel="0" collapsed="false">
      <c r="M19" s="91"/>
      <c r="N19" s="91"/>
      <c r="O19" s="91"/>
      <c r="P19" s="91"/>
      <c r="Q19" s="91"/>
      <c r="R19" s="91"/>
      <c r="S19" s="91"/>
      <c r="T19" s="91"/>
      <c r="U19" s="91"/>
      <c r="V19" s="91"/>
      <c r="W19" s="91"/>
      <c r="X19" s="91"/>
      <c r="Y19" s="91"/>
      <c r="Z19" s="91"/>
      <c r="AA19" s="91"/>
      <c r="AB19" s="91"/>
    </row>
    <row r="20" customFormat="false" ht="15" hidden="false" customHeight="false" outlineLevel="0" collapsed="false">
      <c r="M20" s="91"/>
      <c r="N20" s="91"/>
      <c r="O20" s="91"/>
      <c r="P20" s="91"/>
      <c r="Q20" s="91"/>
      <c r="R20" s="91"/>
      <c r="S20" s="91"/>
      <c r="T20" s="91"/>
      <c r="U20" s="91"/>
      <c r="V20" s="91"/>
      <c r="W20" s="91"/>
      <c r="X20" s="91"/>
      <c r="Y20" s="91"/>
      <c r="Z20" s="91"/>
      <c r="AA20" s="91"/>
      <c r="AB20" s="91"/>
    </row>
    <row r="21" customFormat="false" ht="15" hidden="false" customHeight="false" outlineLevel="0" collapsed="false">
      <c r="M21" s="91"/>
      <c r="N21" s="91"/>
      <c r="O21" s="91"/>
      <c r="P21" s="91"/>
      <c r="Q21" s="91"/>
      <c r="R21" s="91"/>
      <c r="S21" s="91"/>
      <c r="T21" s="91"/>
      <c r="U21" s="91"/>
      <c r="V21" s="91"/>
      <c r="W21" s="91"/>
      <c r="X21" s="91"/>
      <c r="Y21" s="91"/>
      <c r="Z21" s="91"/>
      <c r="AA21" s="91"/>
      <c r="AB21" s="91"/>
    </row>
    <row r="22" customFormat="false" ht="15" hidden="false" customHeight="false" outlineLevel="0" collapsed="false">
      <c r="M22" s="91"/>
      <c r="N22" s="91"/>
      <c r="O22" s="91"/>
      <c r="P22" s="91"/>
      <c r="Q22" s="91"/>
      <c r="R22" s="91"/>
      <c r="S22" s="91"/>
      <c r="T22" s="91"/>
      <c r="U22" s="91"/>
      <c r="V22" s="91"/>
      <c r="W22" s="91"/>
      <c r="X22" s="91"/>
      <c r="Y22" s="91"/>
      <c r="Z22" s="91"/>
      <c r="AA22" s="91"/>
      <c r="AB22" s="91"/>
    </row>
    <row r="23" customFormat="false" ht="15" hidden="false" customHeight="false" outlineLevel="0" collapsed="false">
      <c r="M23" s="91"/>
      <c r="N23" s="91"/>
      <c r="O23" s="91"/>
      <c r="P23" s="91"/>
      <c r="Q23" s="91"/>
      <c r="R23" s="91"/>
      <c r="S23" s="91"/>
      <c r="T23" s="91"/>
      <c r="U23" s="91"/>
      <c r="V23" s="91"/>
      <c r="W23" s="91"/>
      <c r="X23" s="91"/>
      <c r="Y23" s="91"/>
      <c r="Z23" s="91"/>
      <c r="AA23" s="91"/>
      <c r="AB23" s="91"/>
    </row>
    <row r="24" customFormat="false" ht="15" hidden="false" customHeight="false" outlineLevel="0" collapsed="false">
      <c r="M24" s="91"/>
      <c r="N24" s="91"/>
      <c r="O24" s="91"/>
      <c r="P24" s="91"/>
      <c r="Q24" s="91"/>
      <c r="R24" s="91"/>
      <c r="S24" s="91"/>
      <c r="T24" s="91"/>
      <c r="U24" s="91"/>
      <c r="V24" s="91"/>
      <c r="W24" s="91"/>
      <c r="X24" s="91"/>
      <c r="Y24" s="91"/>
      <c r="Z24" s="91"/>
      <c r="AA24" s="91"/>
      <c r="AB24" s="91"/>
    </row>
    <row r="25" customFormat="false" ht="15" hidden="false" customHeight="false" outlineLevel="0" collapsed="false">
      <c r="M25" s="91"/>
      <c r="N25" s="91"/>
      <c r="O25" s="91"/>
      <c r="P25" s="91"/>
      <c r="Q25" s="91"/>
      <c r="R25" s="91"/>
      <c r="S25" s="91"/>
      <c r="T25" s="91"/>
      <c r="U25" s="91"/>
      <c r="V25" s="91"/>
      <c r="W25" s="91"/>
      <c r="X25" s="91"/>
      <c r="Y25" s="91"/>
      <c r="Z25" s="91"/>
      <c r="AA25" s="91"/>
      <c r="AB25" s="91"/>
    </row>
    <row r="26" customFormat="false" ht="15" hidden="false" customHeight="false" outlineLevel="0" collapsed="false">
      <c r="M26" s="91"/>
      <c r="N26" s="91"/>
      <c r="O26" s="91"/>
      <c r="P26" s="91"/>
      <c r="Q26" s="91"/>
      <c r="R26" s="91"/>
      <c r="S26" s="91"/>
      <c r="T26" s="91"/>
      <c r="U26" s="91"/>
      <c r="V26" s="91"/>
      <c r="W26" s="91"/>
      <c r="X26" s="91"/>
      <c r="Y26" s="91"/>
      <c r="Z26" s="91"/>
      <c r="AA26" s="91"/>
      <c r="AB26" s="91"/>
    </row>
    <row r="27" customFormat="false" ht="15" hidden="false" customHeight="false" outlineLevel="0" collapsed="false">
      <c r="M27" s="91"/>
      <c r="N27" s="91"/>
      <c r="O27" s="91"/>
      <c r="P27" s="91"/>
      <c r="Q27" s="91"/>
      <c r="R27" s="91"/>
      <c r="S27" s="91"/>
      <c r="T27" s="91"/>
      <c r="U27" s="91"/>
      <c r="V27" s="91"/>
      <c r="W27" s="91"/>
      <c r="X27" s="91"/>
      <c r="Y27" s="91"/>
      <c r="Z27" s="91"/>
      <c r="AA27" s="91"/>
      <c r="AB27" s="91"/>
    </row>
    <row r="28" customFormat="false" ht="15" hidden="false" customHeight="false" outlineLevel="0" collapsed="false">
      <c r="M28" s="91"/>
      <c r="N28" s="91"/>
      <c r="O28" s="91"/>
      <c r="P28" s="91"/>
      <c r="Q28" s="91"/>
      <c r="R28" s="91"/>
      <c r="S28" s="91"/>
      <c r="T28" s="91"/>
      <c r="U28" s="91"/>
      <c r="V28" s="91"/>
      <c r="W28" s="91"/>
      <c r="X28" s="91"/>
      <c r="Y28" s="91"/>
      <c r="Z28" s="91"/>
      <c r="AA28" s="91"/>
      <c r="AB28" s="91"/>
    </row>
    <row r="29" customFormat="false" ht="15" hidden="false" customHeight="false" outlineLevel="0" collapsed="false">
      <c r="M29" s="91"/>
      <c r="N29" s="91"/>
      <c r="O29" s="91"/>
      <c r="P29" s="91"/>
      <c r="Q29" s="91"/>
      <c r="R29" s="91"/>
      <c r="S29" s="91"/>
      <c r="T29" s="91"/>
      <c r="U29" s="91"/>
      <c r="V29" s="91"/>
      <c r="W29" s="91"/>
      <c r="X29" s="91"/>
      <c r="Y29" s="91"/>
      <c r="Z29" s="91"/>
      <c r="AA29" s="91"/>
      <c r="AB29" s="91"/>
    </row>
    <row r="30" customFormat="false" ht="15" hidden="false" customHeight="false" outlineLevel="0" collapsed="false">
      <c r="M30" s="91"/>
      <c r="N30" s="91"/>
      <c r="O30" s="91"/>
      <c r="P30" s="91"/>
      <c r="Q30" s="91"/>
      <c r="R30" s="91"/>
      <c r="S30" s="91"/>
      <c r="T30" s="91"/>
      <c r="U30" s="91"/>
      <c r="V30" s="91"/>
      <c r="W30" s="91"/>
      <c r="X30" s="91"/>
      <c r="Y30" s="91"/>
      <c r="Z30" s="91"/>
      <c r="AA30" s="91"/>
      <c r="AB30" s="91"/>
    </row>
    <row r="31" customFormat="false" ht="15" hidden="false" customHeight="false" outlineLevel="0" collapsed="false">
      <c r="M31" s="91"/>
      <c r="N31" s="91"/>
      <c r="O31" s="91"/>
      <c r="P31" s="91"/>
      <c r="Q31" s="91"/>
      <c r="R31" s="91"/>
      <c r="S31" s="91"/>
      <c r="T31" s="91"/>
      <c r="U31" s="91"/>
      <c r="V31" s="91"/>
      <c r="W31" s="91"/>
      <c r="X31" s="91"/>
      <c r="Y31" s="91"/>
      <c r="Z31" s="91"/>
      <c r="AA31" s="91"/>
      <c r="AB31" s="91"/>
    </row>
    <row r="32" customFormat="false" ht="15" hidden="false" customHeight="false" outlineLevel="0" collapsed="false">
      <c r="M32" s="91"/>
      <c r="N32" s="91"/>
      <c r="O32" s="91"/>
      <c r="P32" s="91"/>
      <c r="Q32" s="91"/>
      <c r="R32" s="91"/>
      <c r="S32" s="91"/>
      <c r="T32" s="91"/>
      <c r="U32" s="91"/>
      <c r="V32" s="91"/>
      <c r="W32" s="91"/>
      <c r="X32" s="91"/>
      <c r="Y32" s="91"/>
      <c r="Z32" s="91"/>
      <c r="AA32" s="91"/>
      <c r="AB32" s="91"/>
    </row>
    <row r="33" customFormat="false" ht="15" hidden="false" customHeight="false" outlineLevel="0" collapsed="false">
      <c r="M33" s="91"/>
      <c r="N33" s="91"/>
      <c r="O33" s="91"/>
      <c r="P33" s="91"/>
      <c r="Q33" s="91"/>
      <c r="R33" s="91"/>
      <c r="S33" s="91"/>
      <c r="T33" s="91"/>
      <c r="U33" s="91"/>
      <c r="V33" s="91"/>
      <c r="W33" s="91"/>
      <c r="X33" s="91"/>
      <c r="Y33" s="91"/>
      <c r="Z33" s="91"/>
      <c r="AA33" s="91"/>
      <c r="AB33" s="91"/>
    </row>
    <row r="34" customFormat="false" ht="15" hidden="false" customHeight="false" outlineLevel="0" collapsed="false">
      <c r="M34" s="91"/>
      <c r="N34" s="91"/>
      <c r="O34" s="91"/>
      <c r="P34" s="91"/>
      <c r="Q34" s="91"/>
      <c r="R34" s="91"/>
      <c r="S34" s="91"/>
      <c r="T34" s="91"/>
      <c r="U34" s="91"/>
      <c r="V34" s="91"/>
      <c r="W34" s="91"/>
      <c r="X34" s="91"/>
      <c r="Y34" s="91"/>
      <c r="Z34" s="91"/>
      <c r="AA34" s="91"/>
      <c r="AB34" s="91"/>
    </row>
    <row r="35" customFormat="false" ht="15" hidden="false" customHeight="false" outlineLevel="0" collapsed="false">
      <c r="M35" s="91"/>
      <c r="N35" s="91"/>
      <c r="O35" s="91"/>
      <c r="P35" s="91"/>
      <c r="Q35" s="91"/>
      <c r="R35" s="91"/>
      <c r="S35" s="91"/>
      <c r="T35" s="91"/>
      <c r="U35" s="91"/>
      <c r="V35" s="91"/>
      <c r="W35" s="91"/>
      <c r="X35" s="91"/>
      <c r="Y35" s="91"/>
      <c r="Z35" s="91"/>
      <c r="AA35" s="91"/>
      <c r="AB35" s="91"/>
    </row>
    <row r="36" customFormat="false" ht="15" hidden="false" customHeight="false" outlineLevel="0" collapsed="false">
      <c r="D36" s="91"/>
      <c r="M36" s="91"/>
      <c r="N36" s="91"/>
      <c r="O36" s="91"/>
      <c r="P36" s="91"/>
      <c r="Q36" s="91"/>
      <c r="R36" s="91"/>
      <c r="S36" s="91"/>
      <c r="T36" s="91"/>
      <c r="U36" s="91"/>
      <c r="V36" s="91"/>
      <c r="W36" s="91"/>
      <c r="X36" s="91"/>
      <c r="Y36" s="91"/>
      <c r="Z36" s="91"/>
      <c r="AA36" s="91"/>
      <c r="AB36" s="91"/>
    </row>
    <row r="37" customFormat="false" ht="15" hidden="false" customHeight="false" outlineLevel="0" collapsed="false">
      <c r="D37" s="91"/>
      <c r="M37" s="91"/>
      <c r="N37" s="91"/>
      <c r="O37" s="91"/>
      <c r="P37" s="91"/>
      <c r="Q37" s="91"/>
      <c r="R37" s="91"/>
      <c r="S37" s="91"/>
      <c r="T37" s="91"/>
      <c r="U37" s="91"/>
      <c r="V37" s="91"/>
      <c r="W37" s="91"/>
      <c r="X37" s="91"/>
      <c r="Y37" s="91"/>
      <c r="Z37" s="91"/>
      <c r="AA37" s="91"/>
      <c r="AB37" s="91"/>
    </row>
    <row r="38" customFormat="false" ht="15" hidden="false" customHeight="false" outlineLevel="0" collapsed="false">
      <c r="D38" s="91"/>
    </row>
    <row r="39" customFormat="false" ht="15" hidden="false" customHeight="false" outlineLevel="0" collapsed="false">
      <c r="C39" s="91"/>
      <c r="D39" s="91"/>
      <c r="E39" s="91"/>
    </row>
    <row r="40" customFormat="false" ht="15" hidden="false" customHeight="false" outlineLevel="0" collapsed="false">
      <c r="C40" s="91"/>
      <c r="D40" s="91"/>
      <c r="E40" s="91"/>
    </row>
    <row r="41" customFormat="false" ht="15" hidden="false" customHeight="false" outlineLevel="0" collapsed="false">
      <c r="C41" s="91"/>
      <c r="D41" s="91"/>
      <c r="E41" s="91"/>
    </row>
    <row r="42" customFormat="false" ht="15" hidden="false" customHeight="false" outlineLevel="0" collapsed="false">
      <c r="C42" s="91"/>
      <c r="D42" s="91"/>
      <c r="E42" s="91"/>
    </row>
    <row r="43" customFormat="false" ht="15" hidden="false" customHeight="false" outlineLevel="0" collapsed="false">
      <c r="C43" s="91"/>
      <c r="D43" s="91"/>
      <c r="E43" s="91"/>
    </row>
    <row r="44" customFormat="false" ht="15" hidden="false" customHeight="false" outlineLevel="0" collapsed="false">
      <c r="C44" s="91"/>
      <c r="D44" s="91"/>
      <c r="E44" s="91"/>
    </row>
    <row r="45" customFormat="false" ht="15" hidden="false" customHeight="false" outlineLevel="0" collapsed="false">
      <c r="C45" s="91"/>
      <c r="D45" s="91"/>
      <c r="E45" s="91"/>
    </row>
    <row r="46" customFormat="false" ht="15" hidden="false" customHeight="false" outlineLevel="0" collapsed="false">
      <c r="C46" s="91"/>
      <c r="D46" s="91"/>
      <c r="E46" s="91"/>
    </row>
    <row r="47" customFormat="false" ht="15" hidden="false" customHeight="false" outlineLevel="0" collapsed="false">
      <c r="C47" s="91"/>
      <c r="D47" s="91"/>
      <c r="E47" s="91"/>
    </row>
    <row r="48" customFormat="false" ht="15" hidden="false" customHeight="false" outlineLevel="0" collapsed="false">
      <c r="C48" s="91"/>
      <c r="D48" s="91"/>
      <c r="E48" s="91"/>
    </row>
    <row r="49" customFormat="false" ht="15" hidden="false" customHeight="false" outlineLevel="0" collapsed="false">
      <c r="C49" s="91"/>
      <c r="D49" s="91"/>
      <c r="E49" s="91"/>
    </row>
    <row r="50" customFormat="false" ht="15" hidden="false" customHeight="false" outlineLevel="0" collapsed="false">
      <c r="C50" s="91"/>
      <c r="D50" s="91"/>
      <c r="E50" s="91"/>
    </row>
    <row r="51" customFormat="false" ht="15" hidden="false" customHeight="false" outlineLevel="0" collapsed="false">
      <c r="C51" s="91"/>
      <c r="D51" s="91"/>
      <c r="E51" s="91"/>
    </row>
    <row r="52" customFormat="false" ht="15" hidden="false" customHeight="false" outlineLevel="0" collapsed="false">
      <c r="C52" s="91"/>
      <c r="D52" s="91"/>
      <c r="E52" s="91"/>
    </row>
    <row r="53" customFormat="false" ht="15" hidden="false" customHeight="false" outlineLevel="0" collapsed="false">
      <c r="C53" s="91"/>
      <c r="D53" s="91"/>
      <c r="E53" s="91"/>
    </row>
    <row r="54" customFormat="false" ht="15" hidden="false" customHeight="false" outlineLevel="0" collapsed="false">
      <c r="C54" s="91"/>
      <c r="D54" s="91"/>
      <c r="E54" s="91"/>
    </row>
    <row r="55" customFormat="false" ht="15" hidden="false" customHeight="false" outlineLevel="0" collapsed="false">
      <c r="C55" s="91"/>
      <c r="D55" s="91"/>
      <c r="E55" s="91"/>
    </row>
    <row r="56" customFormat="false" ht="15" hidden="false" customHeight="false" outlineLevel="0" collapsed="false">
      <c r="C56" s="91"/>
      <c r="D56" s="91"/>
      <c r="E56" s="91"/>
    </row>
    <row r="57" customFormat="false" ht="15" hidden="false" customHeight="false" outlineLevel="0" collapsed="false">
      <c r="C57" s="91"/>
      <c r="D57" s="91"/>
      <c r="E57" s="91"/>
    </row>
    <row r="58" customFormat="false" ht="15" hidden="false" customHeight="false" outlineLevel="0" collapsed="false">
      <c r="C58" s="91"/>
      <c r="D58" s="91"/>
      <c r="E58" s="91"/>
    </row>
    <row r="59" customFormat="false" ht="15" hidden="false" customHeight="false" outlineLevel="0" collapsed="false">
      <c r="C59" s="91"/>
      <c r="D59" s="91"/>
      <c r="E59" s="91"/>
    </row>
    <row r="60" customFormat="false" ht="15" hidden="false" customHeight="false" outlineLevel="0" collapsed="false">
      <c r="C60" s="91"/>
      <c r="D60" s="91"/>
      <c r="E60" s="91"/>
    </row>
    <row r="61" customFormat="false" ht="15" hidden="false" customHeight="false" outlineLevel="0" collapsed="false">
      <c r="C61" s="91"/>
      <c r="D61" s="91"/>
      <c r="E61" s="91"/>
    </row>
    <row r="62" customFormat="false" ht="15" hidden="false" customHeight="false" outlineLevel="0" collapsed="false">
      <c r="C62" s="91"/>
      <c r="D62" s="91"/>
      <c r="E62" s="91"/>
    </row>
    <row r="63" customFormat="false" ht="15" hidden="false" customHeight="false" outlineLevel="0" collapsed="false">
      <c r="C63" s="91"/>
      <c r="D63" s="91"/>
      <c r="E63" s="91"/>
    </row>
  </sheetData>
  <mergeCells count="1">
    <mergeCell ref="Y2:AA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5" activeCellId="0" sqref="B25"/>
    </sheetView>
  </sheetViews>
  <sheetFormatPr defaultColWidth="8.96484375" defaultRowHeight="15" customHeight="false"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2010-01-19T22:17:52Z</dcterms:created>
  <dc:creator>Armando Fuentes;Hien Tran;Michael Tong;Charley Hoult</dc:creator>
  <dc:description/>
  <dc:language>en-US</dc:language>
  <cp:lastModifiedBy>AirBlaze_W</cp:lastModifiedBy>
  <dcterms:modified xsi:type="dcterms:W3CDTF">2014-02-25T18:14:15Z</dcterms:modified>
  <cp:revision>0</cp:revision>
  <dc:subject/>
  <dc:title/>
</cp:coreProperties>
</file>