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<sst xmlns="http://schemas.openxmlformats.org/spreadsheetml/2006/main" count="17" uniqueCount="14">
  <si>
    <t xml:space="preserve">From SKYAERO  QE = 90º</t>
  </si>
  <si>
    <t xml:space="preserve">from SKYAERO  zero wind</t>
  </si>
  <si>
    <t xml:space="preserve">from Flt Ops</t>
  </si>
  <si>
    <t xml:space="preserve">In-Plane Component of Wind-Induced Impact Displacement, ft</t>
  </si>
  <si>
    <t xml:space="preserve">Cross-Plane Component of Wind-Induced Impact Displacement, ft</t>
  </si>
  <si>
    <t xml:space="preserve">Impact Point Range, ft</t>
  </si>
  <si>
    <t xml:space="preserve">Quadrant Elevation Angle, deg</t>
  </si>
  <si>
    <t xml:space="preserve">dQE/dRange, deg/ft</t>
  </si>
  <si>
    <t xml:space="preserve">Desired Impact Point Azimuth, deg</t>
  </si>
  <si>
    <t xml:space="preserve">Desired Range to Impact Pointt, ft</t>
  </si>
  <si>
    <t xml:space="preserve">In-Plane Launcher Quadrant Elevation Angle Setting, deg</t>
  </si>
  <si>
    <t xml:space="preserve">Cross-Plane Launcher Quadrant Elevation Angle Setting, deg</t>
  </si>
  <si>
    <t xml:space="preserve">Total Launcher Quadrant Elevation, deg</t>
  </si>
  <si>
    <t xml:space="preserve">Total Launcher Azimuth, deg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</si>
</sst>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7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FFCC00"/>
        <bgColor rgb="FFFFFF00"/>
      </patternFill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>
        <color rgb="FFC0C0C0"/>
      </right>
      <top style="thin">
        <color rgb="FFC0C0C0"/>
      </top>
      <bottom/>
      <diagonal/>
    </border>
    <border diagonalUp="false" diagonalDown="false">
      <left/>
      <right/>
      <top style="thin">
        <color rgb="FFC0C0C0"/>
      </top>
      <bottom style="thin">
        <color rgb="FFC0C0C0"/>
      </bottom>
      <diagonal/>
    </border>
    <border diagonalUp="false" diagonalDown="false">
      <left/>
      <right/>
      <top/>
      <bottom style="thin">
        <color rgb="FFC0C0C0"/>
      </bottom>
      <diagonal/>
    </border>
    <border diagonalUp="false" diagonalDown="false"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12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2" min="2" style="0" width="14.85"/>
    <col collapsed="false" customWidth="true" hidden="false" outlineLevel="0" max="3" min="3" style="0" width="15.13"/>
    <col collapsed="false" customWidth="true" hidden="false" outlineLevel="0" max="4" min="4" style="0" width="14.28"/>
    <col collapsed="false" customWidth="true" hidden="false" outlineLevel="0" max="5" min="5" style="0" width="13.99"/>
    <col collapsed="false" customWidth="true" hidden="false" outlineLevel="0" max="6" min="6" style="0" width="12.28"/>
    <col collapsed="false" customWidth="true" hidden="false" outlineLevel="0" max="7" min="7" style="0" width="11.7"/>
    <col collapsed="false" customWidth="true" hidden="false" outlineLevel="0" max="8" min="8" style="0" width="11.85"/>
    <col collapsed="false" customWidth="true" hidden="false" outlineLevel="0" max="9" min="9" style="0" width="11.28"/>
    <col collapsed="false" customWidth="true" hidden="false" outlineLevel="0" max="10" min="10" style="0" width="13.41"/>
    <col collapsed="false" customWidth="true" hidden="false" outlineLevel="0" max="11" min="11" style="0" width="10.71"/>
    <col collapsed="false" customWidth="true" hidden="false" outlineLevel="0" max="12" min="12" style="0" width="13.7"/>
    <col collapsed="false" customWidth="true" hidden="false" outlineLevel="0" max="13" min="13" style="0" width="10.85"/>
    <col collapsed="false" customWidth="true" hidden="false" outlineLevel="0" max="14" min="14" style="0" width="11.7"/>
    <col collapsed="false" customWidth="true" hidden="false" outlineLevel="0" max="15" min="15" style="0" width="11.42"/>
    <col collapsed="false" customWidth="true" hidden="false" outlineLevel="0" max="16" min="16" style="0" width="15.7"/>
    <col collapsed="false" customWidth="true" hidden="false" outlineLevel="0" max="17" min="17" style="0" width="16.99"/>
    <col collapsed="false" customWidth="true" hidden="false" outlineLevel="0" max="18" min="18" style="0" width="16.42"/>
  </cols>
  <sheetData>
    <row r="2" customFormat="false" ht="12.75" hidden="false" customHeight="true" outlineLevel="0" collapsed="false"/>
    <row r="3" customFormat="false" ht="12.75" hidden="false" customHeight="true" outlineLevel="0" collapsed="false"/>
    <row r="4" customFormat="false" ht="24" hidden="false" customHeight="true" outlineLevel="0" collapsed="false">
      <c r="B4" s="1" t="s">
        <v>0</v>
      </c>
      <c r="C4" s="1" t="s">
        <v>0</v>
      </c>
      <c r="D4" s="1" t="s">
        <v>1</v>
      </c>
      <c r="E4" s="1" t="s">
        <v>1</v>
      </c>
      <c r="G4" s="1" t="s">
        <v>2</v>
      </c>
      <c r="H4" s="1" t="s">
        <v>2</v>
      </c>
      <c r="I4" s="2"/>
    </row>
    <row r="5" customFormat="false" ht="63" hidden="false" customHeight="true" outlineLevel="0" collapsed="false"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4"/>
      <c r="J5" s="3" t="s">
        <v>10</v>
      </c>
      <c r="K5" s="4"/>
      <c r="L5" s="3" t="s">
        <v>11</v>
      </c>
      <c r="M5" s="4"/>
      <c r="N5" s="3" t="s">
        <v>12</v>
      </c>
      <c r="O5" s="3" t="s">
        <v>13</v>
      </c>
    </row>
    <row r="6" customFormat="false" ht="12.75" hidden="false" customHeight="false" outlineLevel="0" collapsed="false">
      <c r="B6" s="5" t="n">
        <v>3200</v>
      </c>
      <c r="C6" s="5" t="n">
        <v>4800</v>
      </c>
      <c r="D6" s="5" t="n">
        <v>0</v>
      </c>
      <c r="E6" s="5" t="n">
        <v>90</v>
      </c>
      <c r="F6" s="6" t="n">
        <f aca="false">(E7-E6)/(D7-D6)</f>
        <v>-0.0016</v>
      </c>
      <c r="G6" s="5" t="n">
        <v>45</v>
      </c>
      <c r="H6" s="5" t="n">
        <v>5000</v>
      </c>
      <c r="I6" s="7" t="n">
        <f aca="false">VLOOKUP(ABS(B6-H6),D6:E11,2,TRUE())+VLOOKUP(ABS(B6-H6),D6:F11,3,TRUE())*(ABS(B6-H6)-VLOOKUP(ABS(B6-H6),D6:E11,1,TRUE()))</f>
        <v>87.0677966101695</v>
      </c>
      <c r="J6" s="8" t="n">
        <f aca="false">IF(B6&gt;H6,-I6,I6)</f>
        <v>87.0677966101695</v>
      </c>
      <c r="K6" s="7" t="n">
        <f aca="false">VLOOKUP(ABS(C6),D6:E11,2,TRUE())+VLOOKUP(ABS(C6),D6:F11,3,TRUE())*(ABS(C6)-VLOOKUP(ABS(C6),D6:E11,1,TRUE()))</f>
        <v>81.5555555555556</v>
      </c>
      <c r="L6" s="8" t="n">
        <f aca="false">IF(C6&gt;0,-K6,K6)</f>
        <v>-81.5555555555556</v>
      </c>
      <c r="M6" s="7" t="n">
        <f aca="false">180*ATAN((90-ABS(L6))/(90-ABS(J6)))/PI()</f>
        <v>70.8512290422745</v>
      </c>
      <c r="N6" s="9" t="n">
        <f aca="false">90-SQRT((90-ABS(J6))^2+(90-ABS(L6))^2)</f>
        <v>81.0609587373901</v>
      </c>
      <c r="O6" s="9" t="n">
        <f aca="false">IF(AND(J6&gt;0,I6&gt;0),G6+M6,IF(AND(J6&gt;0,I6&lt;0),G6-M6,IF(AND(J6&lt;0,I6&gt;0),G6+180-M6,IF(AND(J6&lt;0,I6&lt;0),G6+180+90-M6,0))))</f>
        <v>115.851229042275</v>
      </c>
    </row>
    <row r="7" customFormat="false" ht="12.75" hidden="false" customHeight="false" outlineLevel="0" collapsed="false">
      <c r="D7" s="5" t="n">
        <v>1250</v>
      </c>
      <c r="E7" s="5" t="n">
        <v>88</v>
      </c>
      <c r="F7" s="6" t="n">
        <f aca="false">(E8-E7)/(D8-D7)</f>
        <v>-0.00169491525423729</v>
      </c>
      <c r="G7" s="8"/>
    </row>
    <row r="8" customFormat="false" ht="12.75" hidden="false" customHeight="false" outlineLevel="0" collapsed="false">
      <c r="D8" s="5" t="n">
        <v>2430</v>
      </c>
      <c r="E8" s="5" t="n">
        <v>86</v>
      </c>
      <c r="F8" s="6" t="n">
        <f aca="false">(E9-E8)/(D9-D8)</f>
        <v>-0.00169491525423729</v>
      </c>
      <c r="G8" s="10"/>
    </row>
    <row r="9" customFormat="false" ht="12.75" hidden="false" customHeight="false" outlineLevel="0" collapsed="false">
      <c r="D9" s="5" t="n">
        <v>3610</v>
      </c>
      <c r="E9" s="5" t="n">
        <v>84</v>
      </c>
      <c r="F9" s="6" t="n">
        <f aca="false">(E10-E9)/(D10-D9)</f>
        <v>-0.00202020202020202</v>
      </c>
      <c r="G9" s="10"/>
    </row>
    <row r="10" customFormat="false" ht="12.75" hidden="false" customHeight="false" outlineLevel="0" collapsed="false">
      <c r="D10" s="5" t="n">
        <v>4600</v>
      </c>
      <c r="E10" s="5" t="n">
        <v>82</v>
      </c>
      <c r="F10" s="6" t="n">
        <f aca="false">(E11-E10)/(D11-D10)</f>
        <v>-0.00222222222222222</v>
      </c>
      <c r="G10" s="10"/>
    </row>
    <row r="11" customFormat="false" ht="12.75" hidden="false" customHeight="false" outlineLevel="0" collapsed="false">
      <c r="D11" s="5" t="n">
        <v>5500</v>
      </c>
      <c r="E11" s="5" t="n">
        <v>80</v>
      </c>
      <c r="F11" s="6" t="n">
        <f aca="false">2*F10-F9</f>
        <v>-0.00242424242424242</v>
      </c>
      <c r="G11" s="10"/>
    </row>
    <row r="12" customFormat="false" ht="12.75" hidden="false" customHeight="false" outlineLevel="0" collapsed="false">
      <c r="G12" s="10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2010-05-15T18:14:47Z</dcterms:created>
  <dc:creator>Owner</dc:creator>
  <dc:description/>
  <dc:language>en-US</dc:language>
  <cp:lastModifiedBy>Owner</cp:lastModifiedBy>
  <dcterms:modified xsi:type="dcterms:W3CDTF">2013-06-29T23:08:06Z</dcterms:modified>
  <cp:revision>0</cp:revision>
  <dc:subject/>
  <dc:title/>
</cp:coreProperties>
</file>