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definedNames>
    <definedName function="false" hidden="false" name="a" vbProcedure="false">Sheet1!$P$5</definedName>
    <definedName function="false" hidden="false" name="alfa" vbProcedure="false">-0.00357448</definedName>
    <definedName function="false" hidden="false" name="ARE" vbProcedure="false">20925597.9</definedName>
    <definedName function="false" hidden="false" name="ATR" vbProcedure="false">52500</definedName>
    <definedName function="false" hidden="false" name="BRE" vbProcedure="false">20855437.3</definedName>
    <definedName function="false" hidden="false" name="BTR" vbProcedure="false">27900</definedName>
    <definedName function="false" hidden="false" name="D2R" vbProcedure="false">PI()/180</definedName>
    <definedName function="false" hidden="false" name="gamma" vbProcedure="false">1.4</definedName>
    <definedName function="false" hidden="false" name="go" vbProcedure="false">Sheet1!$I$5</definedName>
    <definedName function="false" hidden="false" name="h" vbProcedure="false">Sheet1!$C$5</definedName>
    <definedName function="false" hidden="false" name="ho" vbProcedure="false">Sheet1!$D$5</definedName>
    <definedName function="false" hidden="false" name="hT" vbProcedure="false">Sheet1!$H$5</definedName>
    <definedName function="false" hidden="false" name="OmgaE" vbProcedure="false">2*PI()/86164.09</definedName>
    <definedName function="false" hidden="false" name="p" vbProcedure="false">Sheet1!$N$5</definedName>
    <definedName function="false" hidden="false" name="Phi" vbProcedure="false">Sheet1!$G$5</definedName>
    <definedName function="false" hidden="false" name="po" vbProcedure="false">2116.217</definedName>
    <definedName function="false" hidden="false" name="Prot" vbProcedure="false">86164.09</definedName>
    <definedName function="false" hidden="false" name="pT" vbProcedure="false">Sheet1!$L$5</definedName>
    <definedName function="false" hidden="false" name="Rair" vbProcedure="false">1716</definedName>
    <definedName function="false" hidden="false" name="RE" vbProcedure="false">Sheet1!$J$5</definedName>
    <definedName function="false" hidden="false" name="rho" vbProcedure="false">Sheet1!$O$5</definedName>
    <definedName function="false" hidden="false" name="T" vbProcedure="false">Sheet1!$M$5</definedName>
    <definedName function="false" hidden="false" name="To" vbProcedure="false">Sheet1!$E$5</definedName>
    <definedName function="false" hidden="false" name="TT" vbProcedure="false">Sheet1!$K$5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<sst xmlns="http://schemas.openxmlformats.org/spreadsheetml/2006/main" count="29" uniqueCount="29">
  <si>
    <t xml:space="preserve">Alt, ft</t>
  </si>
  <si>
    <t xml:space="preserve">Sfc Alt, ft</t>
  </si>
  <si>
    <t xml:space="preserve">Sfc T, degR</t>
  </si>
  <si>
    <t xml:space="preserve">Lat, deg</t>
  </si>
  <si>
    <t xml:space="preserve">Lat, rad</t>
  </si>
  <si>
    <t xml:space="preserve">Tropoph, ft</t>
  </si>
  <si>
    <t xml:space="preserve">Sfc Grv, ft/s2</t>
  </si>
  <si>
    <t xml:space="preserve">Earth R, ft</t>
  </si>
  <si>
    <t xml:space="preserve">TropopT, degR</t>
  </si>
  <si>
    <t xml:space="preserve">Trpopop, psf</t>
  </si>
  <si>
    <t xml:space="preserve">Temp, degR</t>
  </si>
  <si>
    <t xml:space="preserve">Press, psf</t>
  </si>
  <si>
    <t xml:space="preserve">Density,sl/ft3</t>
  </si>
  <si>
    <t xml:space="preserve">Sound V,fps</t>
  </si>
  <si>
    <t xml:space="preserve">Earth omega, rad/sec</t>
  </si>
  <si>
    <t xml:space="preserve">h</t>
  </si>
  <si>
    <t xml:space="preserve">ho</t>
  </si>
  <si>
    <t xml:space="preserve">To</t>
  </si>
  <si>
    <t xml:space="preserve">phi</t>
  </si>
  <si>
    <t xml:space="preserve">Phi</t>
  </si>
  <si>
    <t xml:space="preserve">hT</t>
  </si>
  <si>
    <t xml:space="preserve">go</t>
  </si>
  <si>
    <t xml:space="preserve">RE</t>
  </si>
  <si>
    <t xml:space="preserve">TT</t>
  </si>
  <si>
    <t xml:space="preserve">pT</t>
  </si>
  <si>
    <t xml:space="preserve">T</t>
  </si>
  <si>
    <t xml:space="preserve">p</t>
  </si>
  <si>
    <t xml:space="preserve">rho</t>
  </si>
  <si>
    <t xml:space="preserve">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</si>
</sst>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Q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5" min="5" style="0" width="9.99"/>
    <col collapsed="false" customWidth="true" hidden="false" outlineLevel="0" max="6" min="6" style="0" width="8.56"/>
    <col collapsed="false" customWidth="true" hidden="false" outlineLevel="0" max="7" min="7" style="0" width="8.7"/>
    <col collapsed="false" customWidth="true" hidden="false" outlineLevel="0" max="8" min="8" style="0" width="9.14"/>
    <col collapsed="false" customWidth="true" hidden="false" outlineLevel="0" max="9" min="9" style="0" width="10.99"/>
    <col collapsed="false" customWidth="true" hidden="false" outlineLevel="0" max="11" min="11" style="0" width="12.42"/>
    <col collapsed="false" customWidth="true" hidden="false" outlineLevel="0" max="13" min="12" style="0" width="10.71"/>
    <col collapsed="false" customWidth="true" hidden="false" outlineLevel="0" max="16" min="15" style="0" width="11.42"/>
    <col collapsed="false" customWidth="true" hidden="false" outlineLevel="0" max="17" min="17" style="0" width="17.85"/>
  </cols>
  <sheetData>
    <row r="3" customFormat="false" ht="12.75" hidden="false" customHeight="false" outlineLevel="0" collapsed="false">
      <c r="C3" s="0" t="s">
        <v>0</v>
      </c>
      <c r="D3" s="0" t="s">
        <v>1</v>
      </c>
      <c r="E3" s="0" t="s">
        <v>2</v>
      </c>
      <c r="F3" s="0" t="s">
        <v>3</v>
      </c>
      <c r="G3" s="0" t="s">
        <v>4</v>
      </c>
      <c r="H3" s="0" t="s">
        <v>5</v>
      </c>
      <c r="I3" s="0" t="s">
        <v>6</v>
      </c>
      <c r="J3" s="0" t="s">
        <v>7</v>
      </c>
      <c r="K3" s="0" t="s">
        <v>8</v>
      </c>
      <c r="L3" s="0" t="s">
        <v>9</v>
      </c>
      <c r="M3" s="0" t="s">
        <v>10</v>
      </c>
      <c r="N3" s="0" t="s">
        <v>11</v>
      </c>
      <c r="O3" s="0" t="s">
        <v>12</v>
      </c>
      <c r="P3" s="0" t="s">
        <v>13</v>
      </c>
      <c r="Q3" s="0" t="s">
        <v>14</v>
      </c>
    </row>
    <row r="4" customFormat="false" ht="12.75" hidden="false" customHeight="false" outlineLevel="0" collapsed="false">
      <c r="C4" s="0" t="s">
        <v>15</v>
      </c>
      <c r="D4" s="0" t="s">
        <v>16</v>
      </c>
      <c r="E4" s="0" t="s">
        <v>17</v>
      </c>
      <c r="F4" s="0" t="s">
        <v>18</v>
      </c>
      <c r="G4" s="0" t="s">
        <v>19</v>
      </c>
      <c r="H4" s="0" t="s">
        <v>20</v>
      </c>
      <c r="I4" s="0" t="s">
        <v>21</v>
      </c>
      <c r="J4" s="0" t="s">
        <v>22</v>
      </c>
      <c r="K4" s="0" t="s">
        <v>23</v>
      </c>
      <c r="L4" s="0" t="s">
        <v>24</v>
      </c>
      <c r="M4" s="0" t="s">
        <v>25</v>
      </c>
      <c r="N4" s="0" t="s">
        <v>26</v>
      </c>
      <c r="O4" s="0" t="s">
        <v>27</v>
      </c>
      <c r="P4" s="0" t="s">
        <v>28</v>
      </c>
    </row>
    <row r="5" customFormat="false" ht="12.75" hidden="false" customHeight="false" outlineLevel="0" collapsed="false">
      <c r="C5" s="1" t="n">
        <v>40000</v>
      </c>
      <c r="D5" s="1" t="n">
        <v>4000</v>
      </c>
      <c r="E5" s="1" t="n">
        <v>550</v>
      </c>
      <c r="F5" s="2" t="n">
        <v>34</v>
      </c>
      <c r="G5" s="0" t="n">
        <f aca="false">D2R*'phi'</f>
        <v>0.593411945678072</v>
      </c>
      <c r="H5" s="0" t="n">
        <f aca="false">1/SQRT((COS(Phi)/ATR)^2+(SIN(Phi)/BTR)^2)</f>
        <v>39190.8679976605</v>
      </c>
      <c r="I5" s="0" t="n">
        <f aca="false">32.0876228*(1+0.00530224*(SIN(Phi))^2-0.000058*(SIN(2*Phi))^2)</f>
        <v>32.1392239366819</v>
      </c>
      <c r="J5" s="0" t="n">
        <f aca="false">SQRT(((ARE^2*COS(Phi))^2+(BRE^2*SIN(Phi))^2)/((ARE*COS(Phi))^2+(BRE*SIN(Phi))^2))</f>
        <v>20903785.3087302</v>
      </c>
      <c r="K5" s="0" t="n">
        <f aca="false">To+alfa*(hT-ho)</f>
        <v>424.210946159723</v>
      </c>
      <c r="L5" s="0" t="n">
        <f aca="false">po*(1/(1+alfa*hT/(To-alfa*ho)))^(go/(Rair*alfa))</f>
        <v>474.486527032096</v>
      </c>
      <c r="M5" s="0" t="n">
        <f aca="false">IF(h&lt;=hT,To+alfa*(h-ho),TT)</f>
        <v>424.210946159723</v>
      </c>
      <c r="N5" s="0" t="n">
        <f aca="false">IF(h&lt;=hT,po*(1/(1+alfa*(h-ho)/(To-alfa*ho)))^(go/(Rair*alfa)),pT*EXP(-go*(h-hT)/(Rair*TT)))</f>
        <v>457.835336128084</v>
      </c>
      <c r="O5" s="0" t="n">
        <f aca="false">p/(Rair*T)</f>
        <v>0.000628941358887033</v>
      </c>
      <c r="P5" s="0" t="n">
        <f aca="false">SQRT(gamma*Rair*T)</f>
        <v>1009.51690280753</v>
      </c>
      <c r="Q5" s="0" t="n">
        <f aca="false">2*PI()/Prot</f>
        <v>7.29211590023128E-005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2009-10-14T13:57:21Z</dcterms:created>
  <dc:creator>Owner</dc:creator>
  <dc:description/>
  <dc:language>en-US</dc:language>
  <cp:lastModifiedBy>Owner</cp:lastModifiedBy>
  <dcterms:modified xsi:type="dcterms:W3CDTF">2009-10-14T16:22:25Z</dcterms:modified>
  <cp:revision>0</cp:revision>
  <dc:subject/>
  <dc:title/>
</cp:coreProperties>
</file>