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<sst xmlns="http://schemas.openxmlformats.org/spreadsheetml/2006/main" count="33" uniqueCount="29">
  <si>
    <t xml:space="preserve">Mach no.</t>
  </si>
  <si>
    <t xml:space="preserve">Root chord, in</t>
  </si>
  <si>
    <t xml:space="preserve">Tip chord, in</t>
  </si>
  <si>
    <t xml:space="preserve">Exposed Semispan</t>
  </si>
  <si>
    <t xml:space="preserve">LE. Sweep Angle, deg</t>
  </si>
  <si>
    <t xml:space="preserve">LE. Sweep Angle, rad</t>
  </si>
  <si>
    <r>
      <rPr>
        <sz val="10"/>
        <rFont val="Arial"/>
        <family val="0"/>
      </rPr>
      <t xml:space="preserve">Fin Area, 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</si>
  <si>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Fin Area Moment about Root Chord Leading Edge, in</t>
    </r>
    <r>
      <rPr>
        <vertAlign val="superscript"/>
        <sz val="10"/>
        <rFont val="Arial"/>
        <family val="2"/>
      </rPr>
      <t xml:space="preserve">3</t>
    </r>
  </si>
  <si>
    <t xml:space="preserve">min Mach angle, rad</t>
  </si>
  <si>
    <t xml:space="preserve">min Mach number</t>
  </si>
  <si>
    <t xml:space="preserve">min Mach angle (no Reg. IV), rad</t>
  </si>
  <si>
    <t xml:space="preserve">min Mach num (no Reg. IV)</t>
  </si>
  <si>
    <t xml:space="preserve">Mach Angle, mu, rad</t>
  </si>
  <si>
    <r>
      <rPr>
        <sz val="10"/>
        <rFont val="Arial"/>
        <family val="0"/>
      </rPr>
      <t xml:space="preserve">S</t>
    </r>
    <r>
      <rPr>
        <vertAlign val="subscript"/>
        <sz val="10"/>
        <rFont val="Arial"/>
        <family val="2"/>
      </rPr>
      <t xml:space="preserve">II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</si>
  <si>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S</t>
    </r>
    <r>
      <rPr>
        <vertAlign val="subscript"/>
        <sz val="10"/>
        <rFont val="Arial"/>
        <family val="2"/>
      </rPr>
      <t xml:space="preserve">III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</si>
  <si>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S</t>
    </r>
    <r>
      <rPr>
        <vertAlign val="subscript"/>
        <sz val="10"/>
        <rFont val="Arial"/>
        <family val="2"/>
      </rPr>
      <t xml:space="preserve">I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</si>
  <si>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S</t>
    </r>
    <r>
      <rPr>
        <vertAlign val="subscript"/>
        <sz val="10"/>
        <rFont val="Arial"/>
        <family val="2"/>
      </rPr>
      <t xml:space="preserve">IV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2</t>
    </r>
  </si>
  <si>
    <t xml:space="preserve">Check Sum</t>
  </si>
  <si>
    <r>
      <rPr>
        <sz val="10"/>
        <rFont val="Arial"/>
        <family val="0"/>
      </rPr>
      <t xml:space="preserve">Delta p</t>
    </r>
    <r>
      <rPr>
        <vertAlign val="subscript"/>
        <sz val="10"/>
        <rFont val="Arial"/>
        <family val="2"/>
      </rPr>
      <t xml:space="preserve">I</t>
    </r>
  </si>
  <si>
    <r>
      <rPr>
        <sz val="10"/>
        <rFont val="Arial"/>
        <family val="0"/>
      </rPr>
      <t xml:space="preserve">Delta p</t>
    </r>
    <r>
      <rPr>
        <vertAlign val="subscript"/>
        <sz val="10"/>
        <rFont val="Arial"/>
        <family val="2"/>
      </rPr>
      <t xml:space="preserve">II</t>
    </r>
  </si>
  <si>
    <r>
      <rPr>
        <sz val="10"/>
        <rFont val="Arial"/>
        <family val="0"/>
      </rPr>
      <t xml:space="preserve">Delta p</t>
    </r>
    <r>
      <rPr>
        <vertAlign val="subscript"/>
        <sz val="10"/>
        <rFont val="Arial"/>
        <family val="2"/>
      </rPr>
      <t xml:space="preserve">III</t>
    </r>
  </si>
  <si>
    <r>
      <rPr>
        <sz val="10"/>
        <rFont val="Arial"/>
        <family val="0"/>
      </rPr>
      <t xml:space="preserve">S</t>
    </r>
    <r>
      <rPr>
        <vertAlign val="subscript"/>
        <sz val="10"/>
        <rFont val="Arial"/>
        <family val="2"/>
      </rPr>
      <t xml:space="preserve">REF</t>
    </r>
    <r>
      <rPr>
        <sz val="10"/>
        <rFont val="Arial"/>
        <family val="0"/>
      </rPr>
      <t xml:space="preserve">C</t>
    </r>
    <r>
      <rPr>
        <vertAlign val="subscript"/>
        <sz val="10"/>
        <rFont val="Arial"/>
        <family val="0"/>
      </rPr>
      <t xml:space="preserve">N</t>
    </r>
    <r>
      <rPr>
        <vertAlign val="subscript"/>
        <sz val="10"/>
        <rFont val="Symbol"/>
        <family val="1"/>
        <charset val="2"/>
      </rPr>
      <t xml:space="preserve">a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</si>
  <si>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Area Moment</t>
    </r>
    <r>
      <rPr>
        <vertAlign val="subscript"/>
        <sz val="10"/>
        <rFont val="Arial"/>
        <family val="2"/>
      </rPr>
      <t xml:space="preserve">II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3</t>
    </r>
  </si>
  <si>
    <r>
      <rPr>
        <sz val="10"/>
        <rFont val="Arial"/>
        <family val="0"/>
      </rPr>
      <t xml:space="preserve">Area Moment</t>
    </r>
    <r>
      <rPr>
        <vertAlign val="subscript"/>
        <sz val="10"/>
        <rFont val="Arial"/>
        <family val="2"/>
      </rPr>
      <t xml:space="preserve">III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3</t>
    </r>
  </si>
  <si>
    <r>
      <rPr>
        <sz val="10"/>
        <rFont val="Arial"/>
        <family val="0"/>
      </rPr>
      <t xml:space="preserve">Area Moment</t>
    </r>
    <r>
      <rPr>
        <vertAlign val="subscript"/>
        <sz val="10"/>
        <rFont val="Arial"/>
        <family val="2"/>
      </rPr>
      <t xml:space="preserve">IV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3</t>
    </r>
  </si>
  <si>
    <r>
      <rPr>
        <sz val="10"/>
        <rFont val="Arial"/>
        <family val="0"/>
      </rPr>
      <t xml:space="preserve">Area Moment</t>
    </r>
    <r>
      <rPr>
        <vertAlign val="subscript"/>
        <sz val="10"/>
        <rFont val="Arial"/>
        <family val="2"/>
      </rPr>
      <t xml:space="preserve">I</t>
    </r>
    <r>
      <rPr>
        <sz val="10"/>
        <rFont val="Arial"/>
        <family val="0"/>
      </rPr>
      <t xml:space="preserve">, in</t>
    </r>
    <r>
      <rPr>
        <vertAlign val="superscript"/>
        <sz val="10"/>
        <rFont val="Arial"/>
        <family val="2"/>
      </rPr>
      <t xml:space="preserve">3</t>
    </r>
  </si>
  <si>
    <t xml:space="preserve">NFmom</t>
  </si>
  <si>
    <r>
      <rPr>
        <sz val="10"/>
        <rFont val="Arial"/>
        <family val="0"/>
      </rPr>
      <t xml:space="preserve">x</t>
    </r>
    <r>
      <rPr>
        <vertAlign val="subscript"/>
        <sz val="10"/>
        <rFont val="Arial"/>
        <family val="2"/>
      </rPr>
      <t xml:space="preserve">CP</t>
    </r>
    <r>
      <rPr>
        <sz val="10"/>
        <rFont val="Arial"/>
        <family val="0"/>
      </rPr>
      <t xml:space="preserve">, in aft of Root Chord Leading Edge</t>
    </r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</si>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</sst>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vertAlign val="subscript"/>
      <sz val="10"/>
      <name val="Arial"/>
      <family val="0"/>
    </font>
    <font>
      <vertAlign val="subscript"/>
      <sz val="10"/>
      <name val="Symbol"/>
      <family val="1"/>
      <charset val="2"/>
    </font>
    <font>
      <b val="true"/>
      <sz val="14"/>
      <color rgb="FF000000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Fin Normal Force Coefficient Slope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Sheet1!$Y$5</c:f>
              <c:strCache>
                <c:ptCount val="1"/>
                <c:pt idx="0">
                  <c:v>SREFCNa, in2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Sheet1!$X$6:$X$25</c:f>
              <c:numCache>
                <c:formatCode>General</c:formatCode>
                <c:ptCount val="20"/>
                <c:pt idx="0">
                  <c:v>1.45</c:v>
                </c:pt>
                <c:pt idx="1">
                  <c:v>1.5</c:v>
                </c:pt>
                <c:pt idx="2">
                  <c:v>1.55</c:v>
                </c:pt>
                <c:pt idx="3">
                  <c:v>1.6</c:v>
                </c:pt>
                <c:pt idx="4">
                  <c:v>1.65</c:v>
                </c:pt>
                <c:pt idx="5">
                  <c:v>1.7</c:v>
                </c:pt>
                <c:pt idx="6">
                  <c:v>1.701</c:v>
                </c:pt>
                <c:pt idx="7">
                  <c:v>1.75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3.5</c:v>
                </c:pt>
                <c:pt idx="17">
                  <c:v>4</c:v>
                </c:pt>
                <c:pt idx="18">
                  <c:v>4.5</c:v>
                </c:pt>
                <c:pt idx="19">
                  <c:v>5</c:v>
                </c:pt>
              </c:numCache>
            </c:numRef>
          </c:xVal>
          <c:yVal>
            <c:numRef>
              <c:f>Sheet1!$Y$6:$Y$25</c:f>
              <c:numCache>
                <c:formatCode>General</c:formatCode>
                <c:ptCount val="20"/>
                <c:pt idx="0">
                  <c:v>136.040771440545</c:v>
                </c:pt>
                <c:pt idx="1">
                  <c:v>130.392986361396</c:v>
                </c:pt>
                <c:pt idx="2">
                  <c:v>125.076304859642</c:v>
                </c:pt>
                <c:pt idx="3">
                  <c:v>120.133226264117</c:v>
                </c:pt>
                <c:pt idx="4">
                  <c:v>115.557576850731</c:v>
                </c:pt>
                <c:pt idx="5">
                  <c:v>111.325101366023</c:v>
                </c:pt>
                <c:pt idx="6">
                  <c:v>111.243750351962</c:v>
                </c:pt>
                <c:pt idx="7">
                  <c:v>107.406042090153</c:v>
                </c:pt>
                <c:pt idx="8">
                  <c:v>103.770407476177</c:v>
                </c:pt>
                <c:pt idx="9">
                  <c:v>97.2396645087755</c:v>
                </c:pt>
                <c:pt idx="10">
                  <c:v>91.5401853927927</c:v>
                </c:pt>
                <c:pt idx="11">
                  <c:v>82.0613203670892</c:v>
                </c:pt>
                <c:pt idx="12">
                  <c:v>74.4764782095011</c:v>
                </c:pt>
                <c:pt idx="13">
                  <c:v>68.2511608115962</c:v>
                </c:pt>
                <c:pt idx="14">
                  <c:v>63.0374617742496</c:v>
                </c:pt>
                <c:pt idx="15">
                  <c:v>58.5990918629008</c:v>
                </c:pt>
                <c:pt idx="16">
                  <c:v>49.9109121549693</c:v>
                </c:pt>
                <c:pt idx="17">
                  <c:v>43.5287183026843</c:v>
                </c:pt>
                <c:pt idx="18">
                  <c:v>38.6261186927916</c:v>
                </c:pt>
                <c:pt idx="19">
                  <c:v>34.7343237153589</c:v>
                </c:pt>
              </c:numCache>
            </c:numRef>
          </c:yVal>
          <c:smooth val="1"/>
        </c:ser>
        <c:axId val="8796009"/>
        <c:axId val="20514184"/>
      </c:scatterChart>
      <c:valAx>
        <c:axId val="8796009"/>
        <c:scaling>
          <c:orientation val="minMax"/>
          <c:max val="5"/>
        </c:scaling>
        <c:delete val="0"/>
        <c:axPos val="b"/>
        <c:minorGridlines>
          <c:spPr>
            <a:ln w="0">
              <a:solidFill>
                <a:srgbClr val="000000"/>
              </a:solidFill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Mach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514184"/>
        <c:crossesAt val="0"/>
        <c:crossBetween val="midCat"/>
      </c:valAx>
      <c:valAx>
        <c:axId val="2051418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SREF*CNA, sq 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96009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Fin Center of Pressure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Sheet1!$AF$6:$AF$25</c:f>
              <c:numCache>
                <c:formatCode>General</c:formatCode>
                <c:ptCount val="20"/>
                <c:pt idx="0">
                  <c:v>1.45</c:v>
                </c:pt>
                <c:pt idx="1">
                  <c:v>1.5</c:v>
                </c:pt>
                <c:pt idx="2">
                  <c:v>1.55</c:v>
                </c:pt>
                <c:pt idx="3">
                  <c:v>1.6</c:v>
                </c:pt>
                <c:pt idx="4">
                  <c:v>1.65</c:v>
                </c:pt>
                <c:pt idx="5">
                  <c:v>1.7</c:v>
                </c:pt>
                <c:pt idx="6">
                  <c:v>1.701</c:v>
                </c:pt>
                <c:pt idx="7">
                  <c:v>1.75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3.5</c:v>
                </c:pt>
                <c:pt idx="17">
                  <c:v>4</c:v>
                </c:pt>
                <c:pt idx="18">
                  <c:v>4.5</c:v>
                </c:pt>
                <c:pt idx="19">
                  <c:v>5</c:v>
                </c:pt>
              </c:numCache>
            </c:numRef>
          </c:xVal>
          <c:yVal>
            <c:numRef>
              <c:f>Sheet1!$AG$6:$AG$25</c:f>
              <c:numCache>
                <c:formatCode>General</c:formatCode>
                <c:ptCount val="20"/>
                <c:pt idx="0">
                  <c:v>4.79068622567066</c:v>
                </c:pt>
                <c:pt idx="1">
                  <c:v>4.82524546890411</c:v>
                </c:pt>
                <c:pt idx="2">
                  <c:v>4.85115581608145</c:v>
                </c:pt>
                <c:pt idx="3">
                  <c:v>4.87139843622811</c:v>
                </c:pt>
                <c:pt idx="4">
                  <c:v>4.88770897839597</c:v>
                </c:pt>
                <c:pt idx="5">
                  <c:v>4.90117052874368</c:v>
                </c:pt>
                <c:pt idx="6">
                  <c:v>4.90141604215239</c:v>
                </c:pt>
                <c:pt idx="7">
                  <c:v>4.91249604194027</c:v>
                </c:pt>
                <c:pt idx="8">
                  <c:v>4.92217518529973</c:v>
                </c:pt>
                <c:pt idx="9">
                  <c:v>4.93789355530021</c:v>
                </c:pt>
                <c:pt idx="10">
                  <c:v>4.95015717306987</c:v>
                </c:pt>
                <c:pt idx="11">
                  <c:v>4.96816526665177</c:v>
                </c:pt>
                <c:pt idx="12">
                  <c:v>4.98084265945631</c:v>
                </c:pt>
                <c:pt idx="13">
                  <c:v>4.99030670696514</c:v>
                </c:pt>
                <c:pt idx="14">
                  <c:v>4.99767077558063</c:v>
                </c:pt>
                <c:pt idx="15">
                  <c:v>5.00358035655281</c:v>
                </c:pt>
                <c:pt idx="16">
                  <c:v>5.01430384974431</c:v>
                </c:pt>
                <c:pt idx="17">
                  <c:v>5.02155241777641</c:v>
                </c:pt>
                <c:pt idx="18">
                  <c:v>5.02680024251432</c:v>
                </c:pt>
                <c:pt idx="19">
                  <c:v>5.03078444856682</c:v>
                </c:pt>
              </c:numCache>
            </c:numRef>
          </c:yVal>
          <c:smooth val="1"/>
        </c:ser>
        <c:axId val="63243672"/>
        <c:axId val="12090925"/>
      </c:scatterChart>
      <c:valAx>
        <c:axId val="63243672"/>
        <c:scaling>
          <c:orientation val="minMax"/>
          <c:max val="5"/>
        </c:scaling>
        <c:delete val="0"/>
        <c:axPos val="b"/>
        <c:minorGridlines>
          <c:spPr>
            <a:ln w="0">
              <a:solidFill>
                <a:srgbClr val="000000"/>
              </a:solidFill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Mach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2090925"/>
        <c:crossesAt val="0"/>
        <c:crossBetween val="midCat"/>
      </c:valAx>
      <c:valAx>
        <c:axId val="1209092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Center of Pressure, in aft of Root Chord Leading Edge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243672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432360</xdr:colOff>
      <xdr:row>28</xdr:row>
      <xdr:rowOff>47160</xdr:rowOff>
    </xdr:from>
    <xdr:to>
      <xdr:col>20</xdr:col>
      <xdr:colOff>539280</xdr:colOff>
      <xdr:row>52</xdr:row>
      <xdr:rowOff>37800</xdr:rowOff>
    </xdr:to>
    <xdr:graphicFrame>
      <xdr:nvGraphicFramePr>
        <xdr:cNvPr id="1" name="Chart 2"/>
        <xdr:cNvGraphicFramePr/>
      </xdr:nvGraphicFramePr>
      <xdr:xfrm>
        <a:off x="7320960" y="4943160"/>
        <a:ext cx="6817320" cy="387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10080</xdr:colOff>
      <xdr:row>28</xdr:row>
      <xdr:rowOff>56880</xdr:rowOff>
    </xdr:from>
    <xdr:to>
      <xdr:col>32</xdr:col>
      <xdr:colOff>333360</xdr:colOff>
      <xdr:row>52</xdr:row>
      <xdr:rowOff>47160</xdr:rowOff>
    </xdr:to>
    <xdr:graphicFrame>
      <xdr:nvGraphicFramePr>
        <xdr:cNvPr id="2" name="Chart 4"/>
        <xdr:cNvGraphicFramePr/>
      </xdr:nvGraphicFramePr>
      <xdr:xfrm>
        <a:off x="14885640" y="4952880"/>
        <a:ext cx="6811560" cy="387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AK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0" width="8.14"/>
    <col collapsed="false" customWidth="true" hidden="false" outlineLevel="0" max="5" min="5" style="0" width="7.99"/>
    <col collapsed="false" customWidth="true" hidden="false" outlineLevel="0" max="9" min="7" style="0" width="9.99"/>
    <col collapsed="false" customWidth="true" hidden="false" outlineLevel="0" max="10" min="10" style="0" width="15.41"/>
    <col collapsed="false" customWidth="true" hidden="false" outlineLevel="0" max="12" min="11" style="0" width="9.99"/>
    <col collapsed="false" customWidth="true" hidden="false" outlineLevel="0" max="13" min="13" style="0" width="11.85"/>
    <col collapsed="false" customWidth="true" hidden="false" outlineLevel="0" max="30" min="28" style="0" width="9.56"/>
    <col collapsed="false" customWidth="true" hidden="false" outlineLevel="0" max="33" min="33" style="0" width="12.14"/>
  </cols>
  <sheetData>
    <row r="5" customFormat="false" ht="41.25" hidden="false" customHeight="true" outlineLevel="0" collapsed="false">
      <c r="C5" s="1" t="s">
        <v>0</v>
      </c>
      <c r="D5" s="2" t="s">
        <v>1</v>
      </c>
      <c r="E5" s="2" t="s">
        <v>2</v>
      </c>
      <c r="F5" s="2" t="s">
        <v>3</v>
      </c>
      <c r="G5" s="3" t="s">
        <v>4</v>
      </c>
      <c r="H5" s="3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  <c r="W5" s="2" t="s">
        <v>20</v>
      </c>
      <c r="X5" s="2" t="str">
        <f aca="false">C5</f>
        <v>Mach no.</v>
      </c>
      <c r="Y5" s="2" t="s">
        <v>21</v>
      </c>
      <c r="Z5" s="2" t="s">
        <v>22</v>
      </c>
      <c r="AA5" s="2" t="s">
        <v>23</v>
      </c>
      <c r="AB5" s="2" t="s">
        <v>24</v>
      </c>
      <c r="AC5" s="2" t="s">
        <v>25</v>
      </c>
      <c r="AD5" s="2" t="s">
        <v>17</v>
      </c>
      <c r="AE5" s="2" t="s">
        <v>26</v>
      </c>
      <c r="AF5" s="2" t="str">
        <f aca="false">C5</f>
        <v>Mach no.</v>
      </c>
      <c r="AG5" s="2" t="s">
        <v>27</v>
      </c>
      <c r="AI5" s="2" t="s">
        <v>28</v>
      </c>
    </row>
    <row r="6" customFormat="false" ht="12.75" hidden="false" customHeight="false" outlineLevel="0" collapsed="false">
      <c r="C6" s="0" t="n">
        <v>1.45</v>
      </c>
      <c r="D6" s="0" t="n">
        <v>8</v>
      </c>
      <c r="E6" s="0" t="n">
        <v>3</v>
      </c>
      <c r="F6" s="0" t="n">
        <v>8</v>
      </c>
      <c r="G6" s="0" t="n">
        <v>45</v>
      </c>
      <c r="H6" s="0" t="n">
        <f aca="false">ATAN((D6-E6)/F6)</f>
        <v>0.558599315343562</v>
      </c>
      <c r="I6" s="0" t="n">
        <f aca="false">F6*(E6+D6)/2</f>
        <v>44</v>
      </c>
      <c r="J6" s="0" t="n">
        <f aca="false">F6*(2*D6^2+2*D6*E6-E6^2)/6</f>
        <v>222.666666666667</v>
      </c>
      <c r="K6" s="0" t="n">
        <f aca="false">ATAN($F$6/$D$6)</f>
        <v>0.785398163397448</v>
      </c>
      <c r="L6" s="0" t="n">
        <f aca="false">1/SIN($K$6)</f>
        <v>1.4142135623731</v>
      </c>
      <c r="M6" s="0" t="n">
        <f aca="false">ATAN($F$6/($E$6+$D$6))</f>
        <v>0.628796286415433</v>
      </c>
      <c r="N6" s="0" t="n">
        <f aca="false">1/SIN($M$6)</f>
        <v>1.70018381359193</v>
      </c>
      <c r="O6" s="0" t="n">
        <f aca="false">ASIN(1/C6)</f>
        <v>0.76101275422473</v>
      </c>
      <c r="P6" s="0" t="n">
        <f aca="false">$E$6^2*TAN(O6)/2</f>
        <v>4.28571428571429</v>
      </c>
      <c r="Q6" s="0" t="n">
        <f aca="false">$D$6^2*TAN(O6)/2</f>
        <v>30.4761904761905</v>
      </c>
      <c r="R6" s="0" t="n">
        <f aca="false">IF(C6&gt;N6,$I$6-P6-Q6,$F$6^2*((COS($H$6))^2*(COS(O6))^2-(SIN($H$6))^2*(SIN(O6))^2)/(2*(COS($H$6))^2*SIN(2*O6)))</f>
        <v>10.847619047619</v>
      </c>
      <c r="S6" s="0" t="n">
        <f aca="false">IF(C6&lt;N6,(($F$6-($D$6+$E$6)*TAN(O6))*COS(O6))^2/(2*SIN(2*O6)),0)</f>
        <v>1.60952380952381</v>
      </c>
      <c r="T6" s="0" t="n">
        <f aca="false">P6+Q6+R6-S6</f>
        <v>44</v>
      </c>
      <c r="U6" s="0" t="n">
        <f aca="false">4*COS($H$6)/(C6^2*(COS($H$6)^2)-1)^(1/2)</f>
        <v>4.74087080756768</v>
      </c>
      <c r="V6" s="0" t="n">
        <f aca="false">U6/2</f>
        <v>2.37043540378384</v>
      </c>
      <c r="W6" s="0" t="n">
        <f aca="false">U6*((C6^2*(COS($H$6))^2-1)^(1/2)/TAN($H$6)-COS($H$6)*((C6^2-1)^(1/2)/TAN($H$6)-1))</f>
        <v>2.69341887069182</v>
      </c>
      <c r="X6" s="0" t="n">
        <f aca="false">C6</f>
        <v>1.45</v>
      </c>
      <c r="Y6" s="0" t="n">
        <f aca="false">R6*U6+P6*V6+Q6*W6-S6*U6</f>
        <v>136.040771440545</v>
      </c>
      <c r="Z6" s="0" t="n">
        <f aca="false">($D$6*$E$6^2-$E$6^3/3)*TAN(O6)/2</f>
        <v>30</v>
      </c>
      <c r="AA6" s="0" t="n">
        <f aca="false">$D$6^3*TAN(O6)/3</f>
        <v>162.539682539683</v>
      </c>
      <c r="AB6" s="0" t="n">
        <f aca="false">IF(C6&lt;N6,S6*($D$6-($F$6-($D$6+$E$6)*TAN(O6))/(6*TAN(O6))),0)</f>
        <v>13.5736507936508</v>
      </c>
      <c r="AC6" s="0" t="n">
        <f aca="false">$J$6-Z6-AA6+AB6</f>
        <v>43.7006349206349</v>
      </c>
      <c r="AD6" s="0" t="n">
        <f aca="false">AC6+Z6+AA6-AB6</f>
        <v>222.666666666667</v>
      </c>
      <c r="AE6" s="0" t="n">
        <f aca="false">AC6*U6+Z6*V6+AA6*W6-AB6*U6</f>
        <v>651.728649869828</v>
      </c>
      <c r="AF6" s="2" t="n">
        <f aca="false">C6</f>
        <v>1.45</v>
      </c>
      <c r="AG6" s="0" t="n">
        <f aca="false">AE6/Y6</f>
        <v>4.79068622567066</v>
      </c>
      <c r="AI6" s="0" t="s">
        <v>28</v>
      </c>
      <c r="AJ6" s="0" t="s">
        <v>28</v>
      </c>
      <c r="AK6" s="0" t="s">
        <v>28</v>
      </c>
    </row>
    <row r="7" customFormat="false" ht="12.75" hidden="false" customHeight="false" outlineLevel="0" collapsed="false">
      <c r="C7" s="0" t="n">
        <v>1.5</v>
      </c>
      <c r="K7" s="0" t="n">
        <f aca="false">ATAN($F$6/$D$6)</f>
        <v>0.785398163397448</v>
      </c>
      <c r="L7" s="0" t="n">
        <f aca="false">1/SIN($K$6)</f>
        <v>1.4142135623731</v>
      </c>
      <c r="M7" s="0" t="n">
        <f aca="false">ATAN($F$6/($E$6+$D$6))</f>
        <v>0.628796286415433</v>
      </c>
      <c r="N7" s="0" t="n">
        <f aca="false">1/SIN($M$6)</f>
        <v>1.70018381359193</v>
      </c>
      <c r="O7" s="0" t="n">
        <f aca="false">ASIN(1/C7)</f>
        <v>0.729727656226966</v>
      </c>
      <c r="P7" s="0" t="n">
        <f aca="false">$E$6^2*TAN(O7)/2</f>
        <v>4.02492235949962</v>
      </c>
      <c r="Q7" s="0" t="n">
        <f aca="false">$D$6^2*TAN(O7)/2</f>
        <v>28.6216701119973</v>
      </c>
      <c r="R7" s="0" t="n">
        <f aca="false">IF(C7&gt;N7,$I$6-P7-Q7,$F$6^2*((COS($H$6))^2*(COS(O7))^2-(SIN($H$6))^2*(SIN(O7))^2)/(2*(COS($H$6))^2*SIN(2*O7)))</f>
        <v>12.2983738762488</v>
      </c>
      <c r="S7" s="0" t="n">
        <f aca="false">IF(C7&lt;N7,(($F$6-($D$6+$E$6)*TAN(O7))*COS(O7))^2/(2*SIN(2*O7)),0)</f>
        <v>0.944966347745772</v>
      </c>
      <c r="T7" s="0" t="n">
        <f aca="false">P7+Q7+R7-S7</f>
        <v>44</v>
      </c>
      <c r="U7" s="0" t="n">
        <f aca="false">4*COS($H$6)/(C7^2*(COS($H$6)^2)-1)^(1/2)</f>
        <v>4.31487911976475</v>
      </c>
      <c r="V7" s="0" t="n">
        <f aca="false">U7/2</f>
        <v>2.15743955988237</v>
      </c>
      <c r="W7" s="0" t="n">
        <f aca="false">U7*((C7^2*(COS($H$6))^2-1)^(1/2)/TAN($H$6)-COS($H$6)*((C7^2-1)^(1/2)/TAN($H$6)-1))</f>
        <v>2.54076293486996</v>
      </c>
      <c r="X7" s="0" t="n">
        <f aca="false">C7</f>
        <v>1.5</v>
      </c>
      <c r="Y7" s="0" t="n">
        <f aca="false">R7*U7+P7*V7+Q7*W7-S7*U7</f>
        <v>130.392986361396</v>
      </c>
      <c r="Z7" s="0" t="n">
        <f aca="false">($D$6*$E$6^2-$E$6^3/3)*TAN(O7)/2</f>
        <v>28.1744565164974</v>
      </c>
      <c r="AA7" s="0" t="n">
        <f aca="false">$D$6^3*TAN(O7)/3</f>
        <v>152.648907263986</v>
      </c>
      <c r="AB7" s="0" t="n">
        <f aca="false">IF(C7&lt;N7,S7*($D$6-($F$6-($D$6+$E$6)*TAN(O7))/(6*TAN(O7))),0)</f>
        <v>7.88349642616059</v>
      </c>
      <c r="AC7" s="0" t="n">
        <f aca="false">$J$6-Z7-AA7+AB7</f>
        <v>49.7267993123443</v>
      </c>
      <c r="AD7" s="0" t="n">
        <f aca="false">AC7+Z7+AA7-AB7</f>
        <v>222.666666666667</v>
      </c>
      <c r="AE7" s="0" t="n">
        <f aca="false">AC7*U7+Z7*V7+AA7*W7-AB7*U7</f>
        <v>629.1781666172</v>
      </c>
      <c r="AF7" s="2" t="n">
        <f aca="false">C7</f>
        <v>1.5</v>
      </c>
      <c r="AG7" s="0" t="n">
        <f aca="false">AE7/Y7</f>
        <v>4.82524546890411</v>
      </c>
    </row>
    <row r="8" customFormat="false" ht="12.75" hidden="false" customHeight="false" outlineLevel="0" collapsed="false">
      <c r="C8" s="0" t="n">
        <v>1.55</v>
      </c>
      <c r="K8" s="0" t="n">
        <f aca="false">ATAN($F$6/$D$6)</f>
        <v>0.785398163397448</v>
      </c>
      <c r="L8" s="0" t="n">
        <f aca="false">1/SIN($K$6)</f>
        <v>1.4142135623731</v>
      </c>
      <c r="M8" s="0" t="n">
        <f aca="false">ATAN($F$6/($E$6+$D$6))</f>
        <v>0.628796286415433</v>
      </c>
      <c r="N8" s="0" t="n">
        <f aca="false">1/SIN($M$6)</f>
        <v>1.70018381359193</v>
      </c>
      <c r="O8" s="0" t="n">
        <f aca="false">ASIN(1/C8)</f>
        <v>0.701234364583069</v>
      </c>
      <c r="P8" s="0" t="n">
        <f aca="false">$E$6^2*TAN(O8)/2</f>
        <v>3.79980297828674</v>
      </c>
      <c r="Q8" s="0" t="n">
        <f aca="false">$D$6^2*TAN(O8)/2</f>
        <v>27.0208211789279</v>
      </c>
      <c r="R8" s="0" t="n">
        <f aca="false">IF(C8&gt;N8,$I$6-P8-Q8,$F$6^2*((COS($H$6))^2*(COS(O8))^2-(SIN($H$6))^2*(SIN(O8))^2)/(2*(COS($H$6))^2*SIN(2*O8)))</f>
        <v>13.6708467152139</v>
      </c>
      <c r="S8" s="0" t="n">
        <f aca="false">IF(C8&lt;N8,(($F$6-($D$6+$E$6)*TAN(O8))*COS(O8))^2/(2*SIN(2*O8)),0)</f>
        <v>0.491470872428536</v>
      </c>
      <c r="T8" s="0" t="n">
        <f aca="false">P8+Q8+R8-S8</f>
        <v>44</v>
      </c>
      <c r="U8" s="0" t="n">
        <f aca="false">4*COS($H$6)/(C8^2*(COS($H$6)^2)-1)^(1/2)</f>
        <v>3.97645945175653</v>
      </c>
      <c r="V8" s="0" t="n">
        <f aca="false">U8/2</f>
        <v>1.98822972587827</v>
      </c>
      <c r="W8" s="0" t="n">
        <f aca="false">U8*((C8^2*(COS($H$6))^2-1)^(1/2)/TAN($H$6)-COS($H$6)*((C8^2-1)^(1/2)/TAN($H$6)-1))</f>
        <v>2.40977761394667</v>
      </c>
      <c r="X8" s="0" t="n">
        <f aca="false">C8</f>
        <v>1.55</v>
      </c>
      <c r="Y8" s="0" t="n">
        <f aca="false">R8*U8+P8*V8+Q8*W8-S8*U8</f>
        <v>125.076304859642</v>
      </c>
      <c r="Z8" s="0" t="n">
        <f aca="false">($D$6*$E$6^2-$E$6^3/3)*TAN(O8)/2</f>
        <v>26.5986208480072</v>
      </c>
      <c r="AA8" s="0" t="n">
        <f aca="false">$D$6^3*TAN(O8)/3</f>
        <v>144.111046287616</v>
      </c>
      <c r="AB8" s="0" t="n">
        <f aca="false">IF(C8&lt;N8,S8*($D$6-($F$6-($D$6+$E$6)*TAN(O8))/(6*TAN(O8))),0)</f>
        <v>4.05675003519907</v>
      </c>
      <c r="AC8" s="0" t="n">
        <f aca="false">$J$6-Z8-AA8+AB8</f>
        <v>56.0137495662429</v>
      </c>
      <c r="AD8" s="0" t="n">
        <f aca="false">AC8+Z8+AA8-AB8</f>
        <v>222.666666666667</v>
      </c>
      <c r="AE8" s="0" t="n">
        <f aca="false">AC8*U8+Z8*V8+AA8*W8-AB8*U8</f>
        <v>606.764643773831</v>
      </c>
      <c r="AF8" s="2" t="n">
        <f aca="false">C8</f>
        <v>1.55</v>
      </c>
      <c r="AG8" s="0" t="n">
        <f aca="false">AE8/Y8</f>
        <v>4.85115581608145</v>
      </c>
    </row>
    <row r="9" customFormat="false" ht="12.75" hidden="false" customHeight="false" outlineLevel="0" collapsed="false">
      <c r="C9" s="0" t="n">
        <v>1.6</v>
      </c>
      <c r="K9" s="0" t="n">
        <f aca="false">ATAN($F$6/$D$6)</f>
        <v>0.785398163397448</v>
      </c>
      <c r="L9" s="0" t="n">
        <f aca="false">1/SIN($K$6)</f>
        <v>1.4142135623731</v>
      </c>
      <c r="M9" s="0" t="n">
        <f aca="false">ATAN($F$6/($E$6+$D$6))</f>
        <v>0.628796286415433</v>
      </c>
      <c r="N9" s="0" t="n">
        <f aca="false">1/SIN($M$6)</f>
        <v>1.70018381359193</v>
      </c>
      <c r="O9" s="0" t="n">
        <f aca="false">ASIN(1/C9)</f>
        <v>0.675131532937032</v>
      </c>
      <c r="P9" s="0" t="n">
        <f aca="false">$E$6^2*TAN(O9)/2</f>
        <v>3.60288346061446</v>
      </c>
      <c r="Q9" s="0" t="n">
        <f aca="false">$D$6^2*TAN(O9)/2</f>
        <v>25.6205046088139</v>
      </c>
      <c r="R9" s="0" t="n">
        <f aca="false">IF(C9&gt;N9,$I$6-P9-Q9,$F$6^2*((COS($H$6))^2*(COS(O9))^2-(SIN($H$6))^2*(SIN(O9))^2)/(2*(COS($H$6))^2*SIN(2*O9)))</f>
        <v>14.9799887884659</v>
      </c>
      <c r="S9" s="0" t="n">
        <f aca="false">IF(C9&lt;N9,(($F$6-($D$6+$E$6)*TAN(O9))*COS(O9))^2/(2*SIN(2*O9)),0)</f>
        <v>0.203376857894304</v>
      </c>
      <c r="T9" s="0" t="n">
        <f aca="false">P9+Q9+R9-S9</f>
        <v>44</v>
      </c>
      <c r="U9" s="0" t="n">
        <f aca="false">4*COS($H$6)/(C9^2*(COS($H$6)^2)-1)^(1/2)</f>
        <v>3.69898941808781</v>
      </c>
      <c r="V9" s="0" t="n">
        <f aca="false">U9/2</f>
        <v>1.84949470904391</v>
      </c>
      <c r="W9" s="0" t="n">
        <f aca="false">U9*((C9^2*(COS($H$6))^2-1)^(1/2)/TAN($H$6)-COS($H$6)*((C9^2-1)^(1/2)/TAN($H$6)-1))</f>
        <v>2.29547318048539</v>
      </c>
      <c r="X9" s="0" t="n">
        <f aca="false">C9</f>
        <v>1.6</v>
      </c>
      <c r="Y9" s="0" t="n">
        <f aca="false">R9*U9+P9*V9+Q9*W9-S9*U9</f>
        <v>120.133226264117</v>
      </c>
      <c r="Z9" s="0" t="n">
        <f aca="false">($D$6*$E$6^2-$E$6^3/3)*TAN(O9)/2</f>
        <v>25.2201842243012</v>
      </c>
      <c r="AA9" s="0" t="n">
        <f aca="false">$D$6^3*TAN(O9)/3</f>
        <v>136.642691247008</v>
      </c>
      <c r="AB9" s="0" t="n">
        <f aca="false">IF(C9&lt;N9,S9*($D$6-($F$6-($D$6+$E$6)*TAN(O9))/(6*TAN(O9))),0)</f>
        <v>1.66118228383519</v>
      </c>
      <c r="AC9" s="0" t="n">
        <f aca="false">$J$6-Z9-AA9+AB9</f>
        <v>62.4649734791929</v>
      </c>
      <c r="AD9" s="0" t="n">
        <f aca="false">AC9+Z9+AA9-AB9</f>
        <v>222.666666666667</v>
      </c>
      <c r="AE9" s="0" t="n">
        <f aca="false">AC9*U9+Z9*V9+AA9*W9-AB9*U9</f>
        <v>585.216810562058</v>
      </c>
      <c r="AF9" s="2" t="n">
        <f aca="false">C9</f>
        <v>1.6</v>
      </c>
      <c r="AG9" s="0" t="n">
        <f aca="false">AE9/Y9</f>
        <v>4.87139843622811</v>
      </c>
    </row>
    <row r="10" customFormat="false" ht="12.75" hidden="false" customHeight="false" outlineLevel="0" collapsed="false">
      <c r="C10" s="0" t="n">
        <v>1.65</v>
      </c>
      <c r="K10" s="0" t="n">
        <f aca="false">ATAN($F$6/$D$6)</f>
        <v>0.785398163397448</v>
      </c>
      <c r="L10" s="0" t="n">
        <f aca="false">1/SIN($K$6)</f>
        <v>1.4142135623731</v>
      </c>
      <c r="M10" s="0" t="n">
        <f aca="false">ATAN($F$6/($E$6+$D$6))</f>
        <v>0.628796286415433</v>
      </c>
      <c r="N10" s="0" t="n">
        <f aca="false">1/SIN($M$6)</f>
        <v>1.70018381359193</v>
      </c>
      <c r="O10" s="0" t="n">
        <f aca="false">ASIN(1/C10)</f>
        <v>0.651098584971118</v>
      </c>
      <c r="P10" s="0" t="n">
        <f aca="false">$E$6^2*TAN(O10)/2</f>
        <v>3.42872692991757</v>
      </c>
      <c r="Q10" s="0" t="n">
        <f aca="false">$D$6^2*TAN(O10)/2</f>
        <v>24.3820581683027</v>
      </c>
      <c r="R10" s="0" t="n">
        <f aca="false">IF(C10&gt;N10,$I$6-P10-Q10,$F$6^2*((COS($H$6))^2*(COS(O10))^2-(SIN($H$6))^2*(SIN(O10))^2)/(2*(COS($H$6))^2*SIN(2*O10)))</f>
        <v>16.2369268614541</v>
      </c>
      <c r="S10" s="0" t="n">
        <f aca="false">IF(C10&lt;N10,(($F$6-($D$6+$E$6)*TAN(O10))*COS(O10))^2/(2*SIN(2*O10)),0)</f>
        <v>0.047711959674345</v>
      </c>
      <c r="T10" s="0" t="n">
        <f aca="false">P10+Q10+R10-S10</f>
        <v>44</v>
      </c>
      <c r="U10" s="0" t="n">
        <f aca="false">4*COS($H$6)/(C10^2*(COS($H$6)^2)-1)^(1/2)</f>
        <v>3.4659976011514</v>
      </c>
      <c r="V10" s="0" t="n">
        <f aca="false">U10/2</f>
        <v>1.7329988005757</v>
      </c>
      <c r="W10" s="0" t="n">
        <f aca="false">U10*((C10^2*(COS($H$6))^2-1)^(1/2)/TAN($H$6)-COS($H$6)*((C10^2-1)^(1/2)/TAN($H$6)-1))</f>
        <v>2.19439297578028</v>
      </c>
      <c r="X10" s="0" t="n">
        <f aca="false">C10</f>
        <v>1.65</v>
      </c>
      <c r="Y10" s="0" t="n">
        <f aca="false">R10*U10+P10*V10+Q10*W10-S10*U10</f>
        <v>115.557576850731</v>
      </c>
      <c r="Z10" s="0" t="n">
        <f aca="false">($D$6*$E$6^2-$E$6^3/3)*TAN(O10)/2</f>
        <v>24.001088509423</v>
      </c>
      <c r="AA10" s="0" t="n">
        <f aca="false">$D$6^3*TAN(O10)/3</f>
        <v>130.037643564281</v>
      </c>
      <c r="AB10" s="0" t="n">
        <f aca="false">IF(C10&lt;N10,S10*($D$6-($F$6-($D$6+$E$6)*TAN(O10))/(6*TAN(O10))),0)</f>
        <v>0.385675460783624</v>
      </c>
      <c r="AC10" s="0" t="n">
        <f aca="false">$J$6-Z10-AA10+AB10</f>
        <v>69.0136100537463</v>
      </c>
      <c r="AD10" s="0" t="n">
        <f aca="false">AC10+Z10+AA10-AB10</f>
        <v>222.666666666667</v>
      </c>
      <c r="AE10" s="0" t="n">
        <f aca="false">AC10*U10+Z10*V10+AA10*W10-AB10*U10</f>
        <v>564.811805895002</v>
      </c>
      <c r="AF10" s="2" t="n">
        <f aca="false">C10</f>
        <v>1.65</v>
      </c>
      <c r="AG10" s="0" t="n">
        <f aca="false">AE10/Y10</f>
        <v>4.88770897839597</v>
      </c>
    </row>
    <row r="11" customFormat="false" ht="12.75" hidden="false" customHeight="false" outlineLevel="0" collapsed="false">
      <c r="C11" s="0" t="n">
        <v>1.7</v>
      </c>
      <c r="K11" s="0" t="n">
        <f aca="false">ATAN($F$6/$D$6)</f>
        <v>0.785398163397448</v>
      </c>
      <c r="L11" s="0" t="n">
        <f aca="false">1/SIN($K$6)</f>
        <v>1.4142135623731</v>
      </c>
      <c r="M11" s="0" t="n">
        <f aca="false">ATAN($F$6/($E$6+$D$6))</f>
        <v>0.628796286415433</v>
      </c>
      <c r="N11" s="0" t="n">
        <f aca="false">1/SIN($M$6)</f>
        <v>1.70018381359193</v>
      </c>
      <c r="O11" s="0" t="n">
        <f aca="false">ASIN(1/C11)</f>
        <v>0.628874925495052</v>
      </c>
      <c r="P11" s="0" t="n">
        <f aca="false">$E$6^2*TAN(O11)/2</f>
        <v>3.27326835353989</v>
      </c>
      <c r="Q11" s="0" t="n">
        <f aca="false">$D$6^2*TAN(O11)/2</f>
        <v>23.2765749585059</v>
      </c>
      <c r="R11" s="0" t="n">
        <f aca="false">IF(C11&gt;N11,$I$6-P11-Q11,$F$6^2*((COS($H$6))^2*(COS(O11))^2-(SIN($H$6))^2*(SIN(O11))^2)/(2*(COS($H$6))^2*SIN(2*O11)))</f>
        <v>17.4501572892049</v>
      </c>
      <c r="S11" s="0" t="n">
        <f aca="false">IF(C11&lt;N11,(($F$6-($D$6+$E$6)*TAN(O11))*COS(O11))^2/(2*SIN(2*O11)),0)</f>
        <v>6.01250597142929E-007</v>
      </c>
      <c r="T11" s="0" t="n">
        <f aca="false">P11+Q11+R11-S11</f>
        <v>44</v>
      </c>
      <c r="U11" s="0" t="n">
        <f aca="false">4*COS($H$6)/(C11^2*(COS($H$6)^2)-1)^(1/2)</f>
        <v>3.26666695023152</v>
      </c>
      <c r="V11" s="0" t="n">
        <f aca="false">U11/2</f>
        <v>1.63333347511576</v>
      </c>
      <c r="W11" s="0" t="n">
        <f aca="false">U11*((C11^2*(COS($H$6))^2-1)^(1/2)/TAN($H$6)-COS($H$6)*((C11^2-1)^(1/2)/TAN($H$6)-1))</f>
        <v>2.10404290792582</v>
      </c>
      <c r="X11" s="0" t="n">
        <f aca="false">C11</f>
        <v>1.7</v>
      </c>
      <c r="Y11" s="0" t="n">
        <f aca="false">R11*U11+P11*V11+Q11*W11-S11*U11</f>
        <v>111.325101366023</v>
      </c>
      <c r="Z11" s="0" t="n">
        <f aca="false">($D$6*$E$6^2-$E$6^3/3)*TAN(O11)/2</f>
        <v>22.9128784747792</v>
      </c>
      <c r="AA11" s="0" t="n">
        <f aca="false">$D$6^3*TAN(O11)/3</f>
        <v>124.141733112031</v>
      </c>
      <c r="AB11" s="0" t="n">
        <f aca="false">IF(C11&lt;N11,S11*($D$6-($F$6-($D$6+$E$6)*TAN(O11))/(6*TAN(O11))),0)</f>
        <v>4.81018698935418E-006</v>
      </c>
      <c r="AC11" s="0" t="n">
        <f aca="false">$J$6-Z11-AA11+AB11</f>
        <v>75.6120598900432</v>
      </c>
      <c r="AD11" s="0" t="n">
        <f aca="false">AC11+Z11+AA11-AB11</f>
        <v>222.666666666667</v>
      </c>
      <c r="AE11" s="0" t="n">
        <f aca="false">AC11*U11+Z11*V11+AA11*W11-AB11*U11</f>
        <v>545.623305924557</v>
      </c>
      <c r="AF11" s="2" t="n">
        <f aca="false">C11</f>
        <v>1.7</v>
      </c>
      <c r="AG11" s="0" t="n">
        <f aca="false">AE11/Y11</f>
        <v>4.90117052874368</v>
      </c>
    </row>
    <row r="12" customFormat="false" ht="12.75" hidden="false" customHeight="false" outlineLevel="0" collapsed="false">
      <c r="C12" s="0" t="n">
        <v>1.701</v>
      </c>
      <c r="K12" s="0" t="n">
        <f aca="false">ATAN($F$6/$D$6)</f>
        <v>0.785398163397448</v>
      </c>
      <c r="L12" s="0" t="n">
        <f aca="false">1/SIN($K$6)</f>
        <v>1.4142135623731</v>
      </c>
      <c r="M12" s="0" t="n">
        <f aca="false">ATAN($F$6/($E$6+$D$6))</f>
        <v>0.628796286415433</v>
      </c>
      <c r="N12" s="0" t="n">
        <f aca="false">1/SIN($M$6)</f>
        <v>1.70018381359193</v>
      </c>
      <c r="O12" s="0" t="n">
        <f aca="false">ASIN(1/C12)</f>
        <v>0.628447365297501</v>
      </c>
      <c r="P12" s="0" t="n">
        <f aca="false">$E$6^2*TAN(O12)/2</f>
        <v>3.27032724669815</v>
      </c>
      <c r="Q12" s="0" t="n">
        <f aca="false">$D$6^2*TAN(O12)/2</f>
        <v>23.2556604209646</v>
      </c>
      <c r="R12" s="0" t="n">
        <f aca="false">IF(C12&gt;N12,$I$6-P12-Q12,$F$6^2*((COS($H$6))^2*(COS(O12))^2-(SIN($H$6))^2*(SIN(O12))^2)/(2*(COS($H$6))^2*SIN(2*O12)))</f>
        <v>17.4740123323372</v>
      </c>
      <c r="S12" s="0" t="n">
        <f aca="false">IF(C12&lt;N12,(($F$6-($D$6+$E$6)*TAN(O12))*COS(O12))^2/(2*SIN(2*O12)),0)</f>
        <v>0</v>
      </c>
      <c r="T12" s="0" t="n">
        <f aca="false">P12+Q12+R12-S12</f>
        <v>44</v>
      </c>
      <c r="U12" s="0" t="n">
        <f aca="false">4*COS($H$6)/(C12^2*(COS($H$6)^2)-1)^(1/2)</f>
        <v>3.26296838595155</v>
      </c>
      <c r="V12" s="0" t="n">
        <f aca="false">U12/2</f>
        <v>1.63148419297577</v>
      </c>
      <c r="W12" s="0" t="n">
        <f aca="false">U12*((C12^2*(COS($H$6))^2-1)^(1/2)/TAN($H$6)-COS($H$6)*((C12^2-1)^(1/2)/TAN($H$6)-1))</f>
        <v>2.10233175244067</v>
      </c>
      <c r="X12" s="0" t="n">
        <f aca="false">C12</f>
        <v>1.701</v>
      </c>
      <c r="Y12" s="0" t="n">
        <f aca="false">R12*U12+P12*V12+Q12*W12-S12*U12</f>
        <v>111.243750351962</v>
      </c>
      <c r="Z12" s="0" t="n">
        <f aca="false">($D$6*$E$6^2-$E$6^3/3)*TAN(O12)/2</f>
        <v>22.892290726887</v>
      </c>
      <c r="AA12" s="0" t="n">
        <f aca="false">$D$6^3*TAN(O12)/3</f>
        <v>124.030188911811</v>
      </c>
      <c r="AB12" s="0" t="n">
        <f aca="false">IF(C12&lt;N12,S12*($D$6-($F$6-($D$6+$E$6)*TAN(O12))/(6*TAN(O12))),0)</f>
        <v>0</v>
      </c>
      <c r="AC12" s="0" t="n">
        <f aca="false">$J$6-Z12-AA12+AB12</f>
        <v>75.7441870279683</v>
      </c>
      <c r="AD12" s="0" t="n">
        <f aca="false">AC12+Z12+AA12-AB12</f>
        <v>222.666666666667</v>
      </c>
      <c r="AE12" s="0" t="n">
        <f aca="false">AC12*U12+Z12*V12+AA12*W12-AB12*U12</f>
        <v>545.2519025643</v>
      </c>
      <c r="AF12" s="2" t="n">
        <f aca="false">C12</f>
        <v>1.701</v>
      </c>
      <c r="AG12" s="0" t="n">
        <f aca="false">AE12/Y12</f>
        <v>4.90141604215239</v>
      </c>
    </row>
    <row r="13" customFormat="false" ht="12.75" hidden="false" customHeight="false" outlineLevel="0" collapsed="false">
      <c r="C13" s="0" t="n">
        <v>1.75</v>
      </c>
      <c r="K13" s="0" t="n">
        <f aca="false">ATAN($F$6/$D$6)</f>
        <v>0.785398163397448</v>
      </c>
      <c r="L13" s="0" t="n">
        <f aca="false">1/SIN($K$6)</f>
        <v>1.4142135623731</v>
      </c>
      <c r="M13" s="0" t="n">
        <f aca="false">ATAN($F$6/($E$6+$D$6))</f>
        <v>0.628796286415433</v>
      </c>
      <c r="N13" s="0" t="n">
        <f aca="false">1/SIN($M$6)</f>
        <v>1.70018381359193</v>
      </c>
      <c r="O13" s="0" t="n">
        <f aca="false">ASIN(1/C13)</f>
        <v>0.60824557891021</v>
      </c>
      <c r="P13" s="0" t="n">
        <f aca="false">$E$6^2*TAN(O13)/2</f>
        <v>3.13339780720256</v>
      </c>
      <c r="Q13" s="0" t="n">
        <f aca="false">$D$6^2*TAN(O13)/2</f>
        <v>22.2819399623293</v>
      </c>
      <c r="R13" s="0" t="n">
        <f aca="false">IF(C13&gt;N13,$I$6-P13-Q13,$F$6^2*((COS($H$6))^2*(COS(O13))^2-(SIN($H$6))^2*(SIN(O13))^2)/(2*(COS($H$6))^2*SIN(2*O13)))</f>
        <v>18.5846622304681</v>
      </c>
      <c r="S13" s="0" t="n">
        <f aca="false">IF(C13&lt;N13,(($F$6-($D$6+$E$6)*TAN(O13))*COS(O13))^2/(2*SIN(2*O13)),0)</f>
        <v>0</v>
      </c>
      <c r="T13" s="0" t="n">
        <f aca="false">P13+Q13+R13-S13</f>
        <v>44</v>
      </c>
      <c r="U13" s="0" t="n">
        <f aca="false">4*COS($H$6)/(C13^2*(COS($H$6)^2)-1)^(1/2)</f>
        <v>3.09355676494612</v>
      </c>
      <c r="V13" s="0" t="n">
        <f aca="false">U13/2</f>
        <v>1.54677838247306</v>
      </c>
      <c r="W13" s="0" t="n">
        <f aca="false">U13*((C13^2*(COS($H$6))^2-1)^(1/2)/TAN($H$6)-COS($H$6)*((C13^2-1)^(1/2)/TAN($H$6)-1))</f>
        <v>2.02256457952815</v>
      </c>
      <c r="X13" s="0" t="n">
        <f aca="false">C13</f>
        <v>1.75</v>
      </c>
      <c r="Y13" s="0" t="n">
        <f aca="false">R13*U13+P13*V13+Q13*W13-S13*U13</f>
        <v>107.406042090153</v>
      </c>
      <c r="Z13" s="0" t="n">
        <f aca="false">($D$6*$E$6^2-$E$6^3/3)*TAN(O13)/2</f>
        <v>21.9337846504179</v>
      </c>
      <c r="AA13" s="0" t="n">
        <f aca="false">$D$6^3*TAN(O13)/3</f>
        <v>118.837013132423</v>
      </c>
      <c r="AB13" s="0" t="n">
        <f aca="false">IF(C13&lt;N13,S13*($D$6-($F$6-($D$6+$E$6)*TAN(O13))/(6*TAN(O13))),0)</f>
        <v>0</v>
      </c>
      <c r="AC13" s="0" t="n">
        <f aca="false">$J$6-Z13-AA13+AB13</f>
        <v>81.8958688838257</v>
      </c>
      <c r="AD13" s="0" t="n">
        <f aca="false">AC13+Z13+AA13-AB13</f>
        <v>222.666666666667</v>
      </c>
      <c r="AE13" s="0" t="n">
        <f aca="false">AC13*U13+Z13*V13+AA13*W13-AB13*U13</f>
        <v>527.631756648346</v>
      </c>
      <c r="AF13" s="2" t="n">
        <f aca="false">C13</f>
        <v>1.75</v>
      </c>
      <c r="AG13" s="0" t="n">
        <f aca="false">AE13/Y13</f>
        <v>4.91249604194027</v>
      </c>
    </row>
    <row r="14" customFormat="false" ht="12.75" hidden="false" customHeight="false" outlineLevel="0" collapsed="false">
      <c r="C14" s="0" t="n">
        <v>1.8</v>
      </c>
      <c r="K14" s="0" t="n">
        <f aca="false">ATAN($F$6/$D$6)</f>
        <v>0.785398163397448</v>
      </c>
      <c r="L14" s="0" t="n">
        <f aca="false">1/SIN($K$6)</f>
        <v>1.4142135623731</v>
      </c>
      <c r="M14" s="0" t="n">
        <f aca="false">ATAN($F$6/($E$6+$D$6))</f>
        <v>0.628796286415433</v>
      </c>
      <c r="N14" s="0" t="n">
        <f aca="false">1/SIN($M$6)</f>
        <v>1.70018381359193</v>
      </c>
      <c r="O14" s="0" t="n">
        <f aca="false">ASIN(1/C14)</f>
        <v>0.589030970216274</v>
      </c>
      <c r="P14" s="0" t="n">
        <f aca="false">$E$6^2*TAN(O14)/2</f>
        <v>3.00668897151478</v>
      </c>
      <c r="Q14" s="0" t="n">
        <f aca="false">$D$6^2*TAN(O14)/2</f>
        <v>21.380899352994</v>
      </c>
      <c r="R14" s="0" t="n">
        <f aca="false">IF(C14&gt;N14,$I$6-P14-Q14,$F$6^2*((COS($H$6))^2*(COS(O14))^2-(SIN($H$6))^2*(SIN(O14))^2)/(2*(COS($H$6))^2*SIN(2*O14)))</f>
        <v>19.6124116754913</v>
      </c>
      <c r="S14" s="0" t="n">
        <f aca="false">IF(C14&lt;N14,(($F$6-($D$6+$E$6)*TAN(O14))*COS(O14))^2/(2*SIN(2*O14)),0)</f>
        <v>0</v>
      </c>
      <c r="T14" s="0" t="n">
        <f aca="false">P14+Q14+R14-S14</f>
        <v>44</v>
      </c>
      <c r="U14" s="0" t="n">
        <f aca="false">4*COS($H$6)/(C14^2*(COS($H$6)^2)-1)^(1/2)</f>
        <v>2.94135538091715</v>
      </c>
      <c r="V14" s="0" t="n">
        <f aca="false">U14/2</f>
        <v>1.47067769045858</v>
      </c>
      <c r="W14" s="0" t="n">
        <f aca="false">U14*((C14^2*(COS($H$6))^2-1)^(1/2)/TAN($H$6)-COS($H$6)*((C14^2-1)^(1/2)/TAN($H$6)-1))</f>
        <v>1.94853657843535</v>
      </c>
      <c r="X14" s="0" t="n">
        <f aca="false">C14</f>
        <v>1.8</v>
      </c>
      <c r="Y14" s="0" t="n">
        <f aca="false">R14*U14+P14*V14+Q14*W14-S14*U14</f>
        <v>103.770407476177</v>
      </c>
      <c r="Z14" s="0" t="n">
        <f aca="false">($D$6*$E$6^2-$E$6^3/3)*TAN(O14)/2</f>
        <v>21.0468228006034</v>
      </c>
      <c r="AA14" s="0" t="n">
        <f aca="false">$D$6^3*TAN(O14)/3</f>
        <v>114.031463215968</v>
      </c>
      <c r="AB14" s="0" t="n">
        <f aca="false">IF(C14&lt;N14,S14*($D$6-($F$6-($D$6+$E$6)*TAN(O14))/(6*TAN(O14))),0)</f>
        <v>0</v>
      </c>
      <c r="AC14" s="0" t="n">
        <f aca="false">$J$6-Z14-AA14+AB14</f>
        <v>87.5883806500955</v>
      </c>
      <c r="AD14" s="0" t="n">
        <f aca="false">AC14+Z14+AA14-AB14</f>
        <v>222.666666666667</v>
      </c>
      <c r="AE14" s="0" t="n">
        <f aca="false">AC14*U14+Z14*V14+AA14*W14-AB14*U14</f>
        <v>510.776124647678</v>
      </c>
      <c r="AF14" s="2" t="n">
        <f aca="false">C14</f>
        <v>1.8</v>
      </c>
      <c r="AG14" s="0" t="n">
        <f aca="false">AE14/Y14</f>
        <v>4.92217518529973</v>
      </c>
    </row>
    <row r="15" customFormat="false" ht="12.75" hidden="false" customHeight="false" outlineLevel="0" collapsed="false">
      <c r="C15" s="0" t="n">
        <v>1.9</v>
      </c>
      <c r="K15" s="0" t="n">
        <f aca="false">ATAN($F$6/$D$6)</f>
        <v>0.785398163397448</v>
      </c>
      <c r="L15" s="0" t="n">
        <f aca="false">1/SIN($K$6)</f>
        <v>1.4142135623731</v>
      </c>
      <c r="M15" s="0" t="n">
        <f aca="false">ATAN($F$6/($E$6+$D$6))</f>
        <v>0.628796286415433</v>
      </c>
      <c r="N15" s="0" t="n">
        <f aca="false">1/SIN($M$6)</f>
        <v>1.70018381359193</v>
      </c>
      <c r="O15" s="0" t="n">
        <f aca="false">ASIN(1/C15)</f>
        <v>0.554261834452328</v>
      </c>
      <c r="P15" s="0" t="n">
        <f aca="false">$E$6^2*TAN(O15)/2</f>
        <v>2.78543007265578</v>
      </c>
      <c r="Q15" s="0" t="n">
        <f aca="false">$D$6^2*TAN(O15)/2</f>
        <v>19.8075027388855</v>
      </c>
      <c r="R15" s="0" t="n">
        <f aca="false">IF(C15&gt;N15,$I$6-P15-Q15,$F$6^2*((COS($H$6))^2*(COS(O15))^2-(SIN($H$6))^2*(SIN(O15))^2)/(2*(COS($H$6))^2*SIN(2*O15)))</f>
        <v>21.4070671884587</v>
      </c>
      <c r="S15" s="0" t="n">
        <f aca="false">IF(C15&lt;N15,(($F$6-($D$6+$E$6)*TAN(O15))*COS(O15))^2/(2*SIN(2*O15)),0)</f>
        <v>0</v>
      </c>
      <c r="T15" s="0" t="n">
        <f aca="false">P15+Q15+R15-S15</f>
        <v>44</v>
      </c>
      <c r="U15" s="0" t="n">
        <f aca="false">4*COS($H$6)/(C15^2*(COS($H$6)^2)-1)^(1/2)</f>
        <v>2.68500220385281</v>
      </c>
      <c r="V15" s="0" t="n">
        <f aca="false">U15/2</f>
        <v>1.34250110192641</v>
      </c>
      <c r="W15" s="0" t="n">
        <f aca="false">U15*((C15^2*(COS($H$6))^2-1)^(1/2)/TAN($H$6)-COS($H$6)*((C15^2-1)^(1/2)/TAN($H$6)-1))</f>
        <v>1.81861385873453</v>
      </c>
      <c r="X15" s="0" t="n">
        <f aca="false">C15</f>
        <v>1.9</v>
      </c>
      <c r="Y15" s="0" t="n">
        <f aca="false">R15*U15+P15*V15+Q15*W15-S15*U15</f>
        <v>97.2396645087755</v>
      </c>
      <c r="Z15" s="0" t="n">
        <f aca="false">($D$6*$E$6^2-$E$6^3/3)*TAN(O15)/2</f>
        <v>19.4980105085904</v>
      </c>
      <c r="AA15" s="0" t="n">
        <f aca="false">$D$6^3*TAN(O15)/3</f>
        <v>105.64001460739</v>
      </c>
      <c r="AB15" s="0" t="n">
        <f aca="false">IF(C15&lt;N15,S15*($D$6-($F$6-($D$6+$E$6)*TAN(O15))/(6*TAN(O15))),0)</f>
        <v>0</v>
      </c>
      <c r="AC15" s="0" t="n">
        <f aca="false">$J$6-Z15-AA15+AB15</f>
        <v>97.5286415506867</v>
      </c>
      <c r="AD15" s="0" t="n">
        <f aca="false">AC15+Z15+AA15-AB15</f>
        <v>222.666666666667</v>
      </c>
      <c r="AE15" s="0" t="n">
        <f aca="false">AC15*U15+Z15*V15+AA15*W15-AB15*U15</f>
        <v>480.159112697437</v>
      </c>
      <c r="AF15" s="2" t="n">
        <f aca="false">C15</f>
        <v>1.9</v>
      </c>
      <c r="AG15" s="0" t="n">
        <f aca="false">AE15/Y15</f>
        <v>4.93789355530021</v>
      </c>
    </row>
    <row r="16" customFormat="false" ht="12.75" hidden="false" customHeight="false" outlineLevel="0" collapsed="false">
      <c r="C16" s="0" t="n">
        <v>2</v>
      </c>
      <c r="K16" s="0" t="n">
        <f aca="false">ATAN($F$6/$D$6)</f>
        <v>0.785398163397448</v>
      </c>
      <c r="L16" s="0" t="n">
        <f aca="false">1/SIN($K$6)</f>
        <v>1.4142135623731</v>
      </c>
      <c r="M16" s="0" t="n">
        <f aca="false">ATAN($F$6/($E$6+$D$6))</f>
        <v>0.628796286415433</v>
      </c>
      <c r="N16" s="0" t="n">
        <f aca="false">1/SIN($M$6)</f>
        <v>1.70018381359193</v>
      </c>
      <c r="O16" s="0" t="n">
        <f aca="false">ASIN(1/C16)</f>
        <v>0.523598775598299</v>
      </c>
      <c r="P16" s="0" t="n">
        <f aca="false">$E$6^2*TAN(O16)/2</f>
        <v>2.59807621135332</v>
      </c>
      <c r="Q16" s="0" t="n">
        <f aca="false">$D$6^2*TAN(O16)/2</f>
        <v>18.475208614068</v>
      </c>
      <c r="R16" s="0" t="n">
        <f aca="false">IF(C16&gt;N16,$I$6-P16-Q16,$F$6^2*((COS($H$6))^2*(COS(O16))^2-(SIN($H$6))^2*(SIN(O16))^2)/(2*(COS($H$6))^2*SIN(2*O16)))</f>
        <v>22.9267151745787</v>
      </c>
      <c r="S16" s="0" t="n">
        <f aca="false">IF(C16&lt;N16,(($F$6-($D$6+$E$6)*TAN(O16))*COS(O16))^2/(2*SIN(2*O16)),0)</f>
        <v>0</v>
      </c>
      <c r="T16" s="0" t="n">
        <f aca="false">P16+Q16+R16-S16</f>
        <v>44</v>
      </c>
      <c r="U16" s="0" t="n">
        <f aca="false">4*COS($H$6)/(C16^2*(COS($H$6)^2)-1)^(1/2)</f>
        <v>2.47623434410924</v>
      </c>
      <c r="V16" s="0" t="n">
        <f aca="false">U16/2</f>
        <v>1.23811717205462</v>
      </c>
      <c r="W16" s="0" t="n">
        <f aca="false">U16*((C16^2*(COS($H$6))^2-1)^(1/2)/TAN($H$6)-COS($H$6)*((C16^2-1)^(1/2)/TAN($H$6)-1))</f>
        <v>1.70777736627463</v>
      </c>
      <c r="X16" s="0" t="n">
        <f aca="false">C16</f>
        <v>2</v>
      </c>
      <c r="Y16" s="0" t="n">
        <f aca="false">R16*U16+P16*V16+Q16*W16-S16*U16</f>
        <v>91.5401853927927</v>
      </c>
      <c r="Z16" s="0" t="n">
        <f aca="false">($D$6*$E$6^2-$E$6^3/3)*TAN(O16)/2</f>
        <v>18.1865334794732</v>
      </c>
      <c r="AA16" s="0" t="n">
        <f aca="false">$D$6^3*TAN(O16)/3</f>
        <v>98.5344459416962</v>
      </c>
      <c r="AB16" s="0" t="n">
        <f aca="false">IF(C16&lt;N16,S16*($D$6-($F$6-($D$6+$E$6)*TAN(O16))/(6*TAN(O16))),0)</f>
        <v>0</v>
      </c>
      <c r="AC16" s="0" t="n">
        <f aca="false">$J$6-Z16-AA16+AB16</f>
        <v>105.945687245497</v>
      </c>
      <c r="AD16" s="0" t="n">
        <f aca="false">AC16+Z16+AA16-AB16</f>
        <v>222.666666666667</v>
      </c>
      <c r="AE16" s="0" t="n">
        <f aca="false">AC16*U16+Z16*V16+AA16*W16-AB16*U16</f>
        <v>453.138305346278</v>
      </c>
      <c r="AF16" s="2" t="n">
        <f aca="false">C16</f>
        <v>2</v>
      </c>
      <c r="AG16" s="0" t="n">
        <f aca="false">AE16/Y16</f>
        <v>4.95015717306987</v>
      </c>
    </row>
    <row r="17" customFormat="false" ht="12.75" hidden="false" customHeight="false" outlineLevel="0" collapsed="false">
      <c r="C17" s="0" t="n">
        <v>2.2</v>
      </c>
      <c r="K17" s="0" t="n">
        <f aca="false">ATAN($F$6/$D$6)</f>
        <v>0.785398163397448</v>
      </c>
      <c r="L17" s="0" t="n">
        <f aca="false">1/SIN($K$6)</f>
        <v>1.4142135623731</v>
      </c>
      <c r="M17" s="0" t="n">
        <f aca="false">ATAN($F$6/($E$6+$D$6))</f>
        <v>0.628796286415433</v>
      </c>
      <c r="N17" s="0" t="n">
        <f aca="false">1/SIN($M$6)</f>
        <v>1.70018381359193</v>
      </c>
      <c r="O17" s="0" t="n">
        <f aca="false">ASIN(1/C17)</f>
        <v>0.471861837279642</v>
      </c>
      <c r="P17" s="0" t="n">
        <f aca="false">$E$6^2*TAN(O17)/2</f>
        <v>2.29639663385923</v>
      </c>
      <c r="Q17" s="0" t="n">
        <f aca="false">$D$6^2*TAN(O17)/2</f>
        <v>16.3299316185545</v>
      </c>
      <c r="R17" s="0" t="n">
        <f aca="false">IF(C17&gt;N17,$I$6-P17-Q17,$F$6^2*((COS($H$6))^2*(COS(O17))^2-(SIN($H$6))^2*(SIN(O17))^2)/(2*(COS($H$6))^2*SIN(2*O17)))</f>
        <v>25.3736717475862</v>
      </c>
      <c r="S17" s="0" t="n">
        <f aca="false">IF(C17&lt;N17,(($F$6-($D$6+$E$6)*TAN(O17))*COS(O17))^2/(2*SIN(2*O17)),0)</f>
        <v>0</v>
      </c>
      <c r="T17" s="0" t="n">
        <f aca="false">P17+Q17+R17-S17</f>
        <v>44</v>
      </c>
      <c r="U17" s="0" t="n">
        <f aca="false">4*COS($H$6)/(C17^2*(COS($H$6)^2)-1)^(1/2)</f>
        <v>2.15372270064673</v>
      </c>
      <c r="V17" s="0" t="n">
        <f aca="false">U17/2</f>
        <v>1.07686135032336</v>
      </c>
      <c r="W17" s="0" t="n">
        <f aca="false">U17*((C17^2*(COS($H$6))^2-1)^(1/2)/TAN($H$6)-COS($H$6)*((C17^2-1)^(1/2)/TAN($H$6)-1))</f>
        <v>1.5272915605599</v>
      </c>
      <c r="X17" s="0" t="n">
        <f aca="false">C17</f>
        <v>2.2</v>
      </c>
      <c r="Y17" s="0" t="n">
        <f aca="false">R17*U17+P17*V17+Q17*W17-S17*U17</f>
        <v>82.0613203670892</v>
      </c>
      <c r="Z17" s="0" t="n">
        <f aca="false">($D$6*$E$6^2-$E$6^3/3)*TAN(O17)/2</f>
        <v>16.0747764370146</v>
      </c>
      <c r="AA17" s="0" t="n">
        <f aca="false">$D$6^3*TAN(O17)/3</f>
        <v>87.0929686322908</v>
      </c>
      <c r="AB17" s="0" t="n">
        <f aca="false">IF(C17&lt;N17,S17*($D$6-($F$6-($D$6+$E$6)*TAN(O17))/(6*TAN(O17))),0)</f>
        <v>0</v>
      </c>
      <c r="AC17" s="0" t="n">
        <f aca="false">$J$6-Z17-AA17+AB17</f>
        <v>119.498921597361</v>
      </c>
      <c r="AD17" s="0" t="n">
        <f aca="false">AC17+Z17+AA17-AB17</f>
        <v>222.666666666667</v>
      </c>
      <c r="AE17" s="0" t="n">
        <f aca="false">AC17*U17+Z17*V17+AA17*W17-AB17*U17</f>
        <v>407.694201583356</v>
      </c>
      <c r="AF17" s="2" t="n">
        <f aca="false">C17</f>
        <v>2.2</v>
      </c>
      <c r="AG17" s="0" t="n">
        <f aca="false">AE17/Y17</f>
        <v>4.96816526665177</v>
      </c>
    </row>
    <row r="18" customFormat="false" ht="12.75" hidden="false" customHeight="false" outlineLevel="0" collapsed="false">
      <c r="C18" s="0" t="n">
        <v>2.4</v>
      </c>
      <c r="K18" s="0" t="n">
        <f aca="false">ATAN($F$6/$D$6)</f>
        <v>0.785398163397448</v>
      </c>
      <c r="L18" s="0" t="n">
        <f aca="false">1/SIN($K$6)</f>
        <v>1.4142135623731</v>
      </c>
      <c r="M18" s="0" t="n">
        <f aca="false">ATAN($F$6/($E$6+$D$6))</f>
        <v>0.628796286415433</v>
      </c>
      <c r="N18" s="0" t="n">
        <f aca="false">1/SIN($M$6)</f>
        <v>1.70018381359193</v>
      </c>
      <c r="O18" s="0" t="n">
        <f aca="false">ASIN(1/C18)</f>
        <v>0.429775431304528</v>
      </c>
      <c r="P18" s="0" t="n">
        <f aca="false">$E$6^2*TAN(O18)/2</f>
        <v>2.06257161831348</v>
      </c>
      <c r="Q18" s="0" t="n">
        <f aca="false">$D$6^2*TAN(O18)/2</f>
        <v>14.6671759524514</v>
      </c>
      <c r="R18" s="0" t="n">
        <f aca="false">IF(C18&gt;N18,$I$6-P18-Q18,$F$6^2*((COS($H$6))^2*(COS(O18))^2-(SIN($H$6))^2*(SIN(O18))^2)/(2*(COS($H$6))^2*SIN(2*O18)))</f>
        <v>27.2702524292351</v>
      </c>
      <c r="S18" s="0" t="n">
        <f aca="false">IF(C18&lt;N18,(($F$6-($D$6+$E$6)*TAN(O18))*COS(O18))^2/(2*SIN(2*O18)),0)</f>
        <v>0</v>
      </c>
      <c r="T18" s="0" t="n">
        <f aca="false">P18+Q18+R18-S18</f>
        <v>44</v>
      </c>
      <c r="U18" s="0" t="n">
        <f aca="false">4*COS($H$6)/(C18^2*(COS($H$6)^2)-1)^(1/2)</f>
        <v>1.91359633967642</v>
      </c>
      <c r="V18" s="0" t="n">
        <f aca="false">U18/2</f>
        <v>0.956798169838211</v>
      </c>
      <c r="W18" s="0" t="n">
        <f aca="false">U18*((C18^2*(COS($H$6))^2-1)^(1/2)/TAN($H$6)-COS($H$6)*((C18^2-1)^(1/2)/TAN($H$6)-1))</f>
        <v>1.38532177531464</v>
      </c>
      <c r="X18" s="0" t="n">
        <f aca="false">C18</f>
        <v>2.4</v>
      </c>
      <c r="Y18" s="0" t="n">
        <f aca="false">R18*U18+P18*V18+Q18*W18-S18*U18</f>
        <v>74.4764782095011</v>
      </c>
      <c r="Z18" s="0" t="n">
        <f aca="false">($D$6*$E$6^2-$E$6^3/3)*TAN(O18)/2</f>
        <v>14.4380013281943</v>
      </c>
      <c r="AA18" s="0" t="n">
        <f aca="false">$D$6^3*TAN(O18)/3</f>
        <v>78.224938413074</v>
      </c>
      <c r="AB18" s="0" t="n">
        <f aca="false">IF(C18&lt;N18,S18*($D$6-($F$6-($D$6+$E$6)*TAN(O18))/(6*TAN(O18))),0)</f>
        <v>0</v>
      </c>
      <c r="AC18" s="0" t="n">
        <f aca="false">$J$6-Z18-AA18+AB18</f>
        <v>130.003726925398</v>
      </c>
      <c r="AD18" s="0" t="n">
        <f aca="false">AC18+Z18+AA18-AB18</f>
        <v>222.666666666667</v>
      </c>
      <c r="AE18" s="0" t="n">
        <f aca="false">AC18*U18+Z18*V18+AA18*W18-AB18*U18</f>
        <v>370.955619791951</v>
      </c>
      <c r="AF18" s="2" t="n">
        <f aca="false">C18</f>
        <v>2.4</v>
      </c>
      <c r="AG18" s="0" t="n">
        <f aca="false">AE18/Y18</f>
        <v>4.98084265945631</v>
      </c>
    </row>
    <row r="19" customFormat="false" ht="12.75" hidden="false" customHeight="false" outlineLevel="0" collapsed="false">
      <c r="C19" s="0" t="n">
        <v>2.6</v>
      </c>
      <c r="K19" s="0" t="n">
        <f aca="false">ATAN($F$6/$D$6)</f>
        <v>0.785398163397448</v>
      </c>
      <c r="L19" s="0" t="n">
        <f aca="false">1/SIN($K$6)</f>
        <v>1.4142135623731</v>
      </c>
      <c r="M19" s="0" t="n">
        <f aca="false">ATAN($F$6/($E$6+$D$6))</f>
        <v>0.628796286415433</v>
      </c>
      <c r="N19" s="0" t="n">
        <f aca="false">1/SIN($M$6)</f>
        <v>1.70018381359193</v>
      </c>
      <c r="O19" s="0" t="n">
        <f aca="false">ASIN(1/C19)</f>
        <v>0.394791119699762</v>
      </c>
      <c r="P19" s="0" t="n">
        <f aca="false">$E$6^2*TAN(O19)/2</f>
        <v>1.875</v>
      </c>
      <c r="Q19" s="0" t="n">
        <f aca="false">$D$6^2*TAN(O19)/2</f>
        <v>13.3333333333333</v>
      </c>
      <c r="R19" s="0" t="n">
        <f aca="false">IF(C19&gt;N19,$I$6-P19-Q19,$F$6^2*((COS($H$6))^2*(COS(O19))^2-(SIN($H$6))^2*(SIN(O19))^2)/(2*(COS($H$6))^2*SIN(2*O19)))</f>
        <v>28.7916666666667</v>
      </c>
      <c r="S19" s="0" t="n">
        <f aca="false">IF(C19&lt;N19,(($F$6-($D$6+$E$6)*TAN(O19))*COS(O19))^2/(2*SIN(2*O19)),0)</f>
        <v>0</v>
      </c>
      <c r="T19" s="0" t="n">
        <f aca="false">P19+Q19+R19-S19</f>
        <v>44</v>
      </c>
      <c r="U19" s="0" t="n">
        <f aca="false">4*COS($H$6)/(C19^2*(COS($H$6)^2)-1)^(1/2)</f>
        <v>1.72622786646379</v>
      </c>
      <c r="V19" s="0" t="n">
        <f aca="false">U19/2</f>
        <v>0.863113933231893</v>
      </c>
      <c r="W19" s="0" t="n">
        <f aca="false">U19*((C19^2*(COS($H$6))^2-1)^(1/2)/TAN($H$6)-COS($H$6)*((C19^2-1)^(1/2)/TAN($H$6)-1))</f>
        <v>1.26988836486374</v>
      </c>
      <c r="X19" s="0" t="n">
        <f aca="false">C19</f>
        <v>2.6</v>
      </c>
      <c r="Y19" s="0" t="n">
        <f aca="false">R19*U19+P19*V19+Q19*W19-S19*U19</f>
        <v>68.2511608115962</v>
      </c>
      <c r="Z19" s="0" t="n">
        <f aca="false">($D$6*$E$6^2-$E$6^3/3)*TAN(O19)/2</f>
        <v>13.125</v>
      </c>
      <c r="AA19" s="0" t="n">
        <f aca="false">$D$6^3*TAN(O19)/3</f>
        <v>71.1111111111111</v>
      </c>
      <c r="AB19" s="0" t="n">
        <f aca="false">IF(C19&lt;N19,S19*($D$6-($F$6-($D$6+$E$6)*TAN(O19))/(6*TAN(O19))),0)</f>
        <v>0</v>
      </c>
      <c r="AC19" s="0" t="n">
        <f aca="false">$J$6-Z19-AA19+AB19</f>
        <v>138.430555555556</v>
      </c>
      <c r="AD19" s="0" t="n">
        <f aca="false">AC19+Z19+AA19-AB19</f>
        <v>222.666666666667</v>
      </c>
      <c r="AE19" s="0" t="n">
        <f aca="false">AC19*U19+Z19*V19+AA19*W19-AB19*U19</f>
        <v>340.594225556265</v>
      </c>
      <c r="AF19" s="2" t="n">
        <f aca="false">C19</f>
        <v>2.6</v>
      </c>
      <c r="AG19" s="0" t="n">
        <f aca="false">AE19/Y19</f>
        <v>4.99030670696514</v>
      </c>
    </row>
    <row r="20" customFormat="false" ht="12.75" hidden="false" customHeight="false" outlineLevel="0" collapsed="false">
      <c r="C20" s="0" t="n">
        <v>2.8</v>
      </c>
      <c r="K20" s="0" t="n">
        <f aca="false">ATAN($F$6/$D$6)</f>
        <v>0.785398163397448</v>
      </c>
      <c r="L20" s="0" t="n">
        <f aca="false">1/SIN($K$6)</f>
        <v>1.4142135623731</v>
      </c>
      <c r="M20" s="0" t="n">
        <f aca="false">ATAN($F$6/($E$6+$D$6))</f>
        <v>0.628796286415433</v>
      </c>
      <c r="N20" s="0" t="n">
        <f aca="false">1/SIN($M$6)</f>
        <v>1.70018381359193</v>
      </c>
      <c r="O20" s="0" t="n">
        <f aca="false">ASIN(1/C20)</f>
        <v>0.365207221290367</v>
      </c>
      <c r="P20" s="0" t="n">
        <f aca="false">$E$6^2*TAN(O20)/2</f>
        <v>1.72061800402921</v>
      </c>
      <c r="Q20" s="0" t="n">
        <f aca="false">$D$6^2*TAN(O20)/2</f>
        <v>12.23550580643</v>
      </c>
      <c r="R20" s="0" t="n">
        <f aca="false">IF(C20&gt;N20,$I$6-P20-Q20,$F$6^2*((COS($H$6))^2*(COS(O20))^2-(SIN($H$6))^2*(SIN(O20))^2)/(2*(COS($H$6))^2*SIN(2*O20)))</f>
        <v>30.0438761895408</v>
      </c>
      <c r="S20" s="0" t="n">
        <f aca="false">IF(C20&lt;N20,(($F$6-($D$6+$E$6)*TAN(O20))*COS(O20))^2/(2*SIN(2*O20)),0)</f>
        <v>0</v>
      </c>
      <c r="T20" s="0" t="n">
        <f aca="false">P20+Q20+R20-S20</f>
        <v>44</v>
      </c>
      <c r="U20" s="0" t="n">
        <f aca="false">4*COS($H$6)/(C20^2*(COS($H$6)^2)-1)^(1/2)</f>
        <v>1.57507477552742</v>
      </c>
      <c r="V20" s="0" t="n">
        <f aca="false">U20/2</f>
        <v>0.787537387763712</v>
      </c>
      <c r="W20" s="0" t="n">
        <f aca="false">U20*((C20^2*(COS($H$6))^2-1)^(1/2)/TAN($H$6)-COS($H$6)*((C20^2-1)^(1/2)/TAN($H$6)-1))</f>
        <v>1.17372010998152</v>
      </c>
      <c r="X20" s="0" t="n">
        <f aca="false">C20</f>
        <v>2.8</v>
      </c>
      <c r="Y20" s="0" t="n">
        <f aca="false">R20*U20+P20*V20+Q20*W20-S20*U20</f>
        <v>63.0374617742496</v>
      </c>
      <c r="Z20" s="0" t="n">
        <f aca="false">($D$6*$E$6^2-$E$6^3/3)*TAN(O20)/2</f>
        <v>12.0443260282045</v>
      </c>
      <c r="AA20" s="0" t="n">
        <f aca="false">$D$6^3*TAN(O20)/3</f>
        <v>65.2560309676265</v>
      </c>
      <c r="AB20" s="0" t="n">
        <f aca="false">IF(C20&lt;N20,S20*($D$6-($F$6-($D$6+$E$6)*TAN(O20))/(6*TAN(O20))),0)</f>
        <v>0</v>
      </c>
      <c r="AC20" s="0" t="n">
        <f aca="false">$J$6-Z20-AA20+AB20</f>
        <v>145.366309670836</v>
      </c>
      <c r="AD20" s="0" t="n">
        <f aca="false">AC20+Z20+AA20-AB20</f>
        <v>222.666666666667</v>
      </c>
      <c r="AE20" s="0" t="n">
        <f aca="false">AC20*U20+Z20*V20+AA20*W20-AB20*U20</f>
        <v>315.040480475948</v>
      </c>
      <c r="AF20" s="2" t="n">
        <f aca="false">C20</f>
        <v>2.8</v>
      </c>
      <c r="AG20" s="0" t="n">
        <f aca="false">AE20/Y20</f>
        <v>4.99767077558063</v>
      </c>
    </row>
    <row r="21" customFormat="false" ht="12.75" hidden="false" customHeight="false" outlineLevel="0" collapsed="false">
      <c r="C21" s="0" t="n">
        <v>3</v>
      </c>
      <c r="K21" s="0" t="n">
        <f aca="false">ATAN($F$6/$D$6)</f>
        <v>0.785398163397448</v>
      </c>
      <c r="L21" s="0" t="n">
        <f aca="false">1/SIN($K$6)</f>
        <v>1.4142135623731</v>
      </c>
      <c r="M21" s="0" t="n">
        <f aca="false">ATAN($F$6/($E$6+$D$6))</f>
        <v>0.628796286415433</v>
      </c>
      <c r="N21" s="0" t="n">
        <f aca="false">1/SIN($M$6)</f>
        <v>1.70018381359193</v>
      </c>
      <c r="O21" s="0" t="n">
        <f aca="false">ASIN(1/C21)</f>
        <v>0.339836909454122</v>
      </c>
      <c r="P21" s="0" t="n">
        <f aca="false">$E$6^2*TAN(O21)/2</f>
        <v>1.59099025766973</v>
      </c>
      <c r="Q21" s="0" t="n">
        <f aca="false">$D$6^2*TAN(O21)/2</f>
        <v>11.3137084989848</v>
      </c>
      <c r="R21" s="0" t="n">
        <f aca="false">IF(C21&gt;N21,$I$6-P21-Q21,$F$6^2*((COS($H$6))^2*(COS(O21))^2-(SIN($H$6))^2*(SIN(O21))^2)/(2*(COS($H$6))^2*SIN(2*O21)))</f>
        <v>31.0953012433455</v>
      </c>
      <c r="S21" s="0" t="n">
        <f aca="false">IF(C21&lt;N21,(($F$6-($D$6+$E$6)*TAN(O21))*COS(O21))^2/(2*SIN(2*O21)),0)</f>
        <v>0</v>
      </c>
      <c r="T21" s="0" t="n">
        <f aca="false">P21+Q21+R21-S21</f>
        <v>44</v>
      </c>
      <c r="U21" s="0" t="n">
        <f aca="false">4*COS($H$6)/(C21^2*(COS($H$6)^2)-1)^(1/2)</f>
        <v>1.45005841417422</v>
      </c>
      <c r="V21" s="0" t="n">
        <f aca="false">U21/2</f>
        <v>0.72502920708711</v>
      </c>
      <c r="W21" s="0" t="n">
        <f aca="false">U21*((C21^2*(COS($H$6))^2-1)^(1/2)/TAN($H$6)-COS($H$6)*((C21^2-1)^(1/2)/TAN($H$6)-1))</f>
        <v>1.09208879208905</v>
      </c>
      <c r="X21" s="0" t="n">
        <f aca="false">C21</f>
        <v>3</v>
      </c>
      <c r="Y21" s="0" t="n">
        <f aca="false">R21*U21+P21*V21+Q21*W21-S21*U21</f>
        <v>58.5990918629008</v>
      </c>
      <c r="Z21" s="0" t="n">
        <f aca="false">($D$6*$E$6^2-$E$6^3/3)*TAN(O21)/2</f>
        <v>11.1369318036881</v>
      </c>
      <c r="AA21" s="0" t="n">
        <f aca="false">$D$6^3*TAN(O21)/3</f>
        <v>60.3397786612521</v>
      </c>
      <c r="AB21" s="0" t="n">
        <f aca="false">IF(C21&lt;N21,S21*($D$6-($F$6-($D$6+$E$6)*TAN(O21))/(6*TAN(O21))),0)</f>
        <v>0</v>
      </c>
      <c r="AC21" s="0" t="n">
        <f aca="false">$J$6-Z21-AA21+AB21</f>
        <v>151.189956201727</v>
      </c>
      <c r="AD21" s="0" t="n">
        <f aca="false">AC21+Z21+AA21-AB21</f>
        <v>222.666666666667</v>
      </c>
      <c r="AE21" s="0" t="n">
        <f aca="false">AC21*U21+Z21*V21+AA21*W21-AB21*U21</f>
        <v>293.205264957044</v>
      </c>
      <c r="AF21" s="2" t="n">
        <f aca="false">C21</f>
        <v>3</v>
      </c>
      <c r="AG21" s="0" t="n">
        <f aca="false">AE21/Y21</f>
        <v>5.00358035655281</v>
      </c>
    </row>
    <row r="22" customFormat="false" ht="12.75" hidden="false" customHeight="false" outlineLevel="0" collapsed="false">
      <c r="C22" s="0" t="n">
        <v>3.5</v>
      </c>
      <c r="K22" s="0" t="n">
        <f aca="false">ATAN($F$6/$D$6)</f>
        <v>0.785398163397448</v>
      </c>
      <c r="L22" s="0" t="n">
        <f aca="false">1/SIN($K$6)</f>
        <v>1.4142135623731</v>
      </c>
      <c r="M22" s="0" t="n">
        <f aca="false">ATAN($F$6/($E$6+$D$6))</f>
        <v>0.628796286415433</v>
      </c>
      <c r="N22" s="0" t="n">
        <f aca="false">1/SIN($M$6)</f>
        <v>1.70018381359193</v>
      </c>
      <c r="O22" s="0" t="n">
        <f aca="false">ASIN(1/C22)</f>
        <v>0.289751701436047</v>
      </c>
      <c r="P22" s="0" t="n">
        <f aca="false">$E$6^2*TAN(O22)/2</f>
        <v>1.34164078649987</v>
      </c>
      <c r="Q22" s="0" t="n">
        <f aca="false">$D$6^2*TAN(O22)/2</f>
        <v>9.5405567039991</v>
      </c>
      <c r="R22" s="0" t="n">
        <f aca="false">IF(C22&gt;N22,$I$6-P22-Q22,$F$6^2*((COS($H$6))^2*(COS(O22))^2-(SIN($H$6))^2*(SIN(O22))^2)/(2*(COS($H$6))^2*SIN(2*O22)))</f>
        <v>33.117802509501</v>
      </c>
      <c r="S22" s="0" t="n">
        <f aca="false">IF(C22&lt;N22,(($F$6-($D$6+$E$6)*TAN(O22))*COS(O22))^2/(2*SIN(2*O22)),0)</f>
        <v>0</v>
      </c>
      <c r="T22" s="0" t="n">
        <f aca="false">P22+Q22+R22-S22</f>
        <v>44</v>
      </c>
      <c r="U22" s="0" t="n">
        <f aca="false">4*COS($H$6)/(C22^2*(COS($H$6)^2)-1)^(1/2)</f>
        <v>1.21382918689741</v>
      </c>
      <c r="V22" s="0" t="n">
        <f aca="false">U22/2</f>
        <v>0.606914593448705</v>
      </c>
      <c r="W22" s="0" t="n">
        <f aca="false">U22*((C22^2*(COS($H$6))^2-1)^(1/2)/TAN($H$6)-COS($H$6)*((C22^2-1)^(1/2)/TAN($H$6)-1))</f>
        <v>0.932576134347635</v>
      </c>
      <c r="X22" s="0" t="n">
        <f aca="false">C22</f>
        <v>3.5</v>
      </c>
      <c r="Y22" s="0" t="n">
        <f aca="false">R22*U22+P22*V22+Q22*W22-S22*U22</f>
        <v>49.9109121549693</v>
      </c>
      <c r="Z22" s="0" t="n">
        <f aca="false">($D$6*$E$6^2-$E$6^3/3)*TAN(O22)/2</f>
        <v>9.39148550549912</v>
      </c>
      <c r="AA22" s="0" t="n">
        <f aca="false">$D$6^3*TAN(O22)/3</f>
        <v>50.8829690879952</v>
      </c>
      <c r="AB22" s="0" t="n">
        <f aca="false">IF(C22&lt;N22,S22*($D$6-($F$6-($D$6+$E$6)*TAN(O22))/(6*TAN(O22))),0)</f>
        <v>0</v>
      </c>
      <c r="AC22" s="0" t="n">
        <f aca="false">$J$6-Z22-AA22+AB22</f>
        <v>162.392212073172</v>
      </c>
      <c r="AD22" s="0" t="n">
        <f aca="false">AC22+Z22+AA22-AB22</f>
        <v>222.666666666667</v>
      </c>
      <c r="AE22" s="0" t="n">
        <f aca="false">AC22*U22+Z22*V22+AA22*W22-AB22*U22</f>
        <v>250.268478962913</v>
      </c>
      <c r="AF22" s="2" t="n">
        <f aca="false">C22</f>
        <v>3.5</v>
      </c>
      <c r="AG22" s="0" t="n">
        <f aca="false">AE22/Y22</f>
        <v>5.01430384974431</v>
      </c>
    </row>
    <row r="23" customFormat="false" ht="12.75" hidden="false" customHeight="false" outlineLevel="0" collapsed="false">
      <c r="C23" s="0" t="n">
        <v>4</v>
      </c>
      <c r="K23" s="0" t="n">
        <f aca="false">ATAN($F$6/$D$6)</f>
        <v>0.785398163397448</v>
      </c>
      <c r="L23" s="0" t="n">
        <f aca="false">1/SIN($K$6)</f>
        <v>1.4142135623731</v>
      </c>
      <c r="M23" s="0" t="n">
        <f aca="false">ATAN($F$6/($E$6+$D$6))</f>
        <v>0.628796286415433</v>
      </c>
      <c r="N23" s="0" t="n">
        <f aca="false">1/SIN($M$6)</f>
        <v>1.70018381359193</v>
      </c>
      <c r="O23" s="0" t="n">
        <f aca="false">ASIN(1/C23)</f>
        <v>0.252680255142079</v>
      </c>
      <c r="P23" s="0" t="n">
        <f aca="false">$E$6^2*TAN(O23)/2</f>
        <v>1.16189500386222</v>
      </c>
      <c r="Q23" s="0" t="n">
        <f aca="false">$D$6^2*TAN(O23)/2</f>
        <v>8.26236447190916</v>
      </c>
      <c r="R23" s="0" t="n">
        <f aca="false">IF(C23&gt;N23,$I$6-P23-Q23,$F$6^2*((COS($H$6))^2*(COS(O23))^2-(SIN($H$6))^2*(SIN(O23))^2)/(2*(COS($H$6))^2*SIN(2*O23)))</f>
        <v>34.5757405242286</v>
      </c>
      <c r="S23" s="0" t="n">
        <f aca="false">IF(C23&lt;N23,(($F$6-($D$6+$E$6)*TAN(O23))*COS(O23))^2/(2*SIN(2*O23)),0)</f>
        <v>0</v>
      </c>
      <c r="T23" s="0" t="n">
        <f aca="false">P23+Q23+R23-S23</f>
        <v>44</v>
      </c>
      <c r="U23" s="0" t="n">
        <f aca="false">4*COS($H$6)/(C23^2*(COS($H$6)^2)-1)^(1/2)</f>
        <v>1.04651190426837</v>
      </c>
      <c r="V23" s="0" t="n">
        <f aca="false">U23/2</f>
        <v>0.523255952134183</v>
      </c>
      <c r="W23" s="0" t="n">
        <f aca="false">U23*((C23^2*(COS($H$6))^2-1)^(1/2)/TAN($H$6)-COS($H$6)*((C23^2-1)^(1/2)/TAN($H$6)-1))</f>
        <v>0.815362937759915</v>
      </c>
      <c r="X23" s="0" t="n">
        <f aca="false">C23</f>
        <v>4</v>
      </c>
      <c r="Y23" s="0" t="n">
        <f aca="false">R23*U23+P23*V23+Q23*W23-S23*U23</f>
        <v>43.5287183026843</v>
      </c>
      <c r="Z23" s="0" t="n">
        <f aca="false">($D$6*$E$6^2-$E$6^3/3)*TAN(O23)/2</f>
        <v>8.13326502703558</v>
      </c>
      <c r="AA23" s="0" t="n">
        <f aca="false">$D$6^3*TAN(O23)/3</f>
        <v>44.0659438501822</v>
      </c>
      <c r="AB23" s="0" t="n">
        <f aca="false">IF(C23&lt;N23,S23*($D$6-($F$6-($D$6+$E$6)*TAN(O23))/(6*TAN(O23))),0)</f>
        <v>0</v>
      </c>
      <c r="AC23" s="0" t="n">
        <f aca="false">$J$6-Z23-AA23+AB23</f>
        <v>170.467457789449</v>
      </c>
      <c r="AD23" s="0" t="n">
        <f aca="false">AC23+Z23+AA23-AB23</f>
        <v>222.666666666667</v>
      </c>
      <c r="AE23" s="0" t="n">
        <f aca="false">AC23*U23+Z23*V23+AA23*W23-AB23*U23</f>
        <v>218.581740635553</v>
      </c>
      <c r="AF23" s="2" t="n">
        <f aca="false">C23</f>
        <v>4</v>
      </c>
      <c r="AG23" s="0" t="n">
        <f aca="false">AE23/Y23</f>
        <v>5.02155241777641</v>
      </c>
    </row>
    <row r="24" customFormat="false" ht="12.75" hidden="false" customHeight="false" outlineLevel="0" collapsed="false">
      <c r="C24" s="0" t="n">
        <v>4.5</v>
      </c>
      <c r="K24" s="0" t="n">
        <f aca="false">ATAN($F$6/$D$6)</f>
        <v>0.785398163397448</v>
      </c>
      <c r="L24" s="0" t="n">
        <f aca="false">1/SIN($K$6)</f>
        <v>1.4142135623731</v>
      </c>
      <c r="M24" s="0" t="n">
        <f aca="false">ATAN($F$6/($E$6+$D$6))</f>
        <v>0.628796286415433</v>
      </c>
      <c r="N24" s="0" t="n">
        <f aca="false">1/SIN($M$6)</f>
        <v>1.70018381359193</v>
      </c>
      <c r="O24" s="0" t="n">
        <f aca="false">ASIN(1/C24)</f>
        <v>0.224093092301371</v>
      </c>
      <c r="P24" s="0" t="n">
        <f aca="false">$E$6^2*TAN(O24)/2</f>
        <v>1.02564518813674</v>
      </c>
      <c r="Q24" s="0" t="n">
        <f aca="false">$D$6^2*TAN(O24)/2</f>
        <v>7.29347689341683</v>
      </c>
      <c r="R24" s="0" t="n">
        <f aca="false">IF(C24&gt;N24,$I$6-P24-Q24,$F$6^2*((COS($H$6))^2*(COS(O24))^2-(SIN($H$6))^2*(SIN(O24))^2)/(2*(COS($H$6))^2*SIN(2*O24)))</f>
        <v>35.6808779184464</v>
      </c>
      <c r="S24" s="0" t="n">
        <f aca="false">IF(C24&lt;N24,(($F$6-($D$6+$E$6)*TAN(O24))*COS(O24))^2/(2*SIN(2*O24)),0)</f>
        <v>0</v>
      </c>
      <c r="T24" s="0" t="n">
        <f aca="false">P24+Q24+R24-S24</f>
        <v>44</v>
      </c>
      <c r="U24" s="0" t="n">
        <f aca="false">4*COS($H$6)/(C24^2*(COS($H$6)^2)-1)^(1/2)</f>
        <v>0.921077860005446</v>
      </c>
      <c r="V24" s="0" t="n">
        <f aca="false">U24/2</f>
        <v>0.460538930002723</v>
      </c>
      <c r="W24" s="0" t="n">
        <f aca="false">U24*((C24^2*(COS($H$6))^2-1)^(1/2)/TAN($H$6)-COS($H$6)*((C24^2-1)^(1/2)/TAN($H$6)-1))</f>
        <v>0.725155170344097</v>
      </c>
      <c r="X24" s="0" t="n">
        <f aca="false">C24</f>
        <v>4.5</v>
      </c>
      <c r="Y24" s="0" t="n">
        <f aca="false">R24*U24+P24*V24+Q24*W24-S24*U24</f>
        <v>38.6261186927916</v>
      </c>
      <c r="Z24" s="0" t="n">
        <f aca="false">($D$6*$E$6^2-$E$6^3/3)*TAN(O24)/2</f>
        <v>7.17951631695719</v>
      </c>
      <c r="AA24" s="0" t="n">
        <f aca="false">$D$6^3*TAN(O24)/3</f>
        <v>38.8985434315564</v>
      </c>
      <c r="AB24" s="0" t="n">
        <f aca="false">IF(C24&lt;N24,S24*($D$6-($F$6-($D$6+$E$6)*TAN(O24))/(6*TAN(O24))),0)</f>
        <v>0</v>
      </c>
      <c r="AC24" s="0" t="n">
        <f aca="false">$J$6-Z24-AA24+AB24</f>
        <v>176.588606918153</v>
      </c>
      <c r="AD24" s="0" t="n">
        <f aca="false">AC24+Z24+AA24-AB24</f>
        <v>222.666666666667</v>
      </c>
      <c r="AE24" s="0" t="n">
        <f aca="false">AC24*U24+Z24*V24+AA24*W24-AB24*U24</f>
        <v>194.165782812311</v>
      </c>
      <c r="AF24" s="2" t="n">
        <f aca="false">C24</f>
        <v>4.5</v>
      </c>
      <c r="AG24" s="0" t="n">
        <f aca="false">AE24/Y24</f>
        <v>5.02680024251432</v>
      </c>
    </row>
    <row r="25" customFormat="false" ht="12.75" hidden="false" customHeight="false" outlineLevel="0" collapsed="false">
      <c r="C25" s="0" t="n">
        <v>5</v>
      </c>
      <c r="K25" s="0" t="n">
        <f aca="false">ATAN($F$6/$D$6)</f>
        <v>0.785398163397448</v>
      </c>
      <c r="L25" s="0" t="n">
        <f aca="false">1/SIN($K$6)</f>
        <v>1.4142135623731</v>
      </c>
      <c r="M25" s="0" t="n">
        <f aca="false">ATAN($F$6/($E$6+$D$6))</f>
        <v>0.628796286415433</v>
      </c>
      <c r="N25" s="0" t="n">
        <f aca="false">1/SIN($M$6)</f>
        <v>1.70018381359193</v>
      </c>
      <c r="O25" s="0" t="n">
        <f aca="false">ASIN(1/C25)</f>
        <v>0.201357920790331</v>
      </c>
      <c r="P25" s="0" t="n">
        <f aca="false">$E$6^2*TAN(O25)/2</f>
        <v>0.918558653543692</v>
      </c>
      <c r="Q25" s="0" t="n">
        <f aca="false">$D$6^2*TAN(O25)/2</f>
        <v>6.53197264742181</v>
      </c>
      <c r="R25" s="0" t="n">
        <f aca="false">IF(C25&gt;N25,$I$6-P25-Q25,$F$6^2*((COS($H$6))^2*(COS(O25))^2-(SIN($H$6))^2*(SIN(O25))^2)/(2*(COS($H$6))^2*SIN(2*O25)))</f>
        <v>36.5494686990345</v>
      </c>
      <c r="S25" s="0" t="n">
        <f aca="false">IF(C25&lt;N25,(($F$6-($D$6+$E$6)*TAN(O25))*COS(O25))^2/(2*SIN(2*O25)),0)</f>
        <v>0</v>
      </c>
      <c r="T25" s="0" t="n">
        <f aca="false">P25+Q25+R25-S25</f>
        <v>44</v>
      </c>
      <c r="U25" s="0" t="n">
        <f aca="false">4*COS($H$6)/(C25^2*(COS($H$6)^2)-1)^(1/2)</f>
        <v>0.823223474809342</v>
      </c>
      <c r="V25" s="0" t="n">
        <f aca="false">U25/2</f>
        <v>0.411611737404671</v>
      </c>
      <c r="W25" s="0" t="n">
        <f aca="false">U25*((C25^2*(COS($H$6))^2-1)^(1/2)/TAN($H$6)-COS($H$6)*((C25^2-1)^(1/2)/TAN($H$6)-1))</f>
        <v>0.653378971036534</v>
      </c>
      <c r="X25" s="0" t="n">
        <f aca="false">C25</f>
        <v>5</v>
      </c>
      <c r="Y25" s="0" t="n">
        <f aca="false">R25*U25+P25*V25+Q25*W25-S25*U25</f>
        <v>34.7343237153589</v>
      </c>
      <c r="Z25" s="0" t="n">
        <f aca="false">($D$6*$E$6^2-$E$6^3/3)*TAN(O25)/2</f>
        <v>6.42991057480584</v>
      </c>
      <c r="AA25" s="0" t="n">
        <f aca="false">$D$6^3*TAN(O25)/3</f>
        <v>34.8371874529163</v>
      </c>
      <c r="AB25" s="0" t="n">
        <f aca="false">IF(C25&lt;N25,S25*($D$6-($F$6-($D$6+$E$6)*TAN(O25))/(6*TAN(O25))),0)</f>
        <v>0</v>
      </c>
      <c r="AC25" s="0" t="n">
        <f aca="false">$J$6-Z25-AA25+AB25</f>
        <v>181.399568638945</v>
      </c>
      <c r="AD25" s="0" t="n">
        <f aca="false">AC25+Z25+AA25-AB25</f>
        <v>222.666666666667</v>
      </c>
      <c r="AE25" s="0" t="n">
        <f aca="false">AC25*U25+Z25*V25+AA25*W25-AB25*U25</f>
        <v>174.740895578713</v>
      </c>
      <c r="AF25" s="2" t="n">
        <f aca="false">C25</f>
        <v>5</v>
      </c>
      <c r="AG25" s="0" t="n">
        <f aca="false">AE25/Y25</f>
        <v>5.03078444856682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2013-03-07T00:17:37Z</dcterms:created>
  <dc:creator>Owner</dc:creator>
  <dc:description/>
  <dc:language>en-US</dc:language>
  <cp:lastModifiedBy>Owner</cp:lastModifiedBy>
  <dcterms:modified xsi:type="dcterms:W3CDTF">2013-03-11T03:22:26Z</dcterms:modified>
  <cp:revision>0</cp:revision>
  <dc:subject/>
  <dc:title/>
</cp:coreProperties>
</file>