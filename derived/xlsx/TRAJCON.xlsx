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<sst xmlns="http://schemas.openxmlformats.org/spreadsheetml/2006/main" count="17" uniqueCount="17">
  <si>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Desired Apogee, feet</t>
  </si>
  <si>
    <t xml:space="preserve">Desired Landing Range, feet</t>
  </si>
  <si>
    <t xml:space="preserve">First Traj</t>
  </si>
  <si>
    <t xml:space="preserve">Secnd Traj</t>
  </si>
  <si>
    <t xml:space="preserve">Third Traj</t>
  </si>
  <si>
    <t xml:space="preserve">rQ</t>
  </si>
  <si>
    <t xml:space="preserve">hQ</t>
  </si>
  <si>
    <t xml:space="preserve">rT</t>
  </si>
  <si>
    <t xml:space="preserve">hT</t>
  </si>
  <si>
    <t xml:space="preserve">Lambda</t>
  </si>
  <si>
    <t xml:space="preserve">S</t>
  </si>
  <si>
    <r>
      <rPr>
        <b val="true"/>
        <sz val="10"/>
        <rFont val="Arial"/>
        <family val="2"/>
      </rPr>
      <t xml:space="preserve">QE</t>
    </r>
    <r>
      <rPr>
        <b val="true"/>
        <vertAlign val="subscript"/>
        <sz val="10"/>
        <rFont val="Arial"/>
        <family val="2"/>
      </rPr>
      <t xml:space="preserve">4</t>
    </r>
  </si>
  <si>
    <r>
      <rPr>
        <b val="true"/>
        <sz val="10"/>
        <rFont val="Arial"/>
        <family val="2"/>
      </rPr>
      <t xml:space="preserve">TD</t>
    </r>
    <r>
      <rPr>
        <b val="true"/>
        <vertAlign val="subscript"/>
        <sz val="10"/>
        <rFont val="Arial"/>
        <family val="2"/>
      </rPr>
      <t xml:space="preserve">4</t>
    </r>
  </si>
  <si>
    <t xml:space="preserve">Apogee Altiude h*, feet</t>
  </si>
  <si>
    <t xml:space="preserve">Landing Range r**, feet</t>
  </si>
  <si>
    <t xml:space="preserve">Quandant Elevation Angle, deg</t>
  </si>
  <si>
    <t xml:space="preserve">Drogue Deployment Time, sec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</si>
</sst>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vertAlign val="subscript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P1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9.28"/>
    <col collapsed="false" customWidth="true" hidden="false" outlineLevel="0" max="2" min="2" style="0" width="16.99"/>
    <col collapsed="false" customWidth="true" hidden="false" outlineLevel="0" max="3" min="3" style="0" width="11.13"/>
    <col collapsed="false" customWidth="true" hidden="false" outlineLevel="0" max="4" min="4" style="0" width="10.85"/>
    <col collapsed="false" customWidth="true" hidden="false" outlineLevel="0" max="5" min="5" style="0" width="11.13"/>
    <col collapsed="false" customWidth="true" hidden="false" outlineLevel="0" max="6" min="6" style="0" width="10.56"/>
    <col collapsed="false" customWidth="true" hidden="false" outlineLevel="0" max="7" min="7" style="0" width="10.71"/>
    <col collapsed="false" customWidth="true" hidden="false" outlineLevel="0" max="8" min="8" style="0" width="10.41"/>
    <col collapsed="false" customWidth="true" hidden="false" outlineLevel="0" max="11" min="11" style="0" width="10.71"/>
  </cols>
  <sheetData>
    <row r="4" customFormat="false" ht="39.75" hidden="false" customHeight="true" outlineLevel="0" collapsed="false">
      <c r="C4" s="1" t="s">
        <v>0</v>
      </c>
      <c r="D4" s="1" t="s">
        <v>1</v>
      </c>
      <c r="F4" s="2" t="s">
        <v>2</v>
      </c>
      <c r="G4" s="2" t="s">
        <v>3</v>
      </c>
      <c r="H4" s="2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  <c r="O4" s="3" t="s">
        <v>11</v>
      </c>
      <c r="P4" s="3" t="s">
        <v>12</v>
      </c>
    </row>
    <row r="5" customFormat="false" ht="38.25" hidden="false" customHeight="false" outlineLevel="0" collapsed="false">
      <c r="C5" s="4" t="n">
        <f aca="false">10000</f>
        <v>10000</v>
      </c>
      <c r="D5" s="4" t="n">
        <f aca="false">5000</f>
        <v>5000</v>
      </c>
      <c r="E5" s="1" t="s">
        <v>13</v>
      </c>
      <c r="F5" s="5" t="n">
        <v>10047.32</v>
      </c>
      <c r="G5" s="5" t="n">
        <v>9786.25</v>
      </c>
      <c r="H5" s="5" t="n">
        <v>9939.74</v>
      </c>
      <c r="I5" s="6" t="n">
        <f aca="false">(H6-F6)/(H7-F7)</f>
        <v>-389.990000000001</v>
      </c>
      <c r="J5" s="6" t="n">
        <f aca="false">(H5-F5)/(H7-F7)</f>
        <v>107.58</v>
      </c>
      <c r="K5" s="6" t="n">
        <f aca="false">(G6-F6)/(G8-F8)</f>
        <v>233.139999999999</v>
      </c>
      <c r="L5" s="6" t="n">
        <f aca="false">(G5-F5)/(G8-F8)</f>
        <v>261.07</v>
      </c>
      <c r="M5" s="4" t="n">
        <f aca="false">0.5</f>
        <v>0.5</v>
      </c>
      <c r="N5" s="7" t="n">
        <f aca="false">J5*K5-L5*I5</f>
        <v>126895.8905</v>
      </c>
      <c r="O5" s="8" t="n">
        <f aca="false">F7+M5*((C5-F5)*K5-(D5-F6)*L5)/N5</f>
        <v>79.0493040515406</v>
      </c>
      <c r="P5" s="6" t="n">
        <f aca="false">F8+M5*((D5-F6)*J5-(C5-F5)*I5)/N5</f>
        <v>9.51693530522567</v>
      </c>
    </row>
    <row r="6" customFormat="false" ht="38.25" hidden="false" customHeight="false" outlineLevel="0" collapsed="false">
      <c r="E6" s="1" t="s">
        <v>14</v>
      </c>
      <c r="F6" s="5" t="n">
        <v>4729.53</v>
      </c>
      <c r="G6" s="5" t="n">
        <v>4496.39</v>
      </c>
      <c r="H6" s="5" t="n">
        <v>5119.52</v>
      </c>
      <c r="N6" s="9"/>
    </row>
    <row r="7" customFormat="false" ht="38.25" hidden="false" customHeight="false" outlineLevel="0" collapsed="false">
      <c r="E7" s="1" t="s">
        <v>15</v>
      </c>
      <c r="F7" s="5" t="n">
        <v>79.371</v>
      </c>
      <c r="G7" s="5" t="n">
        <f aca="false">F7</f>
        <v>79.371</v>
      </c>
      <c r="H7" s="5" t="n">
        <v>78.371</v>
      </c>
    </row>
    <row r="8" customFormat="false" ht="38.25" hidden="false" customHeight="false" outlineLevel="0" collapsed="false">
      <c r="E8" s="1" t="s">
        <v>16</v>
      </c>
      <c r="F8" s="5" t="n">
        <v>9.475</v>
      </c>
      <c r="G8" s="5" t="n">
        <v>8.475</v>
      </c>
      <c r="H8" s="5" t="n">
        <f aca="false">F8</f>
        <v>9.475</v>
      </c>
    </row>
    <row r="12" customFormat="false" ht="12.75" hidden="false" customHeight="false" outlineLevel="0" collapsed="false">
      <c r="C12" s="10"/>
      <c r="D12" s="10"/>
      <c r="E12" s="10"/>
    </row>
    <row r="13" customFormat="false" ht="29.25" hidden="false" customHeight="true" outlineLevel="0" collapsed="false"/>
    <row r="14" customFormat="false" ht="27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2014-07-13T14:38:47Z</dcterms:created>
  <dc:creator>Owner</dc:creator>
  <dc:description/>
  <dc:language>en-US</dc:language>
  <cp:lastModifiedBy>Owner</cp:lastModifiedBy>
  <dcterms:modified xsi:type="dcterms:W3CDTF">2014-07-15T22:03:08Z</dcterms:modified>
  <cp:revision>0</cp:revision>
  <dc:subject/>
  <dc:title/>
</cp:coreProperties>
</file>