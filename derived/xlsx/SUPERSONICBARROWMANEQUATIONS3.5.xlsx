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tables" sheetId="1" state="visible" r:id="rId3"/>
    <sheet name="nose profile" sheetId="2" state="visible" r:id="rId4"/>
    <sheet name="Cp distribution" sheetId="3" state="visible" r:id="rId5"/>
    <sheet name="SupersonicCalculations" sheetId="4" state="visible" r:id="rId6"/>
    <sheet name="Sheet1" sheetId="5" state="visible" r:id="rId7"/>
  </sheets>
  <definedNames>
    <definedName function="false" hidden="false" name="_xlfn_IFERROR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72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If Wedge delta &gt; 0 and CDw = 0 that mean detached shockwave exists and wave drage is not calcualted. Check for the Limitations on I10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66</xdr:row>
                <xdr:rowOff>4</xdr:rowOff>
              </xdr:from>
              <xdr:to>
                <xdr:col>2</xdr:col>
                <xdr:colOff>46</xdr:colOff>
                <xdr:row>71</xdr:row>
                <xdr:rowOff>15</xdr:rowOff>
              </xdr:to>
            </anchor>
          </commentPr>
        </mc:Choice>
        <mc:Fallback/>
      </mc:AlternateContent>
    </comment>
    <comment ref="B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Compare this with Cell F15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</xdr:colOff>
                <xdr:row>3</xdr:row>
                <xdr:rowOff>59</xdr:rowOff>
              </xdr:from>
              <xdr:to>
                <xdr:col>3</xdr:col>
                <xdr:colOff>43</xdr:colOff>
                <xdr:row>7</xdr:row>
                <xdr:rowOff>13</xdr:rowOff>
              </xdr:to>
            </anchor>
          </commentPr>
        </mc:Choice>
        <mc:Fallback/>
      </mc:AlternateContent>
    </comment>
    <comment ref="B72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If Wedge delta &gt; 0 and CDw = 0 that mean detached shockwave exists and wave drage is not calcualted. Check for the Limitations on J10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66</xdr:row>
                <xdr:rowOff>4</xdr:rowOff>
              </xdr:from>
              <xdr:to>
                <xdr:col>3</xdr:col>
                <xdr:colOff>54</xdr:colOff>
                <xdr:row>70</xdr:row>
                <xdr:rowOff>3</xdr:rowOff>
              </xdr:to>
            </anchor>
          </commentPr>
        </mc:Choice>
        <mc:Fallback/>
      </mc:AlternateContent>
    </comment>
    <comment ref="D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This is where the flow equal to mach one for Fin Leading Edge for 1st Stage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5</xdr:colOff>
                <xdr:row>3</xdr:row>
                <xdr:rowOff>59</xdr:rowOff>
              </xdr:from>
              <xdr:to>
                <xdr:col>5</xdr:col>
                <xdr:colOff>42</xdr:colOff>
                <xdr:row>7</xdr:row>
                <xdr:rowOff>13</xdr:rowOff>
              </xdr:to>
            </anchor>
          </commentPr>
        </mc:Choice>
        <mc:Fallback/>
      </mc:AlternateContent>
    </comment>
    <comment ref="G9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HienTran:
</t>
        </r>
        <r>
          <rPr>
            <sz val="9"/>
            <color rgb="FF000000"/>
            <rFont val="Tahoma"/>
            <family val="0"/>
            <charset val="1"/>
          </rPr>
          <t xml:space="preserve">This is where the flow equal to mach one for Fin Leading Edge for 2nd Stage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103</xdr:colOff>
                <xdr:row>3</xdr:row>
                <xdr:rowOff>59</xdr:rowOff>
              </xdr:from>
              <xdr:to>
                <xdr:col>8</xdr:col>
                <xdr:colOff>24</xdr:colOff>
                <xdr:row>7</xdr:row>
                <xdr:rowOff>13</xdr:rowOff>
              </xdr:to>
            </anchor>
          </commentPr>
        </mc:Choice>
        <mc:Fallback/>
      </mc:AlternateContent>
    </comment>
    <comment ref="I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The flow is subsonic at Leading Edge
Need to increase Minf &gt; number in Cell D10
CDw won't be calculated
Edit Minf or redesign fin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91</xdr:colOff>
                <xdr:row>3</xdr:row>
                <xdr:rowOff>59</xdr:rowOff>
              </xdr:from>
              <xdr:to>
                <xdr:col>9</xdr:col>
                <xdr:colOff>107</xdr:colOff>
                <xdr:row>8</xdr:row>
                <xdr:rowOff>25</xdr:rowOff>
              </xdr:to>
            </anchor>
          </commentPr>
        </mc:Choice>
        <mc:Fallback/>
      </mc:AlternateContent>
    </comment>
    <comment ref="J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The flow is subsonic at Leading Edge
Need to increase Minf &gt; number in Cell D10
CDw won't be calculated
Edit Minf or redesign fin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87</xdr:colOff>
                <xdr:row>3</xdr:row>
                <xdr:rowOff>59</xdr:rowOff>
              </xdr:from>
              <xdr:to>
                <xdr:col>11</xdr:col>
                <xdr:colOff>3</xdr:colOff>
                <xdr:row>8</xdr:row>
                <xdr:rowOff>38</xdr:rowOff>
              </xdr:to>
            </anchor>
          </commentPr>
        </mc:Choice>
        <mc:Fallback/>
      </mc:AlternateContent>
    </comment>
    <comment ref="J63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HienTran:
</t>
        </r>
        <r>
          <rPr>
            <sz val="9"/>
            <color rgb="FF000000"/>
            <rFont val="Tahoma"/>
            <family val="0"/>
            <charset val="1"/>
          </rPr>
          <t xml:space="preserve">Keep the angle below the limit value on cell I10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97</xdr:colOff>
                <xdr:row>59</xdr:row>
                <xdr:rowOff>15</xdr:rowOff>
              </xdr:from>
              <xdr:to>
                <xdr:col>11</xdr:col>
                <xdr:colOff>16</xdr:colOff>
                <xdr:row>62</xdr:row>
                <xdr:rowOff>34</xdr:rowOff>
              </xdr:to>
            </anchor>
          </commentPr>
        </mc:Choice>
        <mc:Fallback/>
      </mc:AlternateContent>
    </comment>
    <comment ref="J66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HienTran:
</t>
        </r>
        <r>
          <rPr>
            <sz val="9"/>
            <color rgb="FF000000"/>
            <rFont val="Tahoma"/>
            <family val="0"/>
            <charset val="1"/>
          </rPr>
          <t xml:space="preserve">Keep the angle below the limit value on cell J10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97</xdr:colOff>
                <xdr:row>62</xdr:row>
                <xdr:rowOff>84</xdr:rowOff>
              </xdr:from>
              <xdr:to>
                <xdr:col>11</xdr:col>
                <xdr:colOff>16</xdr:colOff>
                <xdr:row>65</xdr:row>
                <xdr:rowOff>14</xdr:rowOff>
              </xdr:to>
            </anchor>
          </commentPr>
        </mc:Choice>
        <mc:Fallback/>
      </mc:AlternateContent>
    </comment>
    <comment ref="K12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HienTran:
</t>
        </r>
        <r>
          <rPr>
            <sz val="9"/>
            <color rgb="FF000000"/>
            <rFont val="Tahoma"/>
            <family val="0"/>
            <charset val="1"/>
          </rPr>
          <t xml:space="preserve">If Slender Body Theory is True then the detached shockwave exist.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83</xdr:colOff>
                <xdr:row>9</xdr:row>
                <xdr:rowOff>2</xdr:rowOff>
              </xdr:from>
              <xdr:to>
                <xdr:col>12</xdr:col>
                <xdr:colOff>10</xdr:colOff>
                <xdr:row>11</xdr:row>
                <xdr:rowOff>24</xdr:rowOff>
              </xdr:to>
            </anchor>
          </commentPr>
        </mc:Choice>
        <mc:Fallback/>
      </mc:AlternateContent>
    </comment>
    <comment ref="T4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HienTran:
</t>
        </r>
        <r>
          <rPr>
            <sz val="9"/>
            <color rgb="FF000000"/>
            <rFont val="Tahoma"/>
            <family val="0"/>
            <charset val="1"/>
          </rPr>
          <t xml:space="preserve">for developer
use p1cap(Q5,D6,G2,S5,1.4) (when dpds can be cal)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129</xdr:colOff>
                <xdr:row>2</xdr:row>
                <xdr:rowOff>11</xdr:rowOff>
              </xdr:from>
              <xdr:to>
                <xdr:col>20</xdr:col>
                <xdr:colOff>136</xdr:colOff>
                <xdr:row>4</xdr:row>
                <xdr:rowOff>20</xdr:rowOff>
              </xdr:to>
            </anchor>
          </commentPr>
        </mc:Choice>
        <mc:Fallback/>
      </mc:AlternateContent>
    </comment>
    <comment ref="V5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HienTran:
</t>
        </r>
        <r>
          <rPr>
            <sz val="9"/>
            <color rgb="FF000000"/>
            <rFont val="Tahoma"/>
            <family val="0"/>
            <charset val="1"/>
          </rPr>
          <t xml:space="preserve">need to use inputtables
TB7: to get the right 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35</xdr:colOff>
                <xdr:row>3</xdr:row>
                <xdr:rowOff>14</xdr:rowOff>
              </xdr:from>
              <xdr:to>
                <xdr:col>22</xdr:col>
                <xdr:colOff>74</xdr:colOff>
                <xdr:row>4</xdr:row>
                <xdr:rowOff>13</xdr:rowOff>
              </xdr:to>
            </anchor>
          </commentPr>
        </mc:Choice>
        <mc:Fallback/>
      </mc:AlternateContent>
    </comment>
    <comment ref="AL63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If the shockwave is detached then wave drag is not calculated. Check for the Limitations on I10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78</xdr:colOff>
                <xdr:row>57</xdr:row>
                <xdr:rowOff>12</xdr:rowOff>
              </xdr:from>
              <xdr:to>
                <xdr:col>37</xdr:col>
                <xdr:colOff>1</xdr:colOff>
                <xdr:row>62</xdr:row>
                <xdr:rowOff>4</xdr:rowOff>
              </xdr:to>
            </anchor>
          </commentPr>
        </mc:Choice>
        <mc:Fallback/>
      </mc:AlternateContent>
    </comment>
    <comment ref="AL66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If the shockwave is detached then wave drag is not calculated. Check for the Limitations on J10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74</xdr:colOff>
                <xdr:row>62</xdr:row>
                <xdr:rowOff>41</xdr:rowOff>
              </xdr:from>
              <xdr:to>
                <xdr:col>37</xdr:col>
                <xdr:colOff>0</xdr:colOff>
                <xdr:row>64</xdr:row>
                <xdr:rowOff>4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27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when M &lt; 1.7 or delta = 0
Wedge Multiplier = 1
This mean inapplicable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39</xdr:colOff>
                <xdr:row>25</xdr:row>
                <xdr:rowOff>10</xdr:rowOff>
              </xdr:from>
              <xdr:to>
                <xdr:col>3</xdr:col>
                <xdr:colOff>77</xdr:colOff>
                <xdr:row>26</xdr:row>
                <xdr:rowOff>68</xdr:rowOff>
              </xdr:to>
            </anchor>
          </commentPr>
        </mc:Choice>
        <mc:Fallback/>
      </mc:AlternateContent>
    </comment>
    <comment ref="E2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when M &lt; 1.7 or delta = 0
Wedge Multiplier = 1
This mean inapplicable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25</xdr:colOff>
                <xdr:row>28</xdr:row>
                <xdr:rowOff>4</xdr:rowOff>
              </xdr:from>
              <xdr:to>
                <xdr:col>5</xdr:col>
                <xdr:colOff>81</xdr:colOff>
                <xdr:row>32</xdr:row>
                <xdr:rowOff>3</xdr:rowOff>
              </xdr:to>
            </anchor>
          </commentPr>
        </mc:Choice>
        <mc:Fallback/>
      </mc:AlternateContent>
    </comment>
    <comment ref="H27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when M &lt; 1.7 or delta = 0
Wedge Multiplier = 1
This mean inapplicable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44</xdr:colOff>
                <xdr:row>25</xdr:row>
                <xdr:rowOff>10</xdr:rowOff>
              </xdr:from>
              <xdr:to>
                <xdr:col>9</xdr:col>
                <xdr:colOff>20</xdr:colOff>
                <xdr:row>26</xdr:row>
                <xdr:rowOff>68</xdr:rowOff>
              </xdr:to>
            </anchor>
          </commentPr>
        </mc:Choice>
        <mc:Fallback/>
      </mc:AlternateContent>
    </comment>
    <comment ref="H2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when M &lt; 1.7 or delta = 0
Wedge Multiplier = 1
This mean inapplicable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60</xdr:colOff>
                <xdr:row>28</xdr:row>
                <xdr:rowOff>0</xdr:rowOff>
              </xdr:from>
              <xdr:to>
                <xdr:col>9</xdr:col>
                <xdr:colOff>28</xdr:colOff>
                <xdr:row>31</xdr:row>
                <xdr:rowOff>19</xdr:rowOff>
              </xdr:to>
            </anchor>
          </commentPr>
        </mc:Choice>
        <mc:Fallback/>
      </mc:AlternateContent>
    </comment>
    <comment ref="P27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when M &lt; 1.7 or delta = 0
Wedge Multiplier = 1
This mean inapplicable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16</xdr:colOff>
                <xdr:row>25</xdr:row>
                <xdr:rowOff>10</xdr:rowOff>
              </xdr:from>
              <xdr:to>
                <xdr:col>18</xdr:col>
                <xdr:colOff>50</xdr:colOff>
                <xdr:row>26</xdr:row>
                <xdr:rowOff>68</xdr:rowOff>
              </xdr:to>
            </anchor>
          </commentPr>
        </mc:Choice>
        <mc:Fallback/>
      </mc:AlternateContent>
    </comment>
    <comment ref="P2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when M &lt; 1.7 or delta = 0
Wedge Multiplier = 1
This mean inapplicable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16</xdr:colOff>
                <xdr:row>27</xdr:row>
                <xdr:rowOff>10</xdr:rowOff>
              </xdr:from>
              <xdr:to>
                <xdr:col>18</xdr:col>
                <xdr:colOff>40</xdr:colOff>
                <xdr:row>31</xdr:row>
                <xdr:rowOff>9</xdr:rowOff>
              </xdr:to>
            </anchor>
          </commentPr>
        </mc:Choice>
        <mc:Fallback/>
      </mc:AlternateContent>
    </comment>
    <comment ref="T27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when M &lt; 1.7 or delta = 0
Wedge Multiplier = 1
This mean inapplicable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16</xdr:colOff>
                <xdr:row>25</xdr:row>
                <xdr:rowOff>10</xdr:rowOff>
              </xdr:from>
              <xdr:to>
                <xdr:col>22</xdr:col>
                <xdr:colOff>50</xdr:colOff>
                <xdr:row>26</xdr:row>
                <xdr:rowOff>68</xdr:rowOff>
              </xdr:to>
            </anchor>
          </commentPr>
        </mc:Choice>
        <mc:Fallback/>
      </mc:AlternateContent>
    </comment>
    <comment ref="T2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when M &lt; 1.7 or delta = 0
Wedge Multiplier = 1
This mean inapplicable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16</xdr:colOff>
                <xdr:row>27</xdr:row>
                <xdr:rowOff>10</xdr:rowOff>
              </xdr:from>
              <xdr:to>
                <xdr:col>22</xdr:col>
                <xdr:colOff>40</xdr:colOff>
                <xdr:row>31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<sst xmlns="http://schemas.openxmlformats.org/spreadsheetml/2006/main" count="287" uniqueCount="194">
  <si>
    <t xml:space="preserve">Table 7: Values of M at Cone Surface</t>
  </si>
  <si>
    <t xml:space="preserve">Mach/coneangle</t>
  </si>
  <si>
    <t xml:space="preserve">Table 2: Pconesurface/Pinf</t>
  </si>
  <si>
    <r>
      <rPr>
        <sz val="11"/>
        <color rgb="FF000000"/>
        <rFont val="Calibri"/>
        <family val="2"/>
      </rPr>
      <t xml:space="preserve">Table 5, C</t>
    </r>
    <r>
      <rPr>
        <vertAlign val="subscript"/>
        <sz val="11"/>
        <color rgb="FF000000"/>
        <rFont val="Calibri"/>
        <family val="2"/>
      </rPr>
      <t xml:space="preserve">N</t>
    </r>
    <r>
      <rPr>
        <vertAlign val="subscript"/>
        <sz val="11"/>
        <color rgb="FF000000"/>
        <rFont val="Symbol"/>
        <family val="1"/>
        <charset val="2"/>
      </rPr>
      <t xml:space="preserve">a</t>
    </r>
  </si>
  <si>
    <t xml:space="preserve">Mach Inf/Thetas</t>
  </si>
  <si>
    <t xml:space="preserve">Table 1: Delta Wing</t>
  </si>
  <si>
    <t xml:space="preserve">βcotΛ/(λc/βs)</t>
  </si>
  <si>
    <t xml:space="preserve">Table 2: Delta Wing</t>
  </si>
  <si>
    <t xml:space="preserve">Supersonic Barrowman Equations</t>
  </si>
  <si>
    <t xml:space="preserve">dx</t>
  </si>
  <si>
    <t xml:space="preserve">in</t>
  </si>
  <si>
    <t xml:space="preserve">Pinf</t>
  </si>
  <si>
    <t xml:space="preserve">psia</t>
  </si>
  <si>
    <t xml:space="preserve">Sref</t>
  </si>
  <si>
    <t xml:space="preserve">sq. in</t>
  </si>
  <si>
    <t xml:space="preserve">L</t>
  </si>
  <si>
    <t xml:space="preserve">Mcone</t>
  </si>
  <si>
    <t xml:space="preserve">Sb</t>
  </si>
  <si>
    <t xml:space="preserve">sq in</t>
  </si>
  <si>
    <t xml:space="preserve">Cell Code</t>
  </si>
  <si>
    <t xml:space="preserve">D</t>
  </si>
  <si>
    <t xml:space="preserve">Pcone/Pinf</t>
  </si>
  <si>
    <r>
      <rPr>
        <b val="true"/>
        <sz val="11"/>
        <color rgb="FFFFFFFF"/>
        <rFont val="Calibri"/>
        <family val="2"/>
      </rPr>
      <t xml:space="preserve">Hemispherical Cap  </t>
    </r>
    <r>
      <rPr>
        <b val="true"/>
        <sz val="11"/>
        <color rgb="FFFFFFFF"/>
        <rFont val="Arial"/>
        <family val="2"/>
      </rPr>
      <t xml:space="preserve">→</t>
    </r>
  </si>
  <si>
    <t xml:space="preserve">pt/pinf</t>
  </si>
  <si>
    <t xml:space="preserve">pt, psia</t>
  </si>
  <si>
    <t xml:space="preserve">Cptotal</t>
  </si>
  <si>
    <t xml:space="preserve">Rad, in</t>
  </si>
  <si>
    <t xml:space="preserve">thetaM,   rad</t>
  </si>
  <si>
    <t xml:space="preserve">P1, psia</t>
  </si>
  <si>
    <t xml:space="preserve">dpds1</t>
  </si>
  <si>
    <t xml:space="preserve">M1</t>
  </si>
  <si>
    <r>
      <rPr>
        <b val="true"/>
        <sz val="11"/>
        <color rgb="FF000000"/>
        <rFont val="Calibri"/>
        <family val="2"/>
      </rPr>
      <t xml:space="preserve">Segment C</t>
    </r>
    <r>
      <rPr>
        <b val="true"/>
        <vertAlign val="subscript"/>
        <sz val="11"/>
        <color rgb="FF000000"/>
        <rFont val="Calibri"/>
        <family val="2"/>
      </rPr>
      <t xml:space="preserve">Dw</t>
    </r>
    <r>
      <rPr>
        <b val="true"/>
        <sz val="11"/>
        <color rgb="FF000000"/>
        <rFont val="Calibri"/>
        <family val="2"/>
      </rPr>
      <t xml:space="preserve"> </t>
    </r>
  </si>
  <si>
    <r>
      <rPr>
        <b val="true"/>
        <sz val="11"/>
        <color rgb="FF000000"/>
        <rFont val="Calibri"/>
        <family val="2"/>
      </rPr>
      <t xml:space="preserve">Segment C</t>
    </r>
    <r>
      <rPr>
        <b val="true"/>
        <vertAlign val="subscript"/>
        <sz val="11"/>
        <color rgb="FF000000"/>
        <rFont val="Calibri"/>
        <family val="2"/>
      </rPr>
      <t xml:space="preserve">Na</t>
    </r>
    <r>
      <rPr>
        <b val="true"/>
        <sz val="11"/>
        <color rgb="FF000000"/>
        <rFont val="Calibri"/>
        <family val="2"/>
      </rPr>
      <t xml:space="preserve">,     rad</t>
    </r>
    <r>
      <rPr>
        <b val="true"/>
        <vertAlign val="superscript"/>
        <sz val="11"/>
        <color rgb="FF000000"/>
        <rFont val="Calibri"/>
        <family val="2"/>
      </rPr>
      <t xml:space="preserve">-1</t>
    </r>
  </si>
  <si>
    <t xml:space="preserve">Segment Center of Pressure, in aft of nose tip</t>
  </si>
  <si>
    <t xml:space="preserve">Input</t>
  </si>
  <si>
    <t xml:space="preserve">R</t>
  </si>
  <si>
    <t xml:space="preserve">Pcone</t>
  </si>
  <si>
    <t xml:space="preserve">Output</t>
  </si>
  <si>
    <t xml:space="preserve">Minf</t>
  </si>
  <si>
    <t xml:space="preserve">fn</t>
  </si>
  <si>
    <t xml:space="preserve">Limitations</t>
  </si>
  <si>
    <t xml:space="preserve">cone angle</t>
  </si>
  <si>
    <t xml:space="preserve">degrees</t>
  </si>
  <si>
    <t xml:space="preserve">Minf/fn</t>
  </si>
  <si>
    <t xml:space="preserve">1st Stage</t>
  </si>
  <si>
    <t xml:space="preserve">2nd Stage</t>
  </si>
  <si>
    <t xml:space="preserve">qinf</t>
  </si>
  <si>
    <t xml:space="preserve">a</t>
  </si>
  <si>
    <t xml:space="preserve">Tip LE</t>
  </si>
  <si>
    <t xml:space="preserve">Subsonic LE</t>
  </si>
  <si>
    <t xml:space="preserve">e</t>
  </si>
  <si>
    <t xml:space="preserve">Maximum Cone Half Angle for Supersonic Cone Surface Flow, rad</t>
  </si>
  <si>
    <t xml:space="preserve">Minimum Mach no. (Tip Interference)    1st Stage</t>
  </si>
  <si>
    <t xml:space="preserve">Maximum Mach no. (Subsonic Leading Edge)                  1st Stage</t>
  </si>
  <si>
    <t xml:space="preserve">Minimum Mach no. (Sonic Leading Edge)                  1st Stage</t>
  </si>
  <si>
    <t xml:space="preserve">Minimum Mach no. (Tip Interference)    2nd Stage</t>
  </si>
  <si>
    <t xml:space="preserve">Maximum Mach no. (Subsonic Leading Edge)                 2nd Stage</t>
  </si>
  <si>
    <t xml:space="preserve">Minimum Mach no. (Sonic Leading Edge)                 2nd Stage</t>
  </si>
  <si>
    <t xml:space="preserve">Maximum Wedge Half Angle for Supersonic Wedge Surface Flow 1st Stage, rad        </t>
  </si>
  <si>
    <t xml:space="preserve">Maximum Wedge Half Angle for Supersonic Wedge Surface Flow 2nd Stage, rad</t>
  </si>
  <si>
    <t xml:space="preserve">No</t>
  </si>
  <si>
    <t xml:space="preserve">Yes</t>
  </si>
  <si>
    <r>
      <rPr>
        <b val="true"/>
        <sz val="11"/>
        <color rgb="FFFFFFFF"/>
        <rFont val="Calibri"/>
        <family val="2"/>
      </rPr>
      <t xml:space="preserve">Body of Revolution  </t>
    </r>
    <r>
      <rPr>
        <b val="true"/>
        <sz val="11"/>
        <color rgb="FFFFFFFF"/>
        <rFont val="Arial"/>
        <family val="2"/>
      </rPr>
      <t xml:space="preserve">→</t>
    </r>
  </si>
  <si>
    <t xml:space="preserve">Element</t>
  </si>
  <si>
    <t xml:space="preserve">x, in</t>
  </si>
  <si>
    <t xml:space="preserve">r, in</t>
  </si>
  <si>
    <t xml:space="preserve">deltaR</t>
  </si>
  <si>
    <t xml:space="preserve">delta, rad</t>
  </si>
  <si>
    <t xml:space="preserve">ds</t>
  </si>
  <si>
    <t xml:space="preserve">deltadeg</t>
  </si>
  <si>
    <t xml:space="preserve">epsilon, flow deflection, rad</t>
  </si>
  <si>
    <t xml:space="preserve">Slender Body Theory</t>
  </si>
  <si>
    <t xml:space="preserve">Wave type</t>
  </si>
  <si>
    <t xml:space="preserve">P1</t>
  </si>
  <si>
    <t xml:space="preserve">nu1</t>
  </si>
  <si>
    <t xml:space="preserve">nu2</t>
  </si>
  <si>
    <t xml:space="preserve">M2</t>
  </si>
  <si>
    <t xml:space="preserve">p1/p2</t>
  </si>
  <si>
    <t xml:space="preserve">P2</t>
  </si>
  <si>
    <t xml:space="preserve">beta1</t>
  </si>
  <si>
    <t xml:space="preserve">beta2</t>
  </si>
  <si>
    <t xml:space="preserve">omega1</t>
  </si>
  <si>
    <t xml:space="preserve">omega2</t>
  </si>
  <si>
    <t xml:space="preserve">dpds2</t>
  </si>
  <si>
    <t xml:space="preserve">eta@Pstation</t>
  </si>
  <si>
    <t xml:space="preserve">P3</t>
  </si>
  <si>
    <t xml:space="preserve">dpds3</t>
  </si>
  <si>
    <t xml:space="preserve">p2/p3</t>
  </si>
  <si>
    <t xml:space="preserve">M3</t>
  </si>
  <si>
    <t xml:space="preserve">(P/Pinf)</t>
  </si>
  <si>
    <t xml:space="preserve">xtan/L</t>
  </si>
  <si>
    <t xml:space="preserve">Cp</t>
  </si>
  <si>
    <r>
      <rPr>
        <b val="true"/>
        <sz val="11"/>
        <color rgb="FF000000"/>
        <rFont val="Calibri"/>
        <family val="2"/>
      </rPr>
      <t xml:space="preserve">Total Wave Drag, C</t>
    </r>
    <r>
      <rPr>
        <b val="true"/>
        <vertAlign val="subscript"/>
        <sz val="11"/>
        <color rgb="FF000000"/>
        <rFont val="Calibri"/>
        <family val="2"/>
      </rPr>
      <t xml:space="preserve">Dw</t>
    </r>
  </si>
  <si>
    <t xml:space="preserve">Mu1</t>
  </si>
  <si>
    <t xml:space="preserve">Mu2</t>
  </si>
  <si>
    <t xml:space="preserve">lambda1</t>
  </si>
  <si>
    <t xml:space="preserve">lambda2</t>
  </si>
  <si>
    <t xml:space="preserve">CNalpha0   cone</t>
  </si>
  <si>
    <t xml:space="preserve">Λ1</t>
  </si>
  <si>
    <t xml:space="preserve">Λ</t>
  </si>
  <si>
    <r>
      <rPr>
        <b val="true"/>
        <sz val="11"/>
        <color rgb="FF000000"/>
        <rFont val="Calibri"/>
        <family val="2"/>
      </rPr>
      <t xml:space="preserve">Segment C</t>
    </r>
    <r>
      <rPr>
        <b val="true"/>
        <vertAlign val="subscript"/>
        <sz val="11"/>
        <color rgb="FF000000"/>
        <rFont val="Calibri"/>
        <family val="2"/>
      </rPr>
      <t xml:space="preserve">Na</t>
    </r>
    <r>
      <rPr>
        <b val="true"/>
        <sz val="11"/>
        <color rgb="FF000000"/>
        <rFont val="Calibri"/>
        <family val="2"/>
      </rPr>
      <t xml:space="preserve">, rad</t>
    </r>
    <r>
      <rPr>
        <b val="true"/>
        <vertAlign val="superscript"/>
        <sz val="11"/>
        <color rgb="FF000000"/>
        <rFont val="Calibri"/>
        <family val="2"/>
      </rPr>
      <t xml:space="preserve">-1</t>
    </r>
  </si>
  <si>
    <r>
      <rPr>
        <b val="true"/>
        <sz val="11"/>
        <color rgb="FF000000"/>
        <rFont val="Calibri"/>
        <family val="2"/>
      </rPr>
      <t xml:space="preserve">Total Cnalpha, C</t>
    </r>
    <r>
      <rPr>
        <b val="true"/>
        <vertAlign val="subscript"/>
        <sz val="11"/>
        <color rgb="FF000000"/>
        <rFont val="Calibri"/>
        <family val="2"/>
      </rPr>
      <t xml:space="preserve">N</t>
    </r>
    <r>
      <rPr>
        <b val="true"/>
        <vertAlign val="subscript"/>
        <sz val="11"/>
        <color rgb="FF000000"/>
        <rFont val="Symbol"/>
        <family val="1"/>
        <charset val="2"/>
      </rPr>
      <t xml:space="preserve">a,</t>
    </r>
    <r>
      <rPr>
        <b val="true"/>
        <vertAlign val="subscript"/>
        <sz val="11"/>
        <color rgb="FF000000"/>
        <rFont val="Calibri"/>
        <family val="2"/>
      </rPr>
      <t xml:space="preserve"> </t>
    </r>
    <r>
      <rPr>
        <b val="true"/>
        <sz val="11"/>
        <color rgb="FF000000"/>
        <rFont val="Calibri"/>
        <family val="2"/>
      </rPr>
      <t xml:space="preserve">rad</t>
    </r>
    <r>
      <rPr>
        <b val="true"/>
        <vertAlign val="superscript"/>
        <sz val="11"/>
        <color rgb="FF000000"/>
        <rFont val="Calibri"/>
        <family val="2"/>
      </rPr>
      <t xml:space="preserve">-1</t>
    </r>
    <r>
      <rPr>
        <b val="true"/>
        <vertAlign val="superscript"/>
        <sz val="11"/>
        <color rgb="FF000000"/>
        <rFont val="Symbol"/>
        <family val="1"/>
        <charset val="2"/>
      </rPr>
      <t xml:space="preserve"> </t>
    </r>
  </si>
  <si>
    <t xml:space="preserve">Segment CMalpha about x = 0</t>
  </si>
  <si>
    <r>
      <rPr>
        <b val="true"/>
        <sz val="11"/>
        <color rgb="FF000000"/>
        <rFont val="Calibri"/>
        <family val="2"/>
      </rPr>
      <t xml:space="preserve">Total Cmalpha, C</t>
    </r>
    <r>
      <rPr>
        <b val="true"/>
        <vertAlign val="subscript"/>
        <sz val="11"/>
        <color rgb="FF000000"/>
        <rFont val="Calibri"/>
        <family val="2"/>
      </rPr>
      <t xml:space="preserve">M</t>
    </r>
    <r>
      <rPr>
        <b val="true"/>
        <vertAlign val="subscript"/>
        <sz val="11"/>
        <color rgb="FF000000"/>
        <rFont val="Symbol"/>
        <family val="1"/>
        <charset val="2"/>
      </rPr>
      <t xml:space="preserve">a</t>
    </r>
    <r>
      <rPr>
        <b val="true"/>
        <sz val="11"/>
        <color rgb="FF000000"/>
        <rFont val="Calibri"/>
        <family val="2"/>
      </rPr>
      <t xml:space="preserve">, about x = 0</t>
    </r>
  </si>
  <si>
    <t xml:space="preserve">Main Body Center of Pressure, in</t>
  </si>
  <si>
    <r>
      <rPr>
        <b val="true"/>
        <sz val="11"/>
        <color rgb="FF000000"/>
        <rFont val="Calibri"/>
        <family val="2"/>
      </rPr>
      <t xml:space="preserve">Vehicle C</t>
    </r>
    <r>
      <rPr>
        <b val="true"/>
        <vertAlign val="subscript"/>
        <sz val="11"/>
        <color rgb="FF000000"/>
        <rFont val="Calibri"/>
        <family val="2"/>
      </rPr>
      <t xml:space="preserve">Nα</t>
    </r>
    <r>
      <rPr>
        <b val="true"/>
        <sz val="11"/>
        <color rgb="FF000000"/>
        <rFont val="Calibri"/>
        <family val="2"/>
      </rPr>
      <t xml:space="preserve">/rad</t>
    </r>
  </si>
  <si>
    <t xml:space="preserve">Vehicle Center of Pressure, in</t>
  </si>
  <si>
    <r>
      <rPr>
        <b val="true"/>
        <sz val="11"/>
        <color rgb="FFFFFFFF"/>
        <rFont val="Calibri"/>
        <family val="2"/>
      </rPr>
      <t xml:space="preserve">If r &gt; 0 then Tangent Hemispherical Cap is fitted     </t>
    </r>
    <r>
      <rPr>
        <b val="true"/>
        <sz val="11"/>
        <color rgb="FFFFFFFF"/>
        <rFont val="Arial"/>
        <family val="2"/>
      </rPr>
      <t xml:space="preserve">←</t>
    </r>
  </si>
  <si>
    <t xml:space="preserve">For 2 Stages</t>
  </si>
  <si>
    <t xml:space="preserve">First Stage     →</t>
  </si>
  <si>
    <t xml:space="preserve">Number of Fin Sets or Stages</t>
  </si>
  <si>
    <t xml:space="preserve">Number of Fin Panels</t>
  </si>
  <si>
    <t xml:space="preserve">Fin Root Chord Leading Edge Distance from Nose Tip, in</t>
  </si>
  <si>
    <t xml:space="preserve">Body Radius at Fin Center of Pressure Station, in</t>
  </si>
  <si>
    <r>
      <rPr>
        <b val="true"/>
        <sz val="11"/>
        <color rgb="FF000000"/>
        <rFont val="Calibri"/>
        <family val="2"/>
      </rPr>
      <t xml:space="preserve">Root Chord, c</t>
    </r>
    <r>
      <rPr>
        <b val="true"/>
        <vertAlign val="subscript"/>
        <sz val="11"/>
        <color rgb="FF000000"/>
        <rFont val="Calibri"/>
        <family val="2"/>
      </rPr>
      <t xml:space="preserve">R</t>
    </r>
    <r>
      <rPr>
        <b val="true"/>
        <sz val="11"/>
        <color rgb="FF000000"/>
        <rFont val="Calibri"/>
        <family val="2"/>
      </rPr>
      <t xml:space="preserve">, in</t>
    </r>
  </si>
  <si>
    <r>
      <rPr>
        <b val="true"/>
        <sz val="11"/>
        <color rgb="FF000000"/>
        <rFont val="Calibri"/>
        <family val="2"/>
      </rPr>
      <t xml:space="preserve">Tip Chord, c</t>
    </r>
    <r>
      <rPr>
        <b val="true"/>
        <vertAlign val="subscript"/>
        <sz val="11"/>
        <color rgb="FF000000"/>
        <rFont val="Calibri"/>
        <family val="2"/>
      </rPr>
      <t xml:space="preserve">T</t>
    </r>
    <r>
      <rPr>
        <b val="true"/>
        <sz val="11"/>
        <color rgb="FF000000"/>
        <rFont val="Calibri"/>
        <family val="2"/>
      </rPr>
      <t xml:space="preserve">, in</t>
    </r>
  </si>
  <si>
    <t xml:space="preserve">Fin Exposed Semi span, b, in </t>
  </si>
  <si>
    <t xml:space="preserve">Wedge delta (half angle), deg</t>
  </si>
  <si>
    <t xml:space="preserve">Wedge delta, rad</t>
  </si>
  <si>
    <t xml:space="preserve">Maximum Semispan from Body CL, in</t>
  </si>
  <si>
    <t xml:space="preserve">Taper Ratio, λ</t>
  </si>
  <si>
    <t xml:space="preserve">Cot (leading edge sweep), cotΛ</t>
  </si>
  <si>
    <r>
      <rPr>
        <b val="true"/>
        <sz val="10"/>
        <color rgb="FF000000"/>
        <rFont val="Calibri"/>
        <family val="2"/>
      </rPr>
      <t xml:space="preserve">β =                              √ M</t>
    </r>
    <r>
      <rPr>
        <b val="true"/>
        <vertAlign val="superscript"/>
        <sz val="10"/>
        <color rgb="FF000000"/>
        <rFont val="Calibri"/>
        <family val="2"/>
      </rPr>
      <t xml:space="preserve">2</t>
    </r>
    <r>
      <rPr>
        <b val="true"/>
        <sz val="10"/>
        <color rgb="FF000000"/>
        <rFont val="Calibri"/>
        <family val="2"/>
      </rPr>
      <t xml:space="preserve"> - 1</t>
    </r>
  </si>
  <si>
    <r>
      <rPr>
        <b val="true"/>
        <sz val="11"/>
        <color rgb="FF000000"/>
        <rFont val="Calibri"/>
        <family val="2"/>
      </rPr>
      <t xml:space="preserve">2-Panel Fin Area, S, in</t>
    </r>
    <r>
      <rPr>
        <b val="true"/>
        <vertAlign val="superscript"/>
        <sz val="11"/>
        <color rgb="FF000000"/>
        <rFont val="Calibri"/>
        <family val="2"/>
      </rPr>
      <t xml:space="preserve">2</t>
    </r>
  </si>
  <si>
    <t xml:space="preserve">2-Panel Aspect Ratio, AR</t>
  </si>
  <si>
    <t xml:space="preserve">Wedge Multiplier</t>
  </si>
  <si>
    <r>
      <rPr>
        <b val="true"/>
        <sz val="11"/>
        <color rgb="FF000000"/>
        <rFont val="Calibri"/>
        <family val="2"/>
      </rPr>
      <t xml:space="preserve">λc</t>
    </r>
    <r>
      <rPr>
        <b val="true"/>
        <vertAlign val="subscript"/>
        <sz val="11"/>
        <color rgb="FF000000"/>
        <rFont val="Calibri"/>
        <family val="2"/>
      </rPr>
      <t xml:space="preserve">R</t>
    </r>
    <r>
      <rPr>
        <b val="true"/>
        <sz val="11"/>
        <color rgb="FF000000"/>
        <rFont val="Calibri"/>
        <family val="2"/>
      </rPr>
      <t xml:space="preserve">/βs</t>
    </r>
  </si>
  <si>
    <t xml:space="preserve">βcotΛ</t>
  </si>
  <si>
    <r>
      <rPr>
        <b val="true"/>
        <sz val="11"/>
        <color rgb="FF000000"/>
        <rFont val="Calibri"/>
        <family val="2"/>
      </rPr>
      <t xml:space="preserve">(∂C</t>
    </r>
    <r>
      <rPr>
        <b val="true"/>
        <vertAlign val="subscript"/>
        <sz val="11"/>
        <color rgb="FF000000"/>
        <rFont val="Calibri"/>
        <family val="2"/>
      </rPr>
      <t xml:space="preserve">N</t>
    </r>
    <r>
      <rPr>
        <b val="true"/>
        <sz val="11"/>
        <color rgb="FF000000"/>
        <rFont val="Calibri"/>
        <family val="2"/>
      </rPr>
      <t xml:space="preserve">/∂α)/   AR,      rad</t>
    </r>
    <r>
      <rPr>
        <b val="true"/>
        <vertAlign val="superscript"/>
        <sz val="11"/>
        <color rgb="FF000000"/>
        <rFont val="Calibri"/>
        <family val="2"/>
      </rPr>
      <t xml:space="preserve">-1</t>
    </r>
  </si>
  <si>
    <r>
      <rPr>
        <b val="true"/>
        <sz val="11"/>
        <color rgb="FF000000"/>
        <rFont val="Calibri"/>
        <family val="2"/>
      </rPr>
      <t xml:space="preserve">Wing Alone C</t>
    </r>
    <r>
      <rPr>
        <b val="true"/>
        <vertAlign val="subscript"/>
        <sz val="11"/>
        <color rgb="FF000000"/>
        <rFont val="Calibri"/>
        <family val="2"/>
      </rPr>
      <t xml:space="preserve">Na</t>
    </r>
    <r>
      <rPr>
        <b val="true"/>
        <sz val="11"/>
        <color rgb="FF000000"/>
        <rFont val="Calibri"/>
        <family val="2"/>
      </rPr>
      <t xml:space="preserve"> (based on Swing), rad</t>
    </r>
    <r>
      <rPr>
        <b val="true"/>
        <vertAlign val="superscript"/>
        <sz val="11"/>
        <color rgb="FF000000"/>
        <rFont val="Calibri"/>
        <family val="2"/>
      </rPr>
      <t xml:space="preserve">-1</t>
    </r>
  </si>
  <si>
    <t xml:space="preserve">h/c, Fin Center of Pressure, Fraction of Root Chord, aft of Fin Apex</t>
  </si>
  <si>
    <r>
      <rPr>
        <b val="true"/>
        <sz val="11"/>
        <color rgb="FF000000"/>
        <rFont val="Calibri"/>
        <family val="2"/>
      </rPr>
      <t xml:space="preserve">Body-Fin Lift Interference, K</t>
    </r>
    <r>
      <rPr>
        <b val="true"/>
        <vertAlign val="subscript"/>
        <sz val="11"/>
        <color rgb="FF000000"/>
        <rFont val="Calibri"/>
        <family val="2"/>
      </rPr>
      <t xml:space="preserve">W(B),      </t>
    </r>
    <r>
      <rPr>
        <b val="true"/>
        <sz val="11"/>
        <color rgb="FF000000"/>
        <rFont val="Calibri"/>
        <family val="2"/>
      </rPr>
      <t xml:space="preserve">Eq. (14)</t>
    </r>
  </si>
  <si>
    <r>
      <rPr>
        <b val="true"/>
        <sz val="11"/>
        <color rgb="FF000000"/>
        <rFont val="Calibri"/>
        <family val="2"/>
      </rPr>
      <t xml:space="preserve">Naked (single panel) Fin Ass'y C</t>
    </r>
    <r>
      <rPr>
        <b val="true"/>
        <vertAlign val="subscript"/>
        <sz val="11"/>
        <rFont val="Arial"/>
        <family val="2"/>
      </rPr>
      <t xml:space="preserve">N</t>
    </r>
    <r>
      <rPr>
        <b val="true"/>
        <vertAlign val="subscript"/>
        <sz val="11"/>
        <rFont val="Symbol"/>
        <family val="1"/>
        <charset val="2"/>
      </rPr>
      <t xml:space="preserve">a </t>
    </r>
    <r>
      <rPr>
        <b val="true"/>
        <sz val="11"/>
        <rFont val="Arial"/>
        <family val="2"/>
      </rPr>
      <t xml:space="preserve">(based on Sref), rad</t>
    </r>
    <r>
      <rPr>
        <b val="true"/>
        <vertAlign val="superscript"/>
        <sz val="11"/>
        <rFont val="Arial"/>
        <family val="2"/>
      </rPr>
      <t xml:space="preserve">-1</t>
    </r>
  </si>
  <si>
    <r>
      <rPr>
        <b val="true"/>
        <sz val="11"/>
        <color rgb="FF000000"/>
        <rFont val="Calibri"/>
        <family val="2"/>
      </rPr>
      <t xml:space="preserve">Fin-Body Lift Interference, K</t>
    </r>
    <r>
      <rPr>
        <b val="true"/>
        <vertAlign val="subscript"/>
        <sz val="11"/>
        <color rgb="FF000000"/>
        <rFont val="Calibri"/>
        <family val="2"/>
      </rPr>
      <t xml:space="preserve">B(W),  </t>
    </r>
    <r>
      <rPr>
        <b val="true"/>
        <sz val="11"/>
        <color rgb="FF000000"/>
        <rFont val="Calibri"/>
        <family val="2"/>
      </rPr>
      <t xml:space="preserve">   Eq. (21)</t>
    </r>
  </si>
  <si>
    <r>
      <rPr>
        <b val="true"/>
        <sz val="11"/>
        <color rgb="FF000000"/>
        <rFont val="Calibri"/>
        <family val="2"/>
      </rPr>
      <t xml:space="preserve">Fins + K</t>
    </r>
    <r>
      <rPr>
        <b val="true"/>
        <vertAlign val="subscript"/>
        <sz val="11"/>
        <color rgb="FF000000"/>
        <rFont val="Calibri"/>
        <family val="2"/>
      </rPr>
      <t xml:space="preserve">(W)B</t>
    </r>
    <r>
      <rPr>
        <b val="true"/>
        <sz val="11"/>
        <color rgb="FF000000"/>
        <rFont val="Calibri"/>
        <family val="2"/>
      </rPr>
      <t xml:space="preserve">  C</t>
    </r>
    <r>
      <rPr>
        <b val="true"/>
        <vertAlign val="subscript"/>
        <sz val="11"/>
        <color rgb="FF000000"/>
        <rFont val="Calibri"/>
        <family val="2"/>
      </rPr>
      <t xml:space="preserve">Nα</t>
    </r>
    <r>
      <rPr>
        <b val="true"/>
        <sz val="11"/>
        <color rgb="FF000000"/>
        <rFont val="Calibri"/>
        <family val="2"/>
      </rPr>
      <t xml:space="preserve">, rad</t>
    </r>
    <r>
      <rPr>
        <b val="true"/>
        <vertAlign val="superscript"/>
        <sz val="11"/>
        <color rgb="FF000000"/>
        <rFont val="Calibri"/>
        <family val="2"/>
      </rPr>
      <t xml:space="preserve">-1</t>
    </r>
  </si>
  <si>
    <r>
      <rPr>
        <b val="true"/>
        <sz val="11"/>
        <color rgb="FF000000"/>
        <rFont val="Calibri"/>
        <family val="2"/>
      </rPr>
      <t xml:space="preserve">Fin + K</t>
    </r>
    <r>
      <rPr>
        <b val="true"/>
        <vertAlign val="subscript"/>
        <sz val="11"/>
        <color rgb="FF000000"/>
        <rFont val="Calibri"/>
        <family val="2"/>
      </rPr>
      <t xml:space="preserve">(W)B</t>
    </r>
    <r>
      <rPr>
        <b val="true"/>
        <sz val="11"/>
        <color rgb="FF000000"/>
        <rFont val="Calibri"/>
        <family val="2"/>
      </rPr>
      <t xml:space="preserve"> Center of Pressure, in</t>
    </r>
  </si>
  <si>
    <r>
      <rPr>
        <b val="true"/>
        <sz val="11"/>
        <color rgb="FF000000"/>
        <rFont val="Calibri"/>
        <family val="2"/>
      </rPr>
      <t xml:space="preserve">Fins + K</t>
    </r>
    <r>
      <rPr>
        <b val="true"/>
        <vertAlign val="subscript"/>
        <sz val="11"/>
        <color rgb="FF000000"/>
        <rFont val="Calibri"/>
        <family val="2"/>
      </rPr>
      <t xml:space="preserve">W(B)</t>
    </r>
    <r>
      <rPr>
        <b val="true"/>
        <sz val="11"/>
        <color rgb="FF000000"/>
        <rFont val="Calibri"/>
        <family val="2"/>
      </rPr>
      <t xml:space="preserve"> Moment About the Nose Tip</t>
    </r>
  </si>
  <si>
    <r>
      <rPr>
        <b val="true"/>
        <sz val="11"/>
        <color rgb="FF000000"/>
        <rFont val="Calibri"/>
        <family val="2"/>
      </rPr>
      <t xml:space="preserve">Tail Assembly C</t>
    </r>
    <r>
      <rPr>
        <b val="true"/>
        <vertAlign val="subscript"/>
        <sz val="11"/>
        <color rgb="FF000000"/>
        <rFont val="Calibri"/>
        <family val="2"/>
      </rPr>
      <t xml:space="preserve">Na</t>
    </r>
    <r>
      <rPr>
        <b val="true"/>
        <sz val="11"/>
        <color rgb="FF000000"/>
        <rFont val="Calibri"/>
        <family val="2"/>
      </rPr>
      <t xml:space="preserve">, rad</t>
    </r>
    <r>
      <rPr>
        <b val="true"/>
        <vertAlign val="superscript"/>
        <sz val="11"/>
        <color rgb="FF000000"/>
        <rFont val="Calibri"/>
        <family val="2"/>
      </rPr>
      <t xml:space="preserve">-1</t>
    </r>
  </si>
  <si>
    <t xml:space="preserve">B(W) Center of Pressure Station, in</t>
  </si>
  <si>
    <t xml:space="preserve">Body B(W) Lift Moment About Nose Tip</t>
  </si>
  <si>
    <r>
      <rPr>
        <b val="true"/>
        <sz val="11"/>
        <color rgb="FF000000"/>
        <rFont val="Calibri"/>
        <family val="2"/>
      </rPr>
      <t xml:space="preserve">Body-Fin Lift Interference, K</t>
    </r>
    <r>
      <rPr>
        <b val="true"/>
        <vertAlign val="subscript"/>
        <sz val="11"/>
        <color rgb="FF000000"/>
        <rFont val="Calibri"/>
        <family val="2"/>
      </rPr>
      <t xml:space="preserve">W(B), </t>
    </r>
    <r>
      <rPr>
        <b val="true"/>
        <sz val="11"/>
        <color rgb="FF000000"/>
        <rFont val="Calibri"/>
        <family val="2"/>
      </rPr>
      <t xml:space="preserve">Eq. (21)</t>
    </r>
  </si>
  <si>
    <r>
      <rPr>
        <b val="true"/>
        <sz val="11"/>
        <color rgb="FF000000"/>
        <rFont val="Calibri"/>
        <family val="2"/>
      </rPr>
      <t xml:space="preserve">Tail Assembly α and </t>
    </r>
    <r>
      <rPr>
        <b val="true"/>
        <sz val="11"/>
        <color rgb="FF000000"/>
        <rFont val="Symbol"/>
        <family val="1"/>
        <charset val="2"/>
      </rPr>
      <t xml:space="preserve">d</t>
    </r>
    <r>
      <rPr>
        <b val="true"/>
        <sz val="11"/>
        <color rgb="FF000000"/>
        <rFont val="Calibri"/>
        <family val="2"/>
      </rPr>
      <t xml:space="preserve"> Center of Pressure, in</t>
    </r>
  </si>
  <si>
    <r>
      <rPr>
        <b val="true"/>
        <sz val="11"/>
        <color rgb="FF000000"/>
        <rFont val="Calibri"/>
        <family val="2"/>
      </rPr>
      <t xml:space="preserve">Single Panel C</t>
    </r>
    <r>
      <rPr>
        <b val="true"/>
        <vertAlign val="subscript"/>
        <sz val="11"/>
        <color rgb="FF000000"/>
        <rFont val="Calibri"/>
        <family val="2"/>
      </rPr>
      <t xml:space="preserve">Nδ</t>
    </r>
    <r>
      <rPr>
        <b val="true"/>
        <sz val="11"/>
        <color rgb="FF000000"/>
        <rFont val="Calibri"/>
        <family val="2"/>
      </rPr>
      <t xml:space="preserve">, rad</t>
    </r>
    <r>
      <rPr>
        <b val="true"/>
        <vertAlign val="superscript"/>
        <sz val="11"/>
        <color rgb="FF000000"/>
        <rFont val="Calibri"/>
        <family val="2"/>
      </rPr>
      <t xml:space="preserve">-1</t>
    </r>
  </si>
  <si>
    <t xml:space="preserve">Fin Wave Drag for Wedge, CDw</t>
  </si>
  <si>
    <t xml:space="preserve">Trailing Vortex Spanwise Location at Stage 1, in</t>
  </si>
  <si>
    <t xml:space="preserve">Image Vortex Spanwise Location at Stage 1, in</t>
  </si>
  <si>
    <t xml:space="preserve">Vortex Iinterference Multiplier</t>
  </si>
  <si>
    <r>
      <rPr>
        <b val="true"/>
        <sz val="11"/>
        <color rgb="FF000000"/>
        <rFont val="Calibri"/>
        <family val="2"/>
      </rPr>
      <t xml:space="preserve">c</t>
    </r>
    <r>
      <rPr>
        <b val="true"/>
        <vertAlign val="subscript"/>
        <sz val="11"/>
        <rFont val="Arial"/>
        <family val="2"/>
      </rPr>
      <t xml:space="preserve">R1</t>
    </r>
    <r>
      <rPr>
        <b val="true"/>
        <sz val="11"/>
        <color rgb="FF000000"/>
        <rFont val="Calibri"/>
        <family val="2"/>
      </rPr>
      <t xml:space="preserve">b</t>
    </r>
    <r>
      <rPr>
        <b val="true"/>
        <vertAlign val="subscript"/>
        <sz val="11"/>
        <rFont val="Arial"/>
        <family val="2"/>
      </rPr>
      <t xml:space="preserve">1</t>
    </r>
    <r>
      <rPr>
        <b val="true"/>
        <sz val="11"/>
        <color rgb="FF000000"/>
        <rFont val="Calibri"/>
        <family val="2"/>
      </rPr>
      <t xml:space="preserve">-c</t>
    </r>
    <r>
      <rPr>
        <b val="true"/>
        <vertAlign val="subscript"/>
        <sz val="11"/>
        <rFont val="Arial"/>
        <family val="2"/>
      </rPr>
      <t xml:space="preserve">T1</t>
    </r>
    <r>
      <rPr>
        <b val="true"/>
        <sz val="11"/>
        <color rgb="FF000000"/>
        <rFont val="Calibri"/>
        <family val="2"/>
      </rPr>
      <t xml:space="preserve">R</t>
    </r>
    <r>
      <rPr>
        <b val="true"/>
        <vertAlign val="subscript"/>
        <sz val="11"/>
        <rFont val="Arial"/>
        <family val="2"/>
      </rPr>
      <t xml:space="preserve">1,   </t>
    </r>
    <r>
      <rPr>
        <b val="true"/>
        <sz val="11"/>
        <rFont val="Arial"/>
        <family val="2"/>
      </rPr>
      <t xml:space="preserve"> in</t>
    </r>
    <r>
      <rPr>
        <b val="true"/>
        <vertAlign val="superscript"/>
        <sz val="11"/>
        <rFont val="Arial"/>
        <family val="2"/>
      </rPr>
      <t xml:space="preserve">2</t>
    </r>
  </si>
  <si>
    <r>
      <rPr>
        <b val="true"/>
        <sz val="11"/>
        <color rgb="FF000000"/>
        <rFont val="Calibri"/>
        <family val="2"/>
      </rPr>
      <t xml:space="preserve">c</t>
    </r>
    <r>
      <rPr>
        <b val="true"/>
        <vertAlign val="subscript"/>
        <sz val="11"/>
        <rFont val="Arial"/>
        <family val="2"/>
      </rPr>
      <t xml:space="preserve">R1</t>
    </r>
    <r>
      <rPr>
        <b val="true"/>
        <sz val="11"/>
        <color rgb="FF000000"/>
        <rFont val="Calibri"/>
        <family val="2"/>
      </rPr>
      <t xml:space="preserve">-c</t>
    </r>
    <r>
      <rPr>
        <b val="true"/>
        <vertAlign val="subscript"/>
        <sz val="11"/>
        <rFont val="Arial"/>
        <family val="2"/>
      </rPr>
      <t xml:space="preserve">T1,   </t>
    </r>
    <r>
      <rPr>
        <b val="true"/>
        <sz val="11"/>
        <rFont val="Arial"/>
        <family val="2"/>
      </rPr>
      <t xml:space="preserve"> in</t>
    </r>
  </si>
  <si>
    <r>
      <rPr>
        <b val="true"/>
        <sz val="11"/>
        <color rgb="FF000000"/>
        <rFont val="Calibri"/>
        <family val="2"/>
      </rPr>
      <t xml:space="preserve">N(f</t>
    </r>
    <r>
      <rPr>
        <b val="true"/>
        <vertAlign val="subscript"/>
        <sz val="11"/>
        <rFont val="Arial"/>
        <family val="2"/>
      </rPr>
      <t xml:space="preserve">1</t>
    </r>
    <r>
      <rPr>
        <b val="true"/>
        <sz val="11"/>
        <color rgb="FF000000"/>
        <rFont val="Calibri"/>
        <family val="2"/>
      </rPr>
      <t xml:space="preserve">)</t>
    </r>
  </si>
  <si>
    <r>
      <rPr>
        <b val="true"/>
        <sz val="11"/>
        <color rgb="FF000000"/>
        <rFont val="Calibri"/>
        <family val="2"/>
      </rPr>
      <t xml:space="preserve">ΔN(f</t>
    </r>
    <r>
      <rPr>
        <b val="true"/>
        <vertAlign val="subscript"/>
        <sz val="11"/>
        <rFont val="Arial"/>
        <family val="2"/>
      </rPr>
      <t xml:space="preserve">1</t>
    </r>
    <r>
      <rPr>
        <b val="true"/>
        <sz val="11"/>
        <color rgb="FF000000"/>
        <rFont val="Calibri"/>
        <family val="2"/>
      </rPr>
      <t xml:space="preserve">)</t>
    </r>
  </si>
  <si>
    <r>
      <rPr>
        <b val="true"/>
        <sz val="11"/>
        <color rgb="FF000000"/>
        <rFont val="Calibri"/>
        <family val="2"/>
      </rPr>
      <t xml:space="preserve">N</t>
    </r>
    <r>
      <rPr>
        <b val="true"/>
        <vertAlign val="subscript"/>
        <sz val="11"/>
        <rFont val="Arial"/>
        <family val="2"/>
      </rPr>
      <t xml:space="preserve">I</t>
    </r>
    <r>
      <rPr>
        <b val="true"/>
        <sz val="11"/>
        <color rgb="FF000000"/>
        <rFont val="Calibri"/>
        <family val="2"/>
      </rPr>
      <t xml:space="preserve">(g</t>
    </r>
    <r>
      <rPr>
        <b val="true"/>
        <vertAlign val="subscript"/>
        <sz val="11"/>
        <rFont val="Arial"/>
        <family val="2"/>
      </rPr>
      <t xml:space="preserve">1</t>
    </r>
    <r>
      <rPr>
        <b val="true"/>
        <sz val="11"/>
        <color rgb="FF000000"/>
        <rFont val="Calibri"/>
        <family val="2"/>
      </rPr>
      <t xml:space="preserve">)</t>
    </r>
  </si>
  <si>
    <r>
      <rPr>
        <b val="true"/>
        <sz val="11"/>
        <color rgb="FF000000"/>
        <rFont val="Calibri"/>
        <family val="2"/>
      </rPr>
      <t xml:space="preserve">ΔN</t>
    </r>
    <r>
      <rPr>
        <b val="true"/>
        <vertAlign val="subscript"/>
        <sz val="11"/>
        <rFont val="Arial"/>
        <family val="2"/>
      </rPr>
      <t xml:space="preserve">I</t>
    </r>
    <r>
      <rPr>
        <b val="true"/>
        <sz val="11"/>
        <color rgb="FF000000"/>
        <rFont val="Calibri"/>
        <family val="2"/>
      </rPr>
      <t xml:space="preserve">(g</t>
    </r>
    <r>
      <rPr>
        <b val="true"/>
        <vertAlign val="subscript"/>
        <sz val="11"/>
        <rFont val="Arial"/>
        <family val="2"/>
      </rPr>
      <t xml:space="preserve">1</t>
    </r>
    <r>
      <rPr>
        <b val="true"/>
        <sz val="11"/>
        <color rgb="FF000000"/>
        <rFont val="Calibri"/>
        <family val="2"/>
      </rPr>
      <t xml:space="preserve">))</t>
    </r>
  </si>
  <si>
    <r>
      <rPr>
        <b val="true"/>
        <sz val="11"/>
        <color rgb="FF000000"/>
        <rFont val="Calibri"/>
        <family val="2"/>
      </rPr>
      <t xml:space="preserve">First Stage Fins Vortex Interference C</t>
    </r>
    <r>
      <rPr>
        <b val="true"/>
        <vertAlign val="subscript"/>
        <sz val="11"/>
        <rFont val="Arial"/>
        <family val="2"/>
      </rPr>
      <t xml:space="preserve">N</t>
    </r>
    <r>
      <rPr>
        <b val="true"/>
        <vertAlign val="subscript"/>
        <sz val="11"/>
        <rFont val="Symbol"/>
        <family val="1"/>
        <charset val="2"/>
      </rPr>
      <t xml:space="preserve">a</t>
    </r>
  </si>
  <si>
    <r>
      <rPr>
        <b val="true"/>
        <sz val="11"/>
        <color rgb="FF000000"/>
        <rFont val="Calibri"/>
        <family val="2"/>
      </rPr>
      <t xml:space="preserve">First Stage Body Vortex Interference C</t>
    </r>
    <r>
      <rPr>
        <b val="true"/>
        <vertAlign val="subscript"/>
        <sz val="11"/>
        <rFont val="Arial"/>
        <family val="2"/>
      </rPr>
      <t xml:space="preserve">N</t>
    </r>
    <r>
      <rPr>
        <b val="true"/>
        <vertAlign val="subscript"/>
        <sz val="11"/>
        <rFont val="Symbol"/>
        <family val="1"/>
        <charset val="2"/>
      </rPr>
      <t xml:space="preserve">a</t>
    </r>
    <r>
      <rPr>
        <b val="true"/>
        <sz val="11"/>
        <color rgb="FF000000"/>
        <rFont val="Calibri"/>
        <family val="2"/>
      </rPr>
      <t xml:space="preserve">, rad</t>
    </r>
    <r>
      <rPr>
        <b val="true"/>
        <vertAlign val="superscript"/>
        <sz val="11"/>
        <rFont val="Arial"/>
        <family val="2"/>
      </rPr>
      <t xml:space="preserve">-1</t>
    </r>
  </si>
  <si>
    <r>
      <rPr>
        <b val="true"/>
        <sz val="10"/>
        <rFont val="Arial"/>
        <family val="2"/>
      </rPr>
      <t xml:space="preserve">Total Tail Assembly C</t>
    </r>
    <r>
      <rPr>
        <b val="true"/>
        <vertAlign val="subscript"/>
        <sz val="10"/>
        <rFont val="Arial"/>
        <family val="2"/>
      </rPr>
      <t xml:space="preserve">Nα</t>
    </r>
    <r>
      <rPr>
        <b val="true"/>
        <sz val="10"/>
        <rFont val="Arial"/>
        <family val="2"/>
      </rPr>
      <t xml:space="preserve"> with Vortex Interference , rad</t>
    </r>
    <r>
      <rPr>
        <b val="true"/>
        <vertAlign val="superscript"/>
        <sz val="10"/>
        <rFont val="Arial"/>
        <family val="2"/>
      </rPr>
      <t xml:space="preserve">-1</t>
    </r>
  </si>
  <si>
    <r>
      <rPr>
        <b val="true"/>
        <sz val="11"/>
        <color rgb="FF000000"/>
        <rFont val="Calibri"/>
        <family val="2"/>
      </rPr>
      <t xml:space="preserve">Body-Fin Lift Interference, k</t>
    </r>
    <r>
      <rPr>
        <b val="true"/>
        <vertAlign val="subscript"/>
        <sz val="11"/>
        <rFont val="Arial"/>
        <family val="2"/>
      </rPr>
      <t xml:space="preserve">W(B), </t>
    </r>
    <r>
      <rPr>
        <b val="true"/>
        <sz val="11"/>
        <rFont val="Arial"/>
        <family val="2"/>
      </rPr>
      <t xml:space="preserve">Eq. (19)</t>
    </r>
  </si>
  <si>
    <r>
      <rPr>
        <b val="true"/>
        <sz val="11"/>
        <color rgb="FF000000"/>
        <rFont val="Calibri"/>
        <family val="2"/>
      </rPr>
      <t xml:space="preserve">Fin-Body Lift Interference, k</t>
    </r>
    <r>
      <rPr>
        <b val="true"/>
        <vertAlign val="subscript"/>
        <sz val="11"/>
        <color rgb="FF000000"/>
        <rFont val="Calibri"/>
        <family val="2"/>
      </rPr>
      <t xml:space="preserve">B(W)</t>
    </r>
    <r>
      <rPr>
        <b val="true"/>
        <sz val="11"/>
        <color rgb="FF000000"/>
        <rFont val="Calibri"/>
        <family val="2"/>
      </rPr>
      <t xml:space="preserve">,                Eq. (33)</t>
    </r>
  </si>
  <si>
    <r>
      <rPr>
        <b val="true"/>
        <sz val="11"/>
        <color rgb="FF000000"/>
        <rFont val="Calibri"/>
        <family val="2"/>
      </rPr>
      <t xml:space="preserve">Single Panel C</t>
    </r>
    <r>
      <rPr>
        <b val="true"/>
        <vertAlign val="subscript"/>
        <sz val="11"/>
        <rFont val="Arial"/>
        <family val="2"/>
      </rPr>
      <t xml:space="preserve">N</t>
    </r>
    <r>
      <rPr>
        <b val="true"/>
        <vertAlign val="subscript"/>
        <sz val="11"/>
        <rFont val="Symbol"/>
        <family val="1"/>
        <charset val="2"/>
      </rPr>
      <t xml:space="preserve">d</t>
    </r>
    <r>
      <rPr>
        <b val="true"/>
        <sz val="11"/>
        <color rgb="FF000000"/>
        <rFont val="Calibri"/>
        <family val="2"/>
      </rPr>
      <t xml:space="preserve">, rad</t>
    </r>
    <r>
      <rPr>
        <b val="true"/>
        <vertAlign val="superscript"/>
        <sz val="11"/>
        <rFont val="Arial"/>
        <family val="2"/>
      </rPr>
      <t xml:space="preserve">-1</t>
    </r>
  </si>
  <si>
    <t xml:space="preserve">Second Stage      →</t>
  </si>
  <si>
    <r>
      <rPr>
        <b val="true"/>
        <sz val="11"/>
        <color rgb="FF000000"/>
        <rFont val="Calibri"/>
        <family val="2"/>
      </rPr>
      <t xml:space="preserve">β =                              √ M</t>
    </r>
    <r>
      <rPr>
        <b val="true"/>
        <vertAlign val="superscript"/>
        <sz val="11"/>
        <color rgb="FF000000"/>
        <rFont val="Calibri"/>
        <family val="2"/>
      </rPr>
      <t xml:space="preserve">2</t>
    </r>
    <r>
      <rPr>
        <b val="true"/>
        <sz val="11"/>
        <color rgb="FF000000"/>
        <rFont val="Calibri"/>
        <family val="2"/>
      </rPr>
      <t xml:space="preserve"> - 1</t>
    </r>
  </si>
  <si>
    <r>
      <rPr>
        <b val="true"/>
        <sz val="12"/>
        <color rgb="FF000000"/>
        <rFont val="Calibri"/>
        <family val="2"/>
      </rPr>
      <t xml:space="preserve">(∂C</t>
    </r>
    <r>
      <rPr>
        <b val="true"/>
        <vertAlign val="subscript"/>
        <sz val="12"/>
        <color rgb="FF000000"/>
        <rFont val="Calibri"/>
        <family val="2"/>
      </rPr>
      <t xml:space="preserve">N</t>
    </r>
    <r>
      <rPr>
        <b val="true"/>
        <sz val="12"/>
        <color rgb="FF000000"/>
        <rFont val="Calibri"/>
        <family val="2"/>
      </rPr>
      <t xml:space="preserve">/∂α)/   AR, rad</t>
    </r>
    <r>
      <rPr>
        <b val="true"/>
        <vertAlign val="superscript"/>
        <sz val="12"/>
        <color rgb="FF000000"/>
        <rFont val="Calibri"/>
        <family val="2"/>
      </rPr>
      <t xml:space="preserve">-1</t>
    </r>
  </si>
  <si>
    <r>
      <rPr>
        <b val="true"/>
        <sz val="11"/>
        <color rgb="FF000000"/>
        <rFont val="Calibri"/>
        <family val="2"/>
      </rPr>
      <t xml:space="preserve">Body-Fin Lift Interference, K</t>
    </r>
    <r>
      <rPr>
        <b val="true"/>
        <vertAlign val="subscript"/>
        <sz val="11"/>
        <color rgb="FF000000"/>
        <rFont val="Calibri"/>
        <family val="2"/>
      </rPr>
      <t xml:space="preserve">W(B),       </t>
    </r>
    <r>
      <rPr>
        <b val="true"/>
        <sz val="11"/>
        <color rgb="FF000000"/>
        <rFont val="Calibri"/>
        <family val="2"/>
      </rPr>
      <t xml:space="preserve">Eq. (14)</t>
    </r>
  </si>
  <si>
    <r>
      <rPr>
        <b val="true"/>
        <sz val="11"/>
        <color rgb="FF000000"/>
        <rFont val="Calibri"/>
        <family val="2"/>
      </rPr>
      <t xml:space="preserve">Fin-Body Lift Interference, K</t>
    </r>
    <r>
      <rPr>
        <b val="true"/>
        <vertAlign val="subscript"/>
        <sz val="11"/>
        <color rgb="FF000000"/>
        <rFont val="Calibri"/>
        <family val="2"/>
      </rPr>
      <t xml:space="preserve">B(W),   </t>
    </r>
    <r>
      <rPr>
        <b val="true"/>
        <sz val="11"/>
        <color rgb="FF000000"/>
        <rFont val="Calibri"/>
        <family val="2"/>
      </rPr>
      <t xml:space="preserve">  Eq. (21)</t>
    </r>
  </si>
  <si>
    <t xml:space="preserve">Trailing Vortex Spanwise Location at Stage 2, in</t>
  </si>
  <si>
    <t xml:space="preserve">Trailing Vortex Strength,         Γ / V, in</t>
  </si>
  <si>
    <t xml:space="preserve">Summary</t>
  </si>
  <si>
    <t xml:space="preserve">Wedge Wave Drag Stage 1, CDw</t>
  </si>
  <si>
    <t xml:space="preserve">Wedge Wave Drag Stage 2, CDw</t>
  </si>
  <si>
    <t xml:space="preserve">Total Body Wave Drag, CDw</t>
  </si>
  <si>
    <r>
      <rPr>
        <b val="true"/>
        <sz val="11"/>
        <color rgb="FF000000"/>
        <rFont val="Calibri"/>
        <family val="2"/>
      </rPr>
      <t xml:space="preserve">Total Body Wave Drag, C</t>
    </r>
    <r>
      <rPr>
        <b val="true"/>
        <vertAlign val="subscript"/>
        <sz val="11"/>
        <color rgb="FF000000"/>
        <rFont val="Calibri"/>
        <family val="2"/>
      </rPr>
      <t xml:space="preserve">Dw</t>
    </r>
  </si>
  <si>
    <r>
      <rPr>
        <b val="true"/>
        <sz val="11"/>
        <color rgb="FF000000"/>
        <rFont val="Calibri"/>
        <family val="2"/>
      </rPr>
      <t xml:space="preserve">Vehicle Cn</t>
    </r>
    <r>
      <rPr>
        <b val="true"/>
        <vertAlign val="subscript"/>
        <sz val="11"/>
        <color rgb="FF000000"/>
        <rFont val="Calibri"/>
        <family val="2"/>
      </rPr>
      <t xml:space="preserve">α</t>
    </r>
    <r>
      <rPr>
        <b val="true"/>
        <sz val="11"/>
        <color rgb="FF000000"/>
        <rFont val="Calibri"/>
        <family val="2"/>
      </rPr>
      <t xml:space="preserve">, rad</t>
    </r>
    <r>
      <rPr>
        <b val="true"/>
        <vertAlign val="superscript"/>
        <sz val="11"/>
        <color rgb="FF000000"/>
        <rFont val="Calibri"/>
        <family val="2"/>
      </rPr>
      <t xml:space="preserve">-1</t>
    </r>
  </si>
  <si>
    <t xml:space="preserve">M</t>
  </si>
  <si>
    <t xml:space="preserve">CaseB</t>
  </si>
  <si>
    <t xml:space="preserve">CaseC</t>
  </si>
  <si>
    <r>
      <rPr>
        <sz val="10"/>
        <color rgb="FF000000"/>
        <rFont val="Arial"/>
        <family val="2"/>
      </rPr>
      <t xml:space="preserve">Root Chord, c</t>
    </r>
    <r>
      <rPr>
        <vertAlign val="subscript"/>
        <sz val="10"/>
        <color rgb="FF000000"/>
        <rFont val="Arial"/>
        <family val="2"/>
      </rPr>
      <t xml:space="preserve">R</t>
    </r>
    <r>
      <rPr>
        <sz val="10"/>
        <color rgb="FF000000"/>
        <rFont val="Arial"/>
        <family val="2"/>
      </rPr>
      <t xml:space="preserve">, in</t>
    </r>
  </si>
  <si>
    <r>
      <rPr>
        <sz val="10"/>
        <color rgb="FF000000"/>
        <rFont val="Arial"/>
        <family val="2"/>
      </rPr>
      <t xml:space="preserve">Tip Chord, c</t>
    </r>
    <r>
      <rPr>
        <vertAlign val="subscript"/>
        <sz val="10"/>
        <color rgb="FF000000"/>
        <rFont val="Arial"/>
        <family val="2"/>
      </rPr>
      <t xml:space="preserve">T</t>
    </r>
    <r>
      <rPr>
        <sz val="10"/>
        <color rgb="FF000000"/>
        <rFont val="Arial"/>
        <family val="2"/>
      </rPr>
      <t xml:space="preserve">, in</t>
    </r>
  </si>
  <si>
    <t xml:space="preserve">Leading Edge Sweep, Λ, rad</t>
  </si>
  <si>
    <t xml:space="preserve">Wmultiplier for M w/o LE correction</t>
  </si>
  <si>
    <t xml:space="preserve">M w/ LE correction</t>
  </si>
  <si>
    <t xml:space="preserve">M at LE</t>
  </si>
  <si>
    <t xml:space="preserve">Maximum Wedge Half Angle for Supersonic Wedge Surface Flow, rad        </t>
  </si>
  <si>
    <t xml:space="preserve">Wedge Multipler (5 degree no M limit)</t>
  </si>
  <si>
    <t xml:space="preserve">x</t>
  </si>
  <si>
    <t xml:space="preserve">y</t>
  </si>
  <si>
    <t xml:space="preserve">Valid Subsonic</t>
  </si>
  <si>
    <t xml:space="preserve">Valid Supersonic</t>
  </si>
  <si>
    <t xml:space="preserve">Ref. (1) Fig.4 rad</t>
  </si>
  <si>
    <t xml:space="preserve">NACA1135 eq. 170</t>
  </si>
  <si>
    <t xml:space="preserve">delta</t>
  </si>
  <si>
    <t xml:space="preserve">rad</t>
  </si>
  <si>
    <t xml:space="preserve">Eq. (4) deg</t>
  </si>
  <si>
    <t xml:space="preserve">Eq. (4) rad</t>
  </si>
  <si>
    <t xml:space="preserve">5 degree angle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</si>
</sst>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0.0000000"/>
    <numFmt numFmtId="167" formatCode="[$-409]h:mm"/>
    <numFmt numFmtId="168" formatCode="0.00"/>
    <numFmt numFmtId="169" formatCode="0.000000"/>
    <numFmt numFmtId="170" formatCode="0.00000"/>
    <numFmt numFmtId="171" formatCode="0.000"/>
    <numFmt numFmtId="172" formatCode="0.000000000000000"/>
    <numFmt numFmtId="173" formatCode="0.0000"/>
    <numFmt numFmtId="174" formatCode="0.000000000"/>
    <numFmt numFmtId="175" formatCode="0.00000000"/>
  </numFmts>
  <fonts count="4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1"/>
      <color rgb="FF000000"/>
      <name val="Calibri"/>
      <family val="2"/>
    </font>
    <font>
      <vertAlign val="subscript"/>
      <sz val="11"/>
      <color rgb="FF000000"/>
      <name val="Symbol"/>
      <family val="1"/>
      <charset val="2"/>
    </font>
    <font>
      <u val="single"/>
      <sz val="11"/>
      <color rgb="FF000000"/>
      <name val="Calibri"/>
      <family val="2"/>
    </font>
    <font>
      <b val="true"/>
      <sz val="12"/>
      <color rgb="FF000000"/>
      <name val="Arial"/>
      <family val="2"/>
    </font>
    <font>
      <b val="true"/>
      <sz val="14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11"/>
      <color rgb="FFFFFFFF"/>
      <name val="Calibri"/>
      <family val="2"/>
    </font>
    <font>
      <b val="true"/>
      <sz val="11"/>
      <color rgb="FFFFFFFF"/>
      <name val="Arial"/>
      <family val="2"/>
    </font>
    <font>
      <b val="true"/>
      <vertAlign val="subscript"/>
      <sz val="11"/>
      <color rgb="FF000000"/>
      <name val="Calibri"/>
      <family val="2"/>
    </font>
    <font>
      <b val="true"/>
      <vertAlign val="superscript"/>
      <sz val="11"/>
      <color rgb="FF000000"/>
      <name val="Calibri"/>
      <family val="2"/>
    </font>
    <font>
      <sz val="12"/>
      <color rgb="FF000000"/>
      <name val="Calibri"/>
      <family val="2"/>
    </font>
    <font>
      <b val="true"/>
      <sz val="12"/>
      <color rgb="FF000000"/>
      <name val="Calibri"/>
      <family val="2"/>
    </font>
    <font>
      <b val="true"/>
      <vertAlign val="subscript"/>
      <sz val="11"/>
      <color rgb="FF000000"/>
      <name val="Symbol"/>
      <family val="1"/>
      <charset val="2"/>
    </font>
    <font>
      <b val="true"/>
      <vertAlign val="superscript"/>
      <sz val="11"/>
      <color rgb="FF000000"/>
      <name val="Symbol"/>
      <family val="1"/>
      <charset val="2"/>
    </font>
    <font>
      <b val="true"/>
      <sz val="10"/>
      <name val="Arial"/>
      <family val="2"/>
    </font>
    <font>
      <b val="true"/>
      <sz val="11"/>
      <name val="Calibri"/>
      <family val="2"/>
    </font>
    <font>
      <sz val="10"/>
      <color rgb="FF000000"/>
      <name val="Arial"/>
      <family val="2"/>
    </font>
    <font>
      <b val="true"/>
      <sz val="10"/>
      <color rgb="FF000000"/>
      <name val="Calibri"/>
      <family val="2"/>
    </font>
    <font>
      <b val="true"/>
      <vertAlign val="superscript"/>
      <sz val="10"/>
      <color rgb="FF000000"/>
      <name val="Calibri"/>
      <family val="2"/>
    </font>
    <font>
      <b val="true"/>
      <vertAlign val="subscript"/>
      <sz val="11"/>
      <name val="Arial"/>
      <family val="2"/>
    </font>
    <font>
      <b val="true"/>
      <vertAlign val="subscript"/>
      <sz val="11"/>
      <name val="Symbol"/>
      <family val="1"/>
      <charset val="2"/>
    </font>
    <font>
      <b val="true"/>
      <sz val="11"/>
      <name val="Arial"/>
      <family val="2"/>
    </font>
    <font>
      <b val="true"/>
      <vertAlign val="superscript"/>
      <sz val="11"/>
      <name val="Arial"/>
      <family val="2"/>
    </font>
    <font>
      <b val="true"/>
      <sz val="11"/>
      <color rgb="FF000000"/>
      <name val="Symbol"/>
      <family val="1"/>
      <charset val="2"/>
    </font>
    <font>
      <b val="true"/>
      <vertAlign val="subscript"/>
      <sz val="10"/>
      <name val="Arial"/>
      <family val="2"/>
    </font>
    <font>
      <b val="true"/>
      <vertAlign val="superscript"/>
      <sz val="10"/>
      <name val="Arial"/>
      <family val="2"/>
    </font>
    <font>
      <b val="true"/>
      <vertAlign val="subscript"/>
      <sz val="12"/>
      <color rgb="FF000000"/>
      <name val="Calibri"/>
      <family val="2"/>
    </font>
    <font>
      <b val="true"/>
      <vertAlign val="superscript"/>
      <sz val="12"/>
      <color rgb="FF000000"/>
      <name val="Calibri"/>
      <family val="2"/>
    </font>
    <font>
      <sz val="11"/>
      <color rgb="FFFF0000"/>
      <name val="Calibri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b val="true"/>
      <sz val="9"/>
      <color rgb="FF000000"/>
      <name val="Tahoma"/>
      <family val="0"/>
      <charset val="1"/>
    </font>
    <font>
      <sz val="9"/>
      <color rgb="FF000000"/>
      <name val="Tahoma"/>
      <family val="0"/>
      <charset val="1"/>
    </font>
    <font>
      <sz val="11"/>
      <color rgb="FFFFFFFF"/>
      <name val="Calibri"/>
      <family val="0"/>
    </font>
    <font>
      <b val="true"/>
      <sz val="14"/>
      <color rgb="FF000000"/>
      <name val="Calibri"/>
      <family val="0"/>
    </font>
    <font>
      <b val="true"/>
      <sz val="20"/>
      <color rgb="FF000000"/>
      <name val="Calibri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vertAlign val="subscript"/>
      <sz val="10"/>
      <color rgb="FF000000"/>
      <name val="Arial"/>
      <family val="2"/>
    </font>
    <font>
      <b val="true"/>
      <sz val="1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9999FF"/>
        <bgColor rgb="FFCC99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/>
      <bottom style="thin">
        <color rgb="FFC0C0C0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7" shrinkToFit="false"/>
      <protection locked="true" hidden="false"/>
    </xf>
    <xf numFmtId="173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7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325772305033485"/>
          <c:y val="0.0969859172879628"/>
          <c:w val="0.906286454957874"/>
          <c:h val="0.74759446887147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diamond"/>
            <c:size val="7"/>
            <c:spPr>
              <a:solidFill>
                <a:srgbClr val="6666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SupersonicCalculations!$D$14:$D$60</c:f>
              <c:numCache>
                <c:formatCode>General</c:formatCode>
                <c:ptCount val="4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18</c:v>
                </c:pt>
                <c:pt idx="29">
                  <c:v>24</c:v>
                </c:pt>
                <c:pt idx="30">
                  <c:v>32</c:v>
                </c:pt>
                <c:pt idx="31">
                  <c:v>43</c:v>
                </c:pt>
                <c:pt idx="32">
                  <c:v>45</c:v>
                </c:pt>
                <c:pt idx="33">
                  <c:v>46</c:v>
                </c:pt>
                <c:pt idx="34">
                  <c:v>50</c:v>
                </c:pt>
                <c:pt idx="35">
                  <c:v>55</c:v>
                </c:pt>
              </c:numCache>
            </c:numRef>
          </c:xVal>
          <c:yVal>
            <c:numRef>
              <c:f>SupersonicCalculations!$E$14:$E$60</c:f>
              <c:numCache>
                <c:formatCode>0.0000</c:formatCode>
                <c:ptCount val="47"/>
                <c:pt idx="0">
                  <c:v>0.01</c:v>
                </c:pt>
                <c:pt idx="1">
                  <c:v>0.157512048</c:v>
                </c:pt>
                <c:pt idx="2">
                  <c:v>0.2611451</c:v>
                </c:pt>
                <c:pt idx="3">
                  <c:v>0.348839335</c:v>
                </c:pt>
                <c:pt idx="4">
                  <c:v>0.426461051</c:v>
                </c:pt>
                <c:pt idx="5">
                  <c:v>0.496571099</c:v>
                </c:pt>
                <c:pt idx="6">
                  <c:v>0.56059761</c:v>
                </c:pt>
                <c:pt idx="7">
                  <c:v>0.619446495</c:v>
                </c:pt>
                <c:pt idx="8">
                  <c:v>0.673740633</c:v>
                </c:pt>
                <c:pt idx="9">
                  <c:v>0.723932616</c:v>
                </c:pt>
                <c:pt idx="10">
                  <c:v>0.770364717</c:v>
                </c:pt>
                <c:pt idx="11">
                  <c:v>0.813303669</c:v>
                </c:pt>
                <c:pt idx="12">
                  <c:v>0.852962187</c:v>
                </c:pt>
                <c:pt idx="13">
                  <c:v>0.889512966</c:v>
                </c:pt>
                <c:pt idx="14">
                  <c:v>0.923098184</c:v>
                </c:pt>
                <c:pt idx="15">
                  <c:v>0.953836145</c:v>
                </c:pt>
                <c:pt idx="16">
                  <c:v>0.981826073</c:v>
                </c:pt>
                <c:pt idx="17">
                  <c:v>1.007151631</c:v>
                </c:pt>
                <c:pt idx="18">
                  <c:v>1.029883572</c:v>
                </c:pt>
                <c:pt idx="19">
                  <c:v>1.050081749</c:v>
                </c:pt>
                <c:pt idx="20">
                  <c:v>1.067796667</c:v>
                </c:pt>
                <c:pt idx="21">
                  <c:v>1.083070688</c:v>
                </c:pt>
                <c:pt idx="22">
                  <c:v>1.095938971</c:v>
                </c:pt>
                <c:pt idx="23">
                  <c:v>1.106430206</c:v>
                </c:pt>
                <c:pt idx="24">
                  <c:v>1.114567175</c:v>
                </c:pt>
                <c:pt idx="25">
                  <c:v>1.120367188</c:v>
                </c:pt>
                <c:pt idx="26">
                  <c:v>1.123842394</c:v>
                </c:pt>
                <c:pt idx="27">
                  <c:v>1.125</c:v>
                </c:pt>
                <c:pt idx="28">
                  <c:v>1.125</c:v>
                </c:pt>
                <c:pt idx="29">
                  <c:v>1.125</c:v>
                </c:pt>
                <c:pt idx="30">
                  <c:v>1.125</c:v>
                </c:pt>
                <c:pt idx="31">
                  <c:v>1.125</c:v>
                </c:pt>
                <c:pt idx="32">
                  <c:v>1.125</c:v>
                </c:pt>
                <c:pt idx="33">
                  <c:v>1.125</c:v>
                </c:pt>
                <c:pt idx="34">
                  <c:v>1.125</c:v>
                </c:pt>
                <c:pt idx="35">
                  <c:v>1.125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SupersonicCalculations!$BD$14:$BD$46</c:f>
              <c:numCache>
                <c:formatCode>General</c:formatCode>
                <c:ptCount val="33"/>
              </c:numCache>
            </c:numRef>
          </c:xVal>
          <c:yVal>
            <c:numRef>
              <c:f>SupersonicCalculations!$BE$14:$BE$46</c:f>
              <c:numCache>
                <c:formatCode>General</c:formatCode>
                <c:ptCount val="33"/>
              </c:numCache>
            </c:numRef>
          </c:yVal>
          <c:smooth val="1"/>
        </c:ser>
        <c:axId val="1990667"/>
        <c:axId val="97273121"/>
      </c:scatterChart>
      <c:valAx>
        <c:axId val="1990667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</a:t>
                </a:r>
              </a:p>
            </c:rich>
          </c:tx>
          <c:layout>
            <c:manualLayout>
              <c:xMode val="edge"/>
              <c:yMode val="edge"/>
              <c:x val="0.490257074962195"/>
              <c:y val="0.93544892627286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7273121"/>
        <c:crossesAt val="0"/>
        <c:crossBetween val="midCat"/>
      </c:valAx>
      <c:valAx>
        <c:axId val="97273121"/>
        <c:scaling>
          <c:orientation val="minMax"/>
          <c:max val="15"/>
        </c:scaling>
        <c:delete val="0"/>
        <c:axPos val="l"/>
        <c:majorGridlines>
          <c:spPr>
            <a:ln w="1260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Radius, in</a:t>
                </a:r>
              </a:p>
            </c:rich>
          </c:tx>
          <c:layout>
            <c:manualLayout>
              <c:xMode val="edge"/>
              <c:yMode val="edge"/>
              <c:x val="0.010801468999784"/>
              <c:y val="0.42980946919008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990667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516310218189674"/>
          <c:y val="0.0923978844070605"/>
          <c:w val="0.901144955713977"/>
          <c:h val="0.76989740648696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diamond"/>
            <c:size val="7"/>
            <c:spPr>
              <a:solidFill>
                <a:srgbClr val="6666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SupersonicCalculations!$D$15:$D$60</c:f>
              <c:numCache>
                <c:formatCode>General</c:formatCode>
                <c:ptCount val="4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18</c:v>
                </c:pt>
                <c:pt idx="28">
                  <c:v>24</c:v>
                </c:pt>
                <c:pt idx="29">
                  <c:v>32</c:v>
                </c:pt>
                <c:pt idx="30">
                  <c:v>43</c:v>
                </c:pt>
                <c:pt idx="31">
                  <c:v>45</c:v>
                </c:pt>
                <c:pt idx="32">
                  <c:v>46</c:v>
                </c:pt>
                <c:pt idx="33">
                  <c:v>50</c:v>
                </c:pt>
                <c:pt idx="34">
                  <c:v>55</c:v>
                </c:pt>
              </c:numCache>
            </c:numRef>
          </c:xVal>
          <c:yVal>
            <c:numRef>
              <c:f>SupersonicCalculations!$AI$15:$AI$61</c:f>
              <c:numCache>
                <c:formatCode>0.0000</c:formatCode>
                <c:ptCount val="47"/>
              </c:numCache>
            </c:numRef>
          </c:yVal>
          <c:smooth val="0"/>
        </c:ser>
        <c:axId val="70244338"/>
        <c:axId val="51065816"/>
      </c:scatterChart>
      <c:valAx>
        <c:axId val="70244338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</a:t>
                </a:r>
              </a:p>
            </c:rich>
          </c:tx>
          <c:layout>
            <c:manualLayout>
              <c:xMode val="edge"/>
              <c:yMode val="edge"/>
              <c:x val="0.472153812918557"/>
              <c:y val="0.9090677372076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065816"/>
        <c:crossesAt val="0"/>
        <c:crossBetween val="midCat"/>
      </c:valAx>
      <c:valAx>
        <c:axId val="5106581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Pressure Coefficient</a:t>
                </a:r>
              </a:p>
            </c:rich>
          </c:tx>
          <c:layout>
            <c:manualLayout>
              <c:xMode val="edge"/>
              <c:yMode val="edge"/>
              <c:x val="0.0262259667314755"/>
              <c:y val="0.401835213152361"/>
            </c:manualLayout>
          </c:layout>
          <c:overlay val="0"/>
          <c:spPr>
            <a:noFill/>
            <a:ln w="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0244338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Fig.1: 1st Stage Fin Model</a:t>
            </a:r>
          </a:p>
        </c:rich>
      </c:tx>
      <c:layout>
        <c:manualLayout>
          <c:xMode val="edge"/>
          <c:yMode val="edge"/>
          <c:x val="0.306392792019736"/>
          <c:y val="0.058019872249822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74385927276628"/>
          <c:y val="0.268275372604684"/>
          <c:w val="0.927008473667275"/>
          <c:h val="0.5931511710432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SupersonicCalculations!$N$8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l"/>
              <c:showLegendKey val="0"/>
              <c:showVal val="0"/>
              <c:showCatName val="1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l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SupersonicCalculations!$N$9:$N$10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SupersonicCalculations!$O$8</c:f>
              <c:strCache>
                <c:ptCount val="1"/>
                <c:pt idx="0">
                  <c:v>Tip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SupersonicCalculations!$O$9:$O$10</c:f>
              <c:numCache>
                <c:formatCode>0.0000</c:formatCode>
                <c:ptCount val="2"/>
                <c:pt idx="0">
                  <c:v>1.29099444873581</c:v>
                </c:pt>
                <c:pt idx="1">
                  <c:v>1.29099444873581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SupersonicCalculations!$P$8</c:f>
              <c:strCache>
                <c:ptCount val="1"/>
                <c:pt idx="0">
                  <c:v>Subsonic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SupersonicCalculations!$P$9:$P$10</c:f>
              <c:numCache>
                <c:formatCode>0.0000</c:formatCode>
                <c:ptCount val="2"/>
                <c:pt idx="0">
                  <c:v>1.66666666666667</c:v>
                </c:pt>
                <c:pt idx="1">
                  <c:v>1.66666666666667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SupersonicCalculations!$Q$8</c:f>
              <c:strCache>
                <c:ptCount val="1"/>
                <c:pt idx="0">
                  <c:v>Tip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SupersonicCalculations!$Q$9:$Q$10</c:f>
              <c:numCache>
                <c:formatCode>General</c:formatCode>
                <c:ptCount val="2"/>
                <c:pt idx="0">
                  <c:v>2.84800124843918</c:v>
                </c:pt>
                <c:pt idx="1">
                  <c:v>2.84800124843918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"h1"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rgbClr val="666699"/>
            </a:solidFill>
            <a:ln w="37800">
              <a:solidFill>
                <a:srgbClr val="666699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SupersonicCalculations!$O$9:$P$9</c:f>
              <c:numCache>
                <c:formatCode>0.0000</c:formatCode>
                <c:ptCount val="2"/>
                <c:pt idx="0">
                  <c:v>1.29099444873581</c:v>
                </c:pt>
                <c:pt idx="1">
                  <c:v>1.66666666666667</c:v>
                </c:pt>
              </c:numCache>
            </c:numRef>
          </c:xVal>
          <c:yVal>
            <c:numRef>
              <c:f>SupersonicCalculations!$M$10:$N$10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"h0"</c:f>
              <c:strCache>
                <c:ptCount val="1"/>
                <c:pt idx="0">
                  <c:v>h0</c:v>
                </c:pt>
              </c:strCache>
            </c:strRef>
          </c:tx>
          <c:spPr>
            <a:solidFill>
              <a:srgbClr val="ff0000"/>
            </a:solidFill>
            <a:ln w="3780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SupersonicCalculations!$N$9:$O$9</c:f>
              <c:numCache>
                <c:formatCode>General</c:formatCode>
                <c:ptCount val="2"/>
                <c:pt idx="0">
                  <c:v>1</c:v>
                </c:pt>
                <c:pt idx="1">
                  <c:v>1.29099444873581</c:v>
                </c:pt>
              </c:numCache>
            </c:numRef>
          </c:xVal>
          <c:yVal>
            <c:numRef>
              <c:f>SupersonicCalculations!$M$8:$M$9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"h2"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ff0000"/>
            </a:solidFill>
            <a:ln w="3780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SupersonicCalculations!$P$9:$Q$9</c:f>
              <c:numCache>
                <c:formatCode>0.0000</c:formatCode>
                <c:ptCount val="2"/>
                <c:pt idx="0">
                  <c:v>1.66666666666667</c:v>
                </c:pt>
                <c:pt idx="1">
                  <c:v>2.84800124843918</c:v>
                </c:pt>
              </c:numCache>
            </c:numRef>
          </c:xVal>
          <c:yVal>
            <c:numRef>
              <c:f>SupersonicCalculations!$M$8:$M$9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"h3"</c:f>
              <c:strCache>
                <c:ptCount val="1"/>
                <c:pt idx="0">
                  <c:v>h3</c:v>
                </c:pt>
              </c:strCache>
            </c:strRef>
          </c:tx>
          <c:spPr>
            <a:solidFill>
              <a:srgbClr val="666699"/>
            </a:solidFill>
            <a:ln w="37800">
              <a:solidFill>
                <a:srgbClr val="666699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SupersonicCalculations!$Q$9:$R$9</c:f>
              <c:numCache>
                <c:formatCode>General</c:formatCode>
                <c:ptCount val="2"/>
                <c:pt idx="0">
                  <c:v>2.84800124843918</c:v>
                </c:pt>
                <c:pt idx="1">
                  <c:v>4.84800124843918</c:v>
                </c:pt>
              </c:numCache>
            </c:numRef>
          </c:xVal>
          <c:yVal>
            <c:numRef>
              <c:f>SupersonicCalculations!$M$10:$N$10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"Minf"</c:f>
              <c:strCache>
                <c:ptCount val="1"/>
                <c:pt idx="0">
                  <c:v>Minf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marker>
            <c:symbol val="diamond"/>
            <c:size val="10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SupersonicCalculations!$W$10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SupersonicCalculations!$W$9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SupersonicCalculations!$N$8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SupersonicCalculations!$N$9:$N$10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SupersonicCalculations!$O$8</c:f>
              <c:strCache>
                <c:ptCount val="1"/>
                <c:pt idx="0">
                  <c:v>Tip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SupersonicCalculations!$O$9:$O$10</c:f>
              <c:numCache>
                <c:formatCode>0.0000</c:formatCode>
                <c:ptCount val="2"/>
                <c:pt idx="0">
                  <c:v>1.29099444873581</c:v>
                </c:pt>
                <c:pt idx="1">
                  <c:v>1.29099444873581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SupersonicCalculations!$P$8</c:f>
              <c:strCache>
                <c:ptCount val="1"/>
                <c:pt idx="0">
                  <c:v>Subsonic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SupersonicCalculations!$P$9:$P$10</c:f>
              <c:numCache>
                <c:formatCode>0.0000</c:formatCode>
                <c:ptCount val="2"/>
                <c:pt idx="0">
                  <c:v>1.66666666666667</c:v>
                </c:pt>
                <c:pt idx="1">
                  <c:v>1.66666666666667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SupersonicCalculations!$Q$8</c:f>
              <c:strCache>
                <c:ptCount val="1"/>
                <c:pt idx="0">
                  <c:v>Tip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SupersonicCalculations!$Q$9:$Q$10</c:f>
              <c:numCache>
                <c:formatCode>General</c:formatCode>
                <c:ptCount val="2"/>
                <c:pt idx="0">
                  <c:v>2.84800124843918</c:v>
                </c:pt>
                <c:pt idx="1">
                  <c:v>2.84800124843918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"h1"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SupersonicCalculations!$O$9:$P$9</c:f>
              <c:numCache>
                <c:formatCode>0.0000</c:formatCode>
                <c:ptCount val="2"/>
                <c:pt idx="0">
                  <c:v>1.29099444873581</c:v>
                </c:pt>
                <c:pt idx="1">
                  <c:v>1.66666666666667</c:v>
                </c:pt>
              </c:numCache>
            </c:numRef>
          </c:xVal>
          <c:yVal>
            <c:numRef>
              <c:f>SupersonicCalculations!$M$10:$N$10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"h0"</c:f>
              <c:strCache>
                <c:ptCount val="1"/>
                <c:pt idx="0">
                  <c:v>h0</c:v>
                </c:pt>
              </c:strCache>
            </c:strRef>
          </c:tx>
          <c:spPr>
            <a:solidFill>
              <a:srgbClr val="ff0000"/>
            </a:solidFill>
            <a:ln w="252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SupersonicCalculations!$N$9:$O$9</c:f>
              <c:numCache>
                <c:formatCode>General</c:formatCode>
                <c:ptCount val="2"/>
                <c:pt idx="0">
                  <c:v>1</c:v>
                </c:pt>
                <c:pt idx="1">
                  <c:v>1.29099444873581</c:v>
                </c:pt>
              </c:numCache>
            </c:numRef>
          </c:xVal>
          <c:yVal>
            <c:numRef>
              <c:f>SupersonicCalculations!$M$8:$M$9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"h2"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ff0000"/>
            </a:solidFill>
            <a:ln w="252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SupersonicCalculations!$P$9:$Q$9</c:f>
              <c:numCache>
                <c:formatCode>0.0000</c:formatCode>
                <c:ptCount val="2"/>
                <c:pt idx="0">
                  <c:v>1.66666666666667</c:v>
                </c:pt>
                <c:pt idx="1">
                  <c:v>2.84800124843918</c:v>
                </c:pt>
              </c:numCache>
            </c:numRef>
          </c:xVal>
          <c:yVal>
            <c:numRef>
              <c:f>SupersonicCalculations!$M$8:$M$9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"h3"</c:f>
              <c:strCache>
                <c:ptCount val="1"/>
                <c:pt idx="0">
                  <c:v>h3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SupersonicCalculations!$Q$9:$R$9</c:f>
              <c:numCache>
                <c:formatCode>General</c:formatCode>
                <c:ptCount val="2"/>
                <c:pt idx="0">
                  <c:v>2.84800124843918</c:v>
                </c:pt>
                <c:pt idx="1">
                  <c:v>4.84800124843918</c:v>
                </c:pt>
              </c:numCache>
            </c:numRef>
          </c:xVal>
          <c:yVal>
            <c:numRef>
              <c:f>SupersonicCalculations!$M$10:$N$10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"Minf"</c:f>
              <c:strCache>
                <c:ptCount val="1"/>
                <c:pt idx="0">
                  <c:v>Minf</c:v>
                </c:pt>
              </c:strCache>
            </c:strRef>
          </c:tx>
          <c:spPr>
            <a:solidFill>
              <a:srgbClr val="33cccc"/>
            </a:solidFill>
            <a:ln w="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SupersonicCalculations!$W$10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SupersonicCalculations!$W$9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SupersonicCalculations!$N$8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cc00"/>
            </a:solidFill>
            <a:ln w="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SupersonicCalculations!$N$9:$N$10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19"/>
          <c:order val="19"/>
          <c:tx>
            <c:strRef>
              <c:f>SupersonicCalculations!$O$8</c:f>
              <c:strCache>
                <c:ptCount val="1"/>
                <c:pt idx="0">
                  <c:v>Tip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SupersonicCalculations!$O$9:$O$10</c:f>
              <c:numCache>
                <c:formatCode>0.0000</c:formatCode>
                <c:ptCount val="2"/>
                <c:pt idx="0">
                  <c:v>1.29099444873581</c:v>
                </c:pt>
                <c:pt idx="1">
                  <c:v>1.29099444873581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SupersonicCalculations!$P$8</c:f>
              <c:strCache>
                <c:ptCount val="1"/>
                <c:pt idx="0">
                  <c:v>Subsonic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SupersonicCalculations!$P$9:$P$10</c:f>
              <c:numCache>
                <c:formatCode>0.0000</c:formatCode>
                <c:ptCount val="2"/>
                <c:pt idx="0">
                  <c:v>1.66666666666667</c:v>
                </c:pt>
                <c:pt idx="1">
                  <c:v>1.66666666666667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21"/>
          <c:order val="21"/>
          <c:tx>
            <c:strRef>
              <c:f>SupersonicCalculations!$Q$8</c:f>
              <c:strCache>
                <c:ptCount val="1"/>
                <c:pt idx="0">
                  <c:v>Tip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SupersonicCalculations!$Q$9:$Q$10</c:f>
              <c:numCache>
                <c:formatCode>General</c:formatCode>
                <c:ptCount val="2"/>
                <c:pt idx="0">
                  <c:v>2.84800124843918</c:v>
                </c:pt>
                <c:pt idx="1">
                  <c:v>2.84800124843918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22"/>
          <c:order val="22"/>
          <c:tx>
            <c:strRef>
              <c:f>"h1"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SupersonicCalculations!$O$9:$P$9</c:f>
              <c:numCache>
                <c:formatCode>0.0000</c:formatCode>
                <c:ptCount val="2"/>
                <c:pt idx="0">
                  <c:v>1.29099444873581</c:v>
                </c:pt>
                <c:pt idx="1">
                  <c:v>1.66666666666667</c:v>
                </c:pt>
              </c:numCache>
            </c:numRef>
          </c:xVal>
          <c:yVal>
            <c:numRef>
              <c:f>SupersonicCalculations!$M$10:$N$10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23"/>
          <c:order val="23"/>
          <c:tx>
            <c:strRef>
              <c:f>"h0"</c:f>
              <c:strCache>
                <c:ptCount val="1"/>
                <c:pt idx="0">
                  <c:v>h0</c:v>
                </c:pt>
              </c:strCache>
            </c:strRef>
          </c:tx>
          <c:spPr>
            <a:solidFill>
              <a:srgbClr val="ff0000"/>
            </a:solidFill>
            <a:ln w="252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SupersonicCalculations!$N$9:$O$9</c:f>
              <c:numCache>
                <c:formatCode>General</c:formatCode>
                <c:ptCount val="2"/>
                <c:pt idx="0">
                  <c:v>1</c:v>
                </c:pt>
                <c:pt idx="1">
                  <c:v>1.29099444873581</c:v>
                </c:pt>
              </c:numCache>
            </c:numRef>
          </c:xVal>
          <c:yVal>
            <c:numRef>
              <c:f>SupersonicCalculations!$M$8:$M$9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24"/>
          <c:order val="24"/>
          <c:tx>
            <c:strRef>
              <c:f>"h2"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ff0000"/>
            </a:solidFill>
            <a:ln w="252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SupersonicCalculations!$P$9:$Q$9</c:f>
              <c:numCache>
                <c:formatCode>0.0000</c:formatCode>
                <c:ptCount val="2"/>
                <c:pt idx="0">
                  <c:v>1.66666666666667</c:v>
                </c:pt>
                <c:pt idx="1">
                  <c:v>2.84800124843918</c:v>
                </c:pt>
              </c:numCache>
            </c:numRef>
          </c:xVal>
          <c:yVal>
            <c:numRef>
              <c:f>SupersonicCalculations!$M$8:$M$9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25"/>
          <c:order val="25"/>
          <c:tx>
            <c:strRef>
              <c:f>"h3"</c:f>
              <c:strCache>
                <c:ptCount val="1"/>
                <c:pt idx="0">
                  <c:v>h3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SupersonicCalculations!$Q$9:$R$9</c:f>
              <c:numCache>
                <c:formatCode>General</c:formatCode>
                <c:ptCount val="2"/>
                <c:pt idx="0">
                  <c:v>2.84800124843918</c:v>
                </c:pt>
                <c:pt idx="1">
                  <c:v>4.84800124843918</c:v>
                </c:pt>
              </c:numCache>
            </c:numRef>
          </c:xVal>
          <c:yVal>
            <c:numRef>
              <c:f>SupersonicCalculations!$M$10:$N$10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26"/>
          <c:order val="26"/>
          <c:tx>
            <c:strRef>
              <c:f>"Minf"</c:f>
              <c:strCache>
                <c:ptCount val="1"/>
                <c:pt idx="0">
                  <c:v>Minf</c:v>
                </c:pt>
              </c:strCache>
            </c:strRef>
          </c:tx>
          <c:spPr>
            <a:solidFill>
              <a:srgbClr val="003300"/>
            </a:solidFill>
            <a:ln w="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SupersonicCalculations!$W$10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SupersonicCalculations!$W$9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</c:ser>
        <c:axId val="45049511"/>
        <c:axId val="3883189"/>
      </c:scatterChart>
      <c:valAx>
        <c:axId val="45049511"/>
        <c:scaling>
          <c:orientation val="minMax"/>
          <c:max val="4.84800124843918"/>
          <c:min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Mach Number</a:t>
                </a:r>
              </a:p>
            </c:rich>
          </c:tx>
          <c:layout>
            <c:manualLayout>
              <c:xMode val="edge"/>
              <c:yMode val="edge"/>
              <c:x val="0.451142336157889"/>
              <c:y val="0.83942512420156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83189"/>
        <c:crossesAt val="0"/>
        <c:crossBetween val="midCat"/>
      </c:valAx>
      <c:valAx>
        <c:axId val="3883189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Valid</a:t>
                </a:r>
              </a:p>
            </c:rich>
          </c:tx>
          <c:layout>
            <c:manualLayout>
              <c:xMode val="edge"/>
              <c:yMode val="edge"/>
              <c:x val="0.0134077013836748"/>
              <c:y val="0.43701206529453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5049511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Fig.2: 2nd Stage Fin Model</a:t>
            </a:r>
          </a:p>
        </c:rich>
      </c:tx>
      <c:layout>
        <c:manualLayout>
          <c:xMode val="edge"/>
          <c:yMode val="edge"/>
          <c:x val="0.319109371176902"/>
          <c:y val="0.058131241084165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22143381453389"/>
          <c:y val="0.269793152639087"/>
          <c:w val="0.933153902618057"/>
          <c:h val="0.591119828815977"/>
        </c:manualLayout>
      </c:layout>
      <c:scatterChart>
        <c:scatterStyle val="lineMarker"/>
        <c:varyColors val="0"/>
        <c:ser>
          <c:idx val="0"/>
          <c:order val="0"/>
          <c:tx>
            <c:strRef>
              <c:f>SupersonicCalculations!$N$8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l"/>
              <c:showLegendKey val="0"/>
              <c:showVal val="0"/>
              <c:showCatName val="1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l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SupersonicCalculations!$N$9:$N$10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SupersonicCalculations!$S$8</c:f>
              <c:strCache>
                <c:ptCount val="1"/>
                <c:pt idx="0">
                  <c:v>Tip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SupersonicCalculations!$S$9:$S$10</c:f>
              <c:numCache>
                <c:formatCode>0.0000</c:formatCode>
                <c:ptCount val="2"/>
                <c:pt idx="0">
                  <c:v>1.22474487139159</c:v>
                </c:pt>
                <c:pt idx="1">
                  <c:v>1.22474487139159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SupersonicCalculations!$T$8</c:f>
              <c:strCache>
                <c:ptCount val="1"/>
                <c:pt idx="0">
                  <c:v>Subsonic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SupersonicCalculations!$T$9:$T$10</c:f>
              <c:numCache>
                <c:formatCode>0.0000</c:formatCode>
                <c:ptCount val="2"/>
                <c:pt idx="0">
                  <c:v>1.9436506316151</c:v>
                </c:pt>
                <c:pt idx="1">
                  <c:v>1.9436506316151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SupersonicCalculations!$U$8</c:f>
              <c:strCache>
                <c:ptCount val="1"/>
                <c:pt idx="0">
                  <c:v>Tip LE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SupersonicCalculations!$U$9:$U$10</c:f>
              <c:numCache>
                <c:formatCode>General</c:formatCode>
                <c:ptCount val="2"/>
                <c:pt idx="0">
                  <c:v>2.84800124843918</c:v>
                </c:pt>
                <c:pt idx="1">
                  <c:v>2.84800124843918</c:v>
                </c:pt>
              </c:numCache>
            </c:numRef>
          </c:xVal>
          <c:yVal>
            <c:numRef>
              <c:f>SupersonicCalculations!$M$9:$M$10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"h1"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rgbClr val="666699"/>
            </a:solidFill>
            <a:ln w="37800">
              <a:solidFill>
                <a:srgbClr val="666699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SupersonicCalculations!$S$9:$T$9</c:f>
              <c:numCache>
                <c:formatCode>0.0000</c:formatCode>
                <c:ptCount val="2"/>
                <c:pt idx="0">
                  <c:v>1.22474487139159</c:v>
                </c:pt>
                <c:pt idx="1">
                  <c:v>1.9436506316151</c:v>
                </c:pt>
              </c:numCache>
            </c:numRef>
          </c:xVal>
          <c:yVal>
            <c:numRef>
              <c:f>SupersonicCalculations!$M$10:$N$10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"h0"</c:f>
              <c:strCache>
                <c:ptCount val="1"/>
                <c:pt idx="0">
                  <c:v>h0</c:v>
                </c:pt>
              </c:strCache>
            </c:strRef>
          </c:tx>
          <c:spPr>
            <a:solidFill>
              <a:srgbClr val="ff0000"/>
            </a:solidFill>
            <a:ln w="3780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SupersonicCalculations!$N$9,SupersonicCalculations!$S$9</c:f>
              <c:numCache>
                <c:formatCode>General</c:formatCode>
                <c:ptCount val="2"/>
                <c:pt idx="0">
                  <c:v>1</c:v>
                </c:pt>
                <c:pt idx="1">
                  <c:v>1.22474487139159</c:v>
                </c:pt>
              </c:numCache>
            </c:numRef>
          </c:xVal>
          <c:yVal>
            <c:numRef>
              <c:f>SupersonicCalculations!$M$8:$M$9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"h2"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ff0000"/>
            </a:solidFill>
            <a:ln w="3780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SupersonicCalculations!$T$9:$U$9</c:f>
              <c:numCache>
                <c:formatCode>0.0000</c:formatCode>
                <c:ptCount val="2"/>
                <c:pt idx="0">
                  <c:v>1.9436506316151</c:v>
                </c:pt>
                <c:pt idx="1">
                  <c:v>2.84800124843918</c:v>
                </c:pt>
              </c:numCache>
            </c:numRef>
          </c:xVal>
          <c:yVal>
            <c:numRef>
              <c:f>SupersonicCalculations!$M$8:$M$9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"h3"</c:f>
              <c:strCache>
                <c:ptCount val="1"/>
                <c:pt idx="0">
                  <c:v>h3</c:v>
                </c:pt>
              </c:strCache>
            </c:strRef>
          </c:tx>
          <c:spPr>
            <a:solidFill>
              <a:srgbClr val="666699"/>
            </a:solidFill>
            <a:ln w="37800">
              <a:solidFill>
                <a:srgbClr val="666699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SupersonicCalculations!$U$9:$V$9</c:f>
              <c:numCache>
                <c:formatCode>General</c:formatCode>
                <c:ptCount val="2"/>
                <c:pt idx="0">
                  <c:v>2.84800124843918</c:v>
                </c:pt>
                <c:pt idx="1">
                  <c:v>4.84800124843918</c:v>
                </c:pt>
              </c:numCache>
            </c:numRef>
          </c:xVal>
          <c:yVal>
            <c:numRef>
              <c:f>SupersonicCalculations!$M$10:$N$10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SupersonicCalculations!$W$8</c:f>
              <c:strCache>
                <c:ptCount val="1"/>
                <c:pt idx="0">
                  <c:v>Minf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marker>
            <c:symbol val="diamond"/>
            <c:size val="10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SupersonicCalculations!$W$10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SupersonicCalculations!$W$9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</c:ser>
        <c:axId val="75587946"/>
        <c:axId val="13208850"/>
      </c:scatterChart>
      <c:valAx>
        <c:axId val="75587946"/>
        <c:scaling>
          <c:orientation val="minMax"/>
          <c:max val="4.84800124843918"/>
          <c:min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Mach Number</a:t>
                </a:r>
              </a:p>
            </c:rich>
          </c:tx>
          <c:layout>
            <c:manualLayout>
              <c:xMode val="edge"/>
              <c:yMode val="edge"/>
              <c:x val="0.455395155370688"/>
              <c:y val="0.83880171184022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208850"/>
        <c:crossesAt val="0"/>
        <c:crossBetween val="midCat"/>
      </c:valAx>
      <c:valAx>
        <c:axId val="1320885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Valid</a:t>
                </a:r>
              </a:p>
            </c:rich>
          </c:tx>
          <c:layout>
            <c:manualLayout>
              <c:xMode val="edge"/>
              <c:yMode val="edge"/>
              <c:x val="0.0122339124051872"/>
              <c:y val="0.4388373751783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587946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247139147995"/>
          <c:y val="0.0650662468844287"/>
          <c:w val="0.844985094720646"/>
          <c:h val="0.89898989898989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Sheet1!$A$2:$A$17</c:f>
              <c:numCache>
                <c:formatCode>General</c:formatCode>
                <c:ptCount val="16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2.5</c:v>
                </c:pt>
                <c:pt idx="11">
                  <c:v>3</c:v>
                </c:pt>
                <c:pt idx="12">
                  <c:v>3.5</c:v>
                </c:pt>
                <c:pt idx="13">
                  <c:v>4</c:v>
                </c:pt>
                <c:pt idx="14">
                  <c:v>4.5</c:v>
                </c:pt>
                <c:pt idx="15">
                  <c:v>5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9.49481456829075</c:v>
                </c:pt>
                <c:pt idx="1">
                  <c:v>14.0654297568152</c:v>
                </c:pt>
                <c:pt idx="2">
                  <c:v>17.938517130669</c:v>
                </c:pt>
                <c:pt idx="3">
                  <c:v>21.4166887932557</c:v>
                </c:pt>
                <c:pt idx="4">
                  <c:v>24.5758992602719</c:v>
                </c:pt>
                <c:pt idx="5">
                  <c:v>27.4394543728811</c:v>
                </c:pt>
                <c:pt idx="6">
                  <c:v>30.02028817829</c:v>
                </c:pt>
                <c:pt idx="7">
                  <c:v>32.3330735162859</c:v>
                </c:pt>
                <c:pt idx="8">
                  <c:v>34.3965342219886</c:v>
                </c:pt>
                <c:pt idx="9">
                  <c:v>36.2324656300336</c:v>
                </c:pt>
                <c:pt idx="10">
                  <c:v>42.7818836194476</c:v>
                </c:pt>
                <c:pt idx="11">
                  <c:v>46.5592488078803</c:v>
                </c:pt>
                <c:pt idx="12">
                  <c:v>48.8936668723269</c:v>
                </c:pt>
                <c:pt idx="13">
                  <c:v>50.4294740958583</c:v>
                </c:pt>
                <c:pt idx="14">
                  <c:v>51.4915607969413</c:v>
                </c:pt>
                <c:pt idx="15">
                  <c:v>52.2557811939511</c:v>
                </c:pt>
              </c:numCache>
            </c:numRef>
          </c:yVal>
          <c:smooth val="1"/>
        </c:ser>
        <c:axId val="26540258"/>
        <c:axId val="3491301"/>
      </c:scatterChart>
      <c:valAx>
        <c:axId val="265402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1301"/>
        <c:crossesAt val="0"/>
        <c:crossBetween val="midCat"/>
      </c:valAx>
      <c:valAx>
        <c:axId val="3491301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540258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76478507548803"/>
          <c:y val="0.454676636494818"/>
          <c:w val="0.100057697855563"/>
          <c:h val="0.07870916961826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Calibri"/>
              </a:rPr>
              <a:t>Amplifier &amp;Multiplier Vs Normal </a:t>
            </a: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Mach Number</a:t>
            </a:r>
          </a:p>
        </c:rich>
      </c:tx>
      <c:layout>
        <c:manualLayout>
          <c:xMode val="edge"/>
          <c:yMode val="edge"/>
          <c:x val="0.118215565796211"/>
          <c:y val="0.029512326795033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8484383000512"/>
          <c:y val="0.122278207666007"/>
          <c:w val="0.922747055811572"/>
          <c:h val="0.805560554255894"/>
        </c:manualLayout>
      </c:layout>
      <c:scatterChart>
        <c:scatterStyle val="line"/>
        <c:varyColors val="0"/>
        <c:ser>
          <c:idx val="0"/>
          <c:order val="0"/>
          <c:tx>
            <c:strRef>
              <c:f>Sheet1!$E$27</c:f>
              <c:strCache>
                <c:ptCount val="1"/>
                <c:pt idx="0">
                  <c:v>Wedge Multiplier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Pt>
            <c:idx val="21"/>
            <c:marker>
              <c:symbol val="none"/>
            </c:marker>
          </c:dPt>
          <c:dLbls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Sheet1!$A$28:$A$49</c:f>
              <c:numCache>
                <c:formatCode>General</c:formatCode>
                <c:ptCount val="22"/>
                <c:pt idx="0">
                  <c:v>1.02</c:v>
                </c:pt>
                <c:pt idx="1">
                  <c:v>1.05</c:v>
                </c:pt>
                <c:pt idx="2">
                  <c:v>1.1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</c:numCache>
            </c:numRef>
          </c:xVal>
          <c:yVal>
            <c:numRef>
              <c:f>Sheet1!$E$28:$E$49</c:f>
              <c:numCache>
                <c:formatCode>General</c:formatCode>
                <c:ptCount val="22"/>
              </c:numCache>
            </c:numRef>
          </c:yVal>
          <c:smooth val="1"/>
        </c:ser>
        <c:ser>
          <c:idx val="1"/>
          <c:order val="1"/>
          <c:tx>
            <c:strRef>
              <c:f>Sheet1!$M$27</c:f>
              <c:strCache>
                <c:ptCount val="1"/>
                <c:pt idx="0">
                  <c:v>Wedge Multipler (5 degree no M limit)</c:v>
                </c:pt>
              </c:strCache>
            </c:strRef>
          </c:tx>
          <c:spPr>
            <a:solidFill>
              <a:srgbClr val="99cc00"/>
            </a:solidFill>
            <a:ln w="25200">
              <a:solidFill>
                <a:srgbClr val="99cc00"/>
              </a:solidFill>
              <a:round/>
            </a:ln>
          </c:spPr>
          <c:marker>
            <c:symbol val="none"/>
          </c:marker>
          <c:dPt>
            <c:idx val="16"/>
            <c:marker>
              <c:symbol val="none"/>
            </c:marker>
          </c:dPt>
          <c:dLbls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eparator>;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Sheet1!$K$28:$K$44</c:f>
              <c:numCache>
                <c:formatCode>0.0000</c:formatCode>
                <c:ptCount val="17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2">
                  <c:v>1</c:v>
                </c:pt>
              </c:numCache>
            </c:numRef>
          </c:xVal>
          <c:yVal>
            <c:numRef>
              <c:f>Sheet1!$M$28:$M$47</c:f>
              <c:numCache>
                <c:formatCode>0.0000</c:formatCode>
                <c:ptCount val="20"/>
                <c:pt idx="0">
                  <c:v>5.06196453065181</c:v>
                </c:pt>
                <c:pt idx="1">
                  <c:v>1.88414368588564</c:v>
                </c:pt>
                <c:pt idx="2">
                  <c:v>1.4495514947499</c:v>
                </c:pt>
                <c:pt idx="3">
                  <c:v>1.31814577920658</c:v>
                </c:pt>
                <c:pt idx="4">
                  <c:v>1.26578043956178</c:v>
                </c:pt>
                <c:pt idx="5">
                  <c:v>1.2432218400668</c:v>
                </c:pt>
                <c:pt idx="6">
                  <c:v>1.23451195026025</c:v>
                </c:pt>
                <c:pt idx="7">
                  <c:v>1.2331660349303</c:v>
                </c:pt>
                <c:pt idx="8">
                  <c:v>1.23612646904123</c:v>
                </c:pt>
                <c:pt idx="9">
                  <c:v>1.24179133866788</c:v>
                </c:pt>
                <c:pt idx="12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Sheet1!$F$27</c:f>
              <c:strCache>
                <c:ptCount val="1"/>
                <c:pt idx="0">
                  <c:v>Fin Wave Drag for Wedge, CDw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Sheet1!$A$28:$A$49</c:f>
              <c:numCache>
                <c:formatCode>General</c:formatCode>
                <c:ptCount val="22"/>
                <c:pt idx="0">
                  <c:v>1.02</c:v>
                </c:pt>
                <c:pt idx="1">
                  <c:v>1.05</c:v>
                </c:pt>
                <c:pt idx="2">
                  <c:v>1.1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</c:numCache>
            </c:numRef>
          </c:xVal>
          <c:yVal>
            <c:numRef>
              <c:f>Sheet1!$F$28:$F$49</c:f>
              <c:numCache>
                <c:formatCode>General</c:formatCode>
                <c:ptCount val="22"/>
              </c:numCache>
            </c:numRef>
          </c:yVal>
          <c:smooth val="1"/>
        </c:ser>
        <c:axId val="18495458"/>
        <c:axId val="52102404"/>
      </c:scatterChart>
      <c:valAx>
        <c:axId val="18495458"/>
        <c:scaling>
          <c:orientation val="minMax"/>
          <c:max val="3"/>
          <c:min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 normal to LE</a:t>
                </a:r>
              </a:p>
            </c:rich>
          </c:tx>
          <c:layout>
            <c:manualLayout>
              <c:xMode val="edge"/>
              <c:yMode val="edge"/>
              <c:x val="0.46831797235023"/>
              <c:y val="0.90543458700737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102404"/>
        <c:crossesAt val="0"/>
        <c:crossBetween val="midCat"/>
      </c:valAx>
      <c:valAx>
        <c:axId val="52102404"/>
        <c:scaling>
          <c:orientation val="minMax"/>
          <c:max val="3"/>
          <c:min val="0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Multiplier</a:t>
                </a:r>
              </a:p>
            </c:rich>
          </c:tx>
          <c:layout>
            <c:manualLayout>
              <c:xMode val="edge"/>
              <c:yMode val="edge"/>
              <c:x val="0.0266257040450589"/>
              <c:y val="0.42810869174014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95458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637480798771121"/>
          <c:y val="0.14063343530682"/>
          <c:w val="0.316116231438812"/>
          <c:h val="0.282526543098794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Fig.1: 1st Stage Fin Model</a:t>
            </a:r>
          </a:p>
        </c:rich>
      </c:tx>
      <c:layout>
        <c:manualLayout>
          <c:xMode val="edge"/>
          <c:yMode val="edge"/>
          <c:x val="0.277880925857161"/>
          <c:y val="0.054427430093209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63448446589924"/>
          <c:y val="0.255825565912117"/>
          <c:w val="0.915026612204481"/>
          <c:h val="0.61384820239680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Sheet1!$C$75,Sheet1!$C$78</c:f>
              <c:numCache>
                <c:formatCode>0.0000</c:formatCode>
                <c:ptCount val="2"/>
                <c:pt idx="0">
                  <c:v>1.29099444873581</c:v>
                </c:pt>
                <c:pt idx="1">
                  <c:v>1.29099444873581</c:v>
                </c:pt>
              </c:numCache>
            </c:numRef>
          </c:xVal>
          <c:yVal>
            <c:numRef>
              <c:f>Sheet1!$C$76,Sheet1!$C$79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Sheet1!$D$75,Sheet1!$D$78</c:f>
              <c:numCache>
                <c:formatCode>0.0000</c:formatCode>
                <c:ptCount val="2"/>
              </c:numCache>
            </c:numRef>
          </c:xVal>
          <c:yVal>
            <c:numRef>
              <c:f>Sheet1!$D$76,Sheet1!$D$79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Sheet1!$E$75,Sheet1!$E$78</c:f>
              <c:numCache>
                <c:formatCode>0.0000</c:formatCode>
                <c:ptCount val="2"/>
                <c:pt idx="0">
                  <c:v>2.23606797749979</c:v>
                </c:pt>
                <c:pt idx="1">
                  <c:v>2.23606797749979</c:v>
                </c:pt>
              </c:numCache>
            </c:numRef>
          </c:xVal>
          <c:yVal>
            <c:numRef>
              <c:f>Sheet1!$E$76,Sheet1!$E$79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0000"/>
            </a:solidFill>
            <a:ln w="3780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Sheet1!$B$75:$C$75</c:f>
              <c:numCache>
                <c:formatCode>General</c:formatCode>
                <c:ptCount val="2"/>
                <c:pt idx="0">
                  <c:v>1</c:v>
                </c:pt>
                <c:pt idx="1">
                  <c:v>1.29099444873581</c:v>
                </c:pt>
              </c:numCache>
            </c:numRef>
          </c:xVal>
          <c:yVal>
            <c:numRef>
              <c:f>Sheet1!$B$76:$C$76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666699"/>
            </a:solidFill>
            <a:ln w="37800">
              <a:solidFill>
                <a:srgbClr val="666699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Sheet1!$C$78:$D$78</c:f>
              <c:numCache>
                <c:formatCode>0.0000</c:formatCode>
                <c:ptCount val="2"/>
                <c:pt idx="0">
                  <c:v>1.29099444873581</c:v>
                </c:pt>
              </c:numCache>
            </c:numRef>
          </c:xVal>
          <c:yVal>
            <c:numRef>
              <c:f>Sheet1!$C$79:$D$79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ff0000"/>
            </a:solidFill>
            <a:ln w="3780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Sheet1!$D$75:$E$75</c:f>
              <c:numCache>
                <c:formatCode>0.0000</c:formatCode>
                <c:ptCount val="2"/>
                <c:pt idx="1">
                  <c:v>2.23606797749979</c:v>
                </c:pt>
              </c:numCache>
            </c:numRef>
          </c:xVal>
          <c:yVal>
            <c:numRef>
              <c:f>Sheet1!$D$76:$E$76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666699"/>
            </a:solidFill>
            <a:ln w="37800">
              <a:solidFill>
                <a:srgbClr val="666699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Sheet1!$E$78:$F$78</c:f>
              <c:numCache>
                <c:formatCode>0.0000</c:formatCode>
                <c:ptCount val="2"/>
                <c:pt idx="0">
                  <c:v>2.23606797749979</c:v>
                </c:pt>
                <c:pt idx="1">
                  <c:v>4</c:v>
                </c:pt>
              </c:numCache>
            </c:numRef>
          </c:xVal>
          <c:yVal>
            <c:numRef>
              <c:f>Sheet1!$E$79:$F$79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axId val="76685311"/>
        <c:axId val="26708532"/>
      </c:scatterChart>
      <c:valAx>
        <c:axId val="76685311"/>
        <c:scaling>
          <c:orientation val="minMax"/>
          <c:max val="4"/>
          <c:min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Mach Number</a:t>
                </a:r>
              </a:p>
            </c:rich>
          </c:tx>
          <c:layout>
            <c:manualLayout>
              <c:xMode val="edge"/>
              <c:yMode val="edge"/>
              <c:x val="0.429322936006932"/>
              <c:y val="0.827896138482024"/>
            </c:manualLayout>
          </c:layout>
          <c:overlay val="0"/>
          <c:spPr>
            <a:noFill/>
            <a:ln w="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708532"/>
        <c:crossesAt val="0"/>
        <c:crossBetween val="midCat"/>
      </c:valAx>
      <c:valAx>
        <c:axId val="26708532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Valid</a:t>
                </a:r>
              </a:p>
            </c:rich>
          </c:tx>
          <c:layout>
            <c:manualLayout>
              <c:xMode val="edge"/>
              <c:yMode val="edge"/>
              <c:x val="0.0154722119074143"/>
              <c:y val="0.4367509986684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6685311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Amplifier &amp; CDw - Free Stream</a:t>
            </a:r>
          </a:p>
        </c:rich>
      </c:tx>
      <c:layout>
        <c:manualLayout>
          <c:xMode val="edge"/>
          <c:yMode val="edge"/>
          <c:x val="0.2480260102183"/>
          <c:y val="0.033232016210739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20645610775662"/>
          <c:y val="0.137082066869301"/>
          <c:w val="0.878425452856479"/>
          <c:h val="0.78196555217831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Sheet1!$H$26</c:f>
              <c:strCache>
                <c:ptCount val="1"/>
                <c:pt idx="0">
                  <c:v>M w/ LE correction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Sheet1!$A$28:$A$49</c:f>
              <c:numCache>
                <c:formatCode>General</c:formatCode>
                <c:ptCount val="22"/>
                <c:pt idx="0">
                  <c:v>1.02</c:v>
                </c:pt>
                <c:pt idx="1">
                  <c:v>1.05</c:v>
                </c:pt>
                <c:pt idx="2">
                  <c:v>1.1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</c:numCache>
            </c:numRef>
          </c:xVal>
          <c:yVal>
            <c:numRef>
              <c:f>Sheet1!$H$28:$H$49</c:f>
              <c:numCache>
                <c:formatCode>General</c:formatCode>
                <c:ptCount val="22"/>
              </c:numCache>
            </c:numRef>
          </c:yVal>
          <c:smooth val="1"/>
        </c:ser>
        <c:ser>
          <c:idx val="1"/>
          <c:order val="1"/>
          <c:tx>
            <c:strRef>
              <c:f>Sheet1!$M$27</c:f>
              <c:strCache>
                <c:ptCount val="1"/>
                <c:pt idx="0">
                  <c:v>Wedge Multipler (5 degree no M limit)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993366"/>
              </a:solidFill>
              <a:custDash>
                <a:ds d="3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3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Sheet1!$L$28:$L$37</c:f>
              <c:numCache>
                <c:formatCode>General</c:formatCode>
                <c:ptCount val="10"/>
              </c:numCache>
            </c:numRef>
          </c:xVal>
          <c:yVal>
            <c:numRef>
              <c:f>Sheet1!$M$28:$M$37</c:f>
              <c:numCache>
                <c:formatCode>0.0000</c:formatCode>
                <c:ptCount val="10"/>
                <c:pt idx="0">
                  <c:v>5.06196453065181</c:v>
                </c:pt>
                <c:pt idx="1">
                  <c:v>1.88414368588564</c:v>
                </c:pt>
                <c:pt idx="2">
                  <c:v>1.4495514947499</c:v>
                </c:pt>
                <c:pt idx="3">
                  <c:v>1.31814577920658</c:v>
                </c:pt>
                <c:pt idx="4">
                  <c:v>1.26578043956178</c:v>
                </c:pt>
                <c:pt idx="5">
                  <c:v>1.2432218400668</c:v>
                </c:pt>
                <c:pt idx="6">
                  <c:v>1.23451195026025</c:v>
                </c:pt>
                <c:pt idx="7">
                  <c:v>1.2331660349303</c:v>
                </c:pt>
                <c:pt idx="8">
                  <c:v>1.23612646904123</c:v>
                </c:pt>
                <c:pt idx="9">
                  <c:v>1.24179133866788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Sheet1!$C$74</c:f>
              <c:strCache>
                <c:ptCount val="1"/>
                <c:pt idx="0">
                  <c:v>Valid Subsonic</c:v>
                </c:pt>
              </c:strCache>
            </c:strRef>
          </c:tx>
          <c:spPr>
            <a:solidFill>
              <a:srgbClr val="99cc00"/>
            </a:solidFill>
            <a:ln w="37800">
              <a:solidFill>
                <a:srgbClr val="99cc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Sheet1!$C$75:$D$75</c:f>
              <c:numCache>
                <c:formatCode>0.0000</c:formatCode>
                <c:ptCount val="2"/>
                <c:pt idx="0">
                  <c:v>1.29099444873581</c:v>
                </c:pt>
              </c:numCache>
            </c:numRef>
          </c:xVal>
          <c:yVal>
            <c:numRef>
              <c:f>Sheet1!$C$76:$D$76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Sheet1!$E$74</c:f>
              <c:strCache>
                <c:ptCount val="1"/>
                <c:pt idx="0">
                  <c:v>Valid Supersonic</c:v>
                </c:pt>
              </c:strCache>
            </c:strRef>
          </c:tx>
          <c:spPr>
            <a:solidFill>
              <a:srgbClr val="339966"/>
            </a:solidFill>
            <a:ln w="37800">
              <a:solidFill>
                <a:srgbClr val="3399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Sheet1!$E$75:$F$75</c:f>
              <c:numCache>
                <c:formatCode>0.0000</c:formatCode>
                <c:ptCount val="2"/>
                <c:pt idx="0">
                  <c:v>2.23606797749979</c:v>
                </c:pt>
                <c:pt idx="1">
                  <c:v>4</c:v>
                </c:pt>
              </c:numCache>
            </c:numRef>
          </c:xVal>
          <c:yVal>
            <c:numRef>
              <c:f>Sheet1!$E$76:$F$76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"M = 1"</c:f>
              <c:strCache>
                <c:ptCount val="1"/>
                <c:pt idx="0">
                  <c:v>M = 1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Sheet1!$L$40</c:f>
              <c:numCache>
                <c:formatCode>General</c:formatCode>
                <c:ptCount val="1"/>
              </c:numCache>
            </c:numRef>
          </c:xVal>
          <c:yVal>
            <c:numRef>
              <c:f>Sheet1!$M$40</c:f>
              <c:numCache>
                <c:formatCode>0.0000</c:formatCode>
                <c:ptCount val="1"/>
                <c:pt idx="0">
                  <c:v>0</c:v>
                </c:pt>
              </c:numCache>
            </c:numRef>
          </c:yVal>
          <c:smooth val="1"/>
        </c:ser>
        <c:axId val="94133515"/>
        <c:axId val="64472427"/>
      </c:scatterChart>
      <c:scatterChart>
        <c:scatterStyle val="lineMarker"/>
        <c:varyColors val="0"/>
        <c:ser>
          <c:idx val="5"/>
          <c:order val="5"/>
          <c:tx>
            <c:strRef>
              <c:f>Sheet1!$I$27</c:f>
              <c:strCache>
                <c:ptCount val="1"/>
                <c:pt idx="0">
                  <c:v>Fin Wave Drag for Wedge, CDw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Sheet1!$A$36:$A$49</c:f>
              <c:numCache>
                <c:formatCode>General</c:formatCode>
                <c:ptCount val="14"/>
                <c:pt idx="0">
                  <c:v>1.7</c:v>
                </c:pt>
                <c:pt idx="1">
                  <c:v>1.8</c:v>
                </c:pt>
                <c:pt idx="2">
                  <c:v>1.9</c:v>
                </c:pt>
                <c:pt idx="3">
                  <c:v>2</c:v>
                </c:pt>
                <c:pt idx="4">
                  <c:v>2.2</c:v>
                </c:pt>
                <c:pt idx="5">
                  <c:v>2.4</c:v>
                </c:pt>
                <c:pt idx="6">
                  <c:v>2.6</c:v>
                </c:pt>
                <c:pt idx="7">
                  <c:v>2.8</c:v>
                </c:pt>
                <c:pt idx="8">
                  <c:v>3</c:v>
                </c:pt>
                <c:pt idx="9">
                  <c:v>3.2</c:v>
                </c:pt>
                <c:pt idx="10">
                  <c:v>3.4</c:v>
                </c:pt>
                <c:pt idx="11">
                  <c:v>3.6</c:v>
                </c:pt>
                <c:pt idx="12">
                  <c:v>3.8</c:v>
                </c:pt>
                <c:pt idx="13">
                  <c:v>4</c:v>
                </c:pt>
              </c:numCache>
            </c:numRef>
          </c:xVal>
          <c:yVal>
            <c:numRef>
              <c:f>Sheet1!$I$36:$I$49</c:f>
              <c:numCache>
                <c:formatCode>General</c:formatCode>
                <c:ptCount val="14"/>
              </c:numCache>
            </c:numRef>
          </c:yVal>
          <c:smooth val="1"/>
        </c:ser>
        <c:axId val="42540201"/>
        <c:axId val="10182173"/>
      </c:scatterChart>
      <c:valAx>
        <c:axId val="94133515"/>
        <c:scaling>
          <c:orientation val="minMax"/>
          <c:max val="4"/>
          <c:min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Free Stream Mach Number</a:t>
                </a:r>
              </a:p>
            </c:rich>
          </c:tx>
          <c:layout>
            <c:manualLayout>
              <c:xMode val="edge"/>
              <c:yMode val="edge"/>
              <c:x val="0.371400371574547"/>
              <c:y val="0.8937183383991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472427"/>
        <c:crossesAt val="0"/>
        <c:crossBetween val="midCat"/>
      </c:valAx>
      <c:valAx>
        <c:axId val="64472427"/>
        <c:scaling>
          <c:orientation val="minMax"/>
          <c:max val="4"/>
          <c:min val="0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Multiplier</a:t>
                </a:r>
              </a:p>
            </c:rich>
          </c:tx>
          <c:layout>
            <c:manualLayout>
              <c:xMode val="edge"/>
              <c:yMode val="edge"/>
              <c:x val="0.02421040408732"/>
              <c:y val="0.42006079027355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133515"/>
        <c:crossesAt val="0"/>
        <c:crossBetween val="midCat"/>
      </c:valAx>
      <c:valAx>
        <c:axId val="4254020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182173"/>
        <c:crossBetween val="midCat"/>
      </c:valAx>
      <c:valAx>
        <c:axId val="10182173"/>
        <c:scaling>
          <c:orientation val="minMax"/>
          <c:max val="5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CDw</a:t>
                </a:r>
              </a:p>
            </c:rich>
          </c:tx>
          <c:layout>
            <c:manualLayout>
              <c:xMode val="edge"/>
              <c:yMode val="edge"/>
              <c:x val="0.926265675801208"/>
              <c:y val="0.46139817629179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540201"/>
        <c:crosses val="max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481537389688806"/>
          <c:y val="0.158459979736575"/>
          <c:w val="0.354331165815142"/>
          <c:h val="0.350253292806484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Amplifier &amp; CDw - Free Stream</a:t>
            </a:r>
          </a:p>
        </c:rich>
      </c:tx>
      <c:layout>
        <c:manualLayout>
          <c:xMode val="edge"/>
          <c:yMode val="edge"/>
          <c:x val="0.374129674784806"/>
          <c:y val="0.01778236989504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886336261347278"/>
          <c:y val="0.14247648050465"/>
          <c:w val="0.663562384323864"/>
          <c:h val="0.8096144434172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Sheet1!$H$26</c:f>
              <c:strCache>
                <c:ptCount val="1"/>
                <c:pt idx="0">
                  <c:v>M w/ LE correction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Sheet1!$A$28:$A$49</c:f>
              <c:numCache>
                <c:formatCode>General</c:formatCode>
                <c:ptCount val="22"/>
                <c:pt idx="0">
                  <c:v>1.02</c:v>
                </c:pt>
                <c:pt idx="1">
                  <c:v>1.05</c:v>
                </c:pt>
                <c:pt idx="2">
                  <c:v>1.1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</c:numCache>
            </c:numRef>
          </c:xVal>
          <c:yVal>
            <c:numRef>
              <c:f>Sheet1!$H$28:$H$49</c:f>
              <c:numCache>
                <c:formatCode>General</c:formatCode>
                <c:ptCount val="22"/>
              </c:numCache>
            </c:numRef>
          </c:yVal>
          <c:smooth val="1"/>
        </c:ser>
        <c:ser>
          <c:idx val="1"/>
          <c:order val="1"/>
          <c:tx>
            <c:strRef>
              <c:f>Sheet1!$M$27</c:f>
              <c:strCache>
                <c:ptCount val="1"/>
                <c:pt idx="0">
                  <c:v>Wedge Multipler (5 degree no M limit)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993366"/>
              </a:solidFill>
              <a:custDash>
                <a:ds d="3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3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Sheet1!$L$28:$L$37</c:f>
              <c:numCache>
                <c:formatCode>General</c:formatCode>
                <c:ptCount val="10"/>
              </c:numCache>
            </c:numRef>
          </c:xVal>
          <c:yVal>
            <c:numRef>
              <c:f>Sheet1!$M$28:$M$37</c:f>
              <c:numCache>
                <c:formatCode>0.0000</c:formatCode>
                <c:ptCount val="10"/>
                <c:pt idx="0">
                  <c:v>5.06196453065181</c:v>
                </c:pt>
                <c:pt idx="1">
                  <c:v>1.88414368588564</c:v>
                </c:pt>
                <c:pt idx="2">
                  <c:v>1.4495514947499</c:v>
                </c:pt>
                <c:pt idx="3">
                  <c:v>1.31814577920658</c:v>
                </c:pt>
                <c:pt idx="4">
                  <c:v>1.26578043956178</c:v>
                </c:pt>
                <c:pt idx="5">
                  <c:v>1.2432218400668</c:v>
                </c:pt>
                <c:pt idx="6">
                  <c:v>1.23451195026025</c:v>
                </c:pt>
                <c:pt idx="7">
                  <c:v>1.2331660349303</c:v>
                </c:pt>
                <c:pt idx="8">
                  <c:v>1.23612646904123</c:v>
                </c:pt>
                <c:pt idx="9">
                  <c:v>1.24179133866788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Sheet1!$C$74</c:f>
              <c:strCache>
                <c:ptCount val="1"/>
                <c:pt idx="0">
                  <c:v>Valid Subsonic</c:v>
                </c:pt>
              </c:strCache>
            </c:strRef>
          </c:tx>
          <c:spPr>
            <a:solidFill>
              <a:srgbClr val="339966"/>
            </a:solidFill>
            <a:ln w="37800">
              <a:solidFill>
                <a:srgbClr val="3399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Sheet1!$C$75:$D$75</c:f>
              <c:numCache>
                <c:formatCode>0.0000</c:formatCode>
                <c:ptCount val="2"/>
                <c:pt idx="0">
                  <c:v>1.29099444873581</c:v>
                </c:pt>
              </c:numCache>
            </c:numRef>
          </c:xVal>
          <c:yVal>
            <c:numRef>
              <c:f>Sheet1!$C$76:$D$76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Sheet1!$E$74</c:f>
              <c:strCache>
                <c:ptCount val="1"/>
                <c:pt idx="0">
                  <c:v>Valid Supersonic</c:v>
                </c:pt>
              </c:strCache>
            </c:strRef>
          </c:tx>
          <c:spPr>
            <a:solidFill>
              <a:srgbClr val="339966"/>
            </a:solidFill>
            <a:ln w="37800">
              <a:solidFill>
                <a:srgbClr val="3399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Sheet1!$E$75:$F$75</c:f>
              <c:numCache>
                <c:formatCode>0.0000</c:formatCode>
                <c:ptCount val="2"/>
                <c:pt idx="0">
                  <c:v>2.23606797749979</c:v>
                </c:pt>
                <c:pt idx="1">
                  <c:v>4</c:v>
                </c:pt>
              </c:numCache>
            </c:numRef>
          </c:xVal>
          <c:yVal>
            <c:numRef>
              <c:f>Sheet1!$E$76:$F$76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"M = 1"</c:f>
              <c:strCache>
                <c:ptCount val="1"/>
                <c:pt idx="0">
                  <c:v>M = 1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Sheet1!$L$40</c:f>
              <c:numCache>
                <c:formatCode>General</c:formatCode>
                <c:ptCount val="1"/>
              </c:numCache>
            </c:numRef>
          </c:xVal>
          <c:yVal>
            <c:numRef>
              <c:f>Sheet1!$M$40</c:f>
              <c:numCache>
                <c:formatCode>0.0000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Sheet1!$P$22</c:f>
              <c:strCache>
                <c:ptCount val="1"/>
                <c:pt idx="0">
                  <c:v>CaseB</c:v>
                </c:pt>
              </c:strCache>
            </c:strRef>
          </c:tx>
          <c:spPr>
            <a:solidFill>
              <a:srgbClr val="9999ff"/>
            </a:solidFill>
            <a:ln w="25200">
              <a:solidFill>
                <a:srgbClr val="9999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Sheet1!$A$28:$A$49</c:f>
              <c:numCache>
                <c:formatCode>General</c:formatCode>
                <c:ptCount val="22"/>
                <c:pt idx="0">
                  <c:v>1.02</c:v>
                </c:pt>
                <c:pt idx="1">
                  <c:v>1.05</c:v>
                </c:pt>
                <c:pt idx="2">
                  <c:v>1.1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</c:numCache>
            </c:numRef>
          </c:xVal>
          <c:yVal>
            <c:numRef>
              <c:f>Sheet1!$P$28:$P$49</c:f>
              <c:numCache>
                <c:formatCode>General</c:formatCode>
                <c:ptCount val="22"/>
              </c:numCache>
            </c:numRef>
          </c:yVal>
          <c:smooth val="1"/>
        </c:ser>
        <c:ser>
          <c:idx val="6"/>
          <c:order val="6"/>
          <c:tx>
            <c:strRef>
              <c:f>Sheet1!$S$22</c:f>
              <c:strCache>
                <c:ptCount val="1"/>
                <c:pt idx="0">
                  <c:v>CaseC</c:v>
                </c:pt>
              </c:strCache>
            </c:strRef>
          </c:tx>
          <c:spPr>
            <a:solidFill>
              <a:srgbClr val="ff8080"/>
            </a:solidFill>
            <a:ln w="25200">
              <a:solidFill>
                <a:srgbClr val="ff8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Sheet1!$A$28:$A$49</c:f>
              <c:numCache>
                <c:formatCode>General</c:formatCode>
                <c:ptCount val="22"/>
                <c:pt idx="0">
                  <c:v>1.02</c:v>
                </c:pt>
                <c:pt idx="1">
                  <c:v>1.05</c:v>
                </c:pt>
                <c:pt idx="2">
                  <c:v>1.1</c:v>
                </c:pt>
                <c:pt idx="3">
                  <c:v>1.2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3.6</c:v>
                </c:pt>
                <c:pt idx="20">
                  <c:v>3.8</c:v>
                </c:pt>
                <c:pt idx="21">
                  <c:v>4</c:v>
                </c:pt>
              </c:numCache>
            </c:numRef>
          </c:xVal>
          <c:yVal>
            <c:numRef>
              <c:f>Sheet1!$T$28:$T$49</c:f>
              <c:numCache>
                <c:formatCode>General</c:formatCode>
                <c:ptCount val="22"/>
              </c:numCache>
            </c:numRef>
          </c:yVal>
          <c:smooth val="1"/>
        </c:ser>
        <c:axId val="99577200"/>
        <c:axId val="8742288"/>
      </c:scatterChart>
      <c:scatterChart>
        <c:scatterStyle val="lineMarker"/>
        <c:varyColors val="0"/>
        <c:ser>
          <c:idx val="7"/>
          <c:order val="7"/>
          <c:tx>
            <c:strRef>
              <c:f>Sheet1!$I$27</c:f>
              <c:strCache>
                <c:ptCount val="1"/>
                <c:pt idx="0">
                  <c:v>Fin Wave Drag for Wedge, CDw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Sheet1!$A$36:$A$49</c:f>
              <c:numCache>
                <c:formatCode>General</c:formatCode>
                <c:ptCount val="14"/>
                <c:pt idx="0">
                  <c:v>1.7</c:v>
                </c:pt>
                <c:pt idx="1">
                  <c:v>1.8</c:v>
                </c:pt>
                <c:pt idx="2">
                  <c:v>1.9</c:v>
                </c:pt>
                <c:pt idx="3">
                  <c:v>2</c:v>
                </c:pt>
                <c:pt idx="4">
                  <c:v>2.2</c:v>
                </c:pt>
                <c:pt idx="5">
                  <c:v>2.4</c:v>
                </c:pt>
                <c:pt idx="6">
                  <c:v>2.6</c:v>
                </c:pt>
                <c:pt idx="7">
                  <c:v>2.8</c:v>
                </c:pt>
                <c:pt idx="8">
                  <c:v>3</c:v>
                </c:pt>
                <c:pt idx="9">
                  <c:v>3.2</c:v>
                </c:pt>
                <c:pt idx="10">
                  <c:v>3.4</c:v>
                </c:pt>
                <c:pt idx="11">
                  <c:v>3.6</c:v>
                </c:pt>
                <c:pt idx="12">
                  <c:v>3.8</c:v>
                </c:pt>
                <c:pt idx="13">
                  <c:v>4</c:v>
                </c:pt>
              </c:numCache>
            </c:numRef>
          </c:xVal>
          <c:yVal>
            <c:numRef>
              <c:f>Sheet1!$I$36:$I$49</c:f>
              <c:numCache>
                <c:formatCode>General</c:formatCode>
                <c:ptCount val="14"/>
              </c:numCache>
            </c:numRef>
          </c:yVal>
          <c:smooth val="1"/>
        </c:ser>
        <c:axId val="39865251"/>
        <c:axId val="19299872"/>
      </c:scatterChart>
      <c:valAx>
        <c:axId val="99577200"/>
        <c:scaling>
          <c:orientation val="minMax"/>
          <c:max val="4"/>
          <c:min val="1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Free Stream Mach Number</a:t>
                </a:r>
              </a:p>
            </c:rich>
          </c:tx>
          <c:layout>
            <c:manualLayout>
              <c:xMode val="edge"/>
              <c:yMode val="edge"/>
              <c:x val="0.356679103381415"/>
              <c:y val="0.9382239382239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42288"/>
        <c:crossesAt val="0"/>
        <c:crossBetween val="midCat"/>
      </c:valAx>
      <c:valAx>
        <c:axId val="8742288"/>
        <c:scaling>
          <c:orientation val="minMax"/>
          <c:max val="4"/>
          <c:min val="0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Multiplier</a:t>
                </a:r>
              </a:p>
            </c:rich>
          </c:tx>
          <c:layout>
            <c:manualLayout>
              <c:xMode val="edge"/>
              <c:yMode val="edge"/>
              <c:x val="0.0706542495372955"/>
              <c:y val="0.4888792212735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77200"/>
        <c:crossesAt val="0"/>
        <c:crossBetween val="midCat"/>
      </c:valAx>
      <c:valAx>
        <c:axId val="3986525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299872"/>
        <c:crossBetween val="midCat"/>
      </c:valAx>
      <c:valAx>
        <c:axId val="19299872"/>
        <c:scaling>
          <c:orientation val="minMax"/>
          <c:max val="5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CDw</a:t>
                </a:r>
              </a:p>
            </c:rich>
          </c:tx>
          <c:layout>
            <c:manualLayout>
              <c:xMode val="edge"/>
              <c:yMode val="edge"/>
              <c:x val="0.74582097006375"/>
              <c:y val="0.5105769753657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865251"/>
        <c:crosses val="max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694585622374335"/>
          <c:y val="0.12545543531459"/>
          <c:w val="0.288110696553953"/>
          <c:h val="0.408613845233564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564120</xdr:colOff>
      <xdr:row>35</xdr:row>
      <xdr:rowOff>139320</xdr:rowOff>
    </xdr:to>
    <xdr:graphicFrame>
      <xdr:nvGraphicFramePr>
        <xdr:cNvPr id="1" name=" 0"/>
        <xdr:cNvGraphicFramePr/>
      </xdr:nvGraphicFramePr>
      <xdr:xfrm>
        <a:off x="360360" y="179640"/>
        <a:ext cx="8331840" cy="564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564120</xdr:colOff>
      <xdr:row>35</xdr:row>
      <xdr:rowOff>139320</xdr:rowOff>
    </xdr:to>
    <xdr:graphicFrame>
      <xdr:nvGraphicFramePr>
        <xdr:cNvPr id="2" name=" 0"/>
        <xdr:cNvGraphicFramePr/>
      </xdr:nvGraphicFramePr>
      <xdr:xfrm>
        <a:off x="360360" y="179640"/>
        <a:ext cx="8331840" cy="564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40680</xdr:colOff>
      <xdr:row>67</xdr:row>
      <xdr:rowOff>123480</xdr:rowOff>
    </xdr:from>
    <xdr:to>
      <xdr:col>16</xdr:col>
      <xdr:colOff>987480</xdr:colOff>
      <xdr:row>78</xdr:row>
      <xdr:rowOff>66960</xdr:rowOff>
    </xdr:to>
    <xdr:grpSp>
      <xdr:nvGrpSpPr>
        <xdr:cNvPr id="3" name="Group 14"/>
        <xdr:cNvGrpSpPr/>
      </xdr:nvGrpSpPr>
      <xdr:grpSpPr>
        <a:xfrm>
          <a:off x="12639240" y="17201880"/>
          <a:ext cx="6279480" cy="2448360"/>
          <a:chOff x="12639240" y="17201880"/>
          <a:chExt cx="6279480" cy="2448360"/>
        </a:xfrm>
      </xdr:grpSpPr>
      <xdr:sp>
        <xdr:nvSpPr>
          <xdr:cNvPr id="4" name="Rectangle 4"/>
          <xdr:cNvSpPr/>
        </xdr:nvSpPr>
        <xdr:spPr>
          <a:xfrm>
            <a:off x="12639240" y="17201880"/>
            <a:ext cx="6279480" cy="2448360"/>
          </a:xfrm>
          <a:prstGeom prst="rect">
            <a:avLst/>
          </a:prstGeom>
          <a:solidFill>
            <a:srgbClr val="ffffff"/>
          </a:solidFill>
          <a:ln w="25560">
            <a:solidFill>
              <a:srgbClr val="385d8a"/>
            </a:solidFill>
            <a:miter/>
          </a:ln>
        </xdr:spPr>
        <xdr:style>
          <a:lnRef idx="0"/>
          <a:fillRef idx="0"/>
          <a:effectRef idx="0"/>
          <a:fontRef idx="minor"/>
        </xdr:style>
        <xdr:txBody>
          <a:bodyPr lIns="90000" rIns="90000" tIns="46800" bIns="46800" anchor="ctr">
            <a:noAutofit/>
          </a:bodyPr>
          <a:p>
            <a:pPr algn="ctr"/>
            <a:r>
              <a:rPr lang="en-US" sz="1100" b="0" u="none" strike="noStrike">
                <a:solidFill>
                  <a:srgbClr val="ffffff"/>
                </a:solidFill>
                <a:effectLst/>
                <a:uFillTx/>
                <a:latin typeface="Calibri"/>
              </a:rPr>
              <a:t>fpr</a:t>
            </a:r>
            <a:endParaRPr lang="en-US" sz="1100" b="0" u="none" strike="noStrike">
              <a:effectLst/>
              <a:uFillTx/>
              <a:latin typeface="Times New Roman"/>
            </a:endParaRPr>
          </a:p>
        </xdr:txBody>
      </xdr:sp>
      <xdr:grpSp>
        <xdr:nvGrpSpPr>
          <xdr:cNvPr id="5" name="Group 10"/>
          <xdr:cNvGrpSpPr/>
        </xdr:nvGrpSpPr>
        <xdr:grpSpPr>
          <a:xfrm>
            <a:off x="13123800" y="18048600"/>
            <a:ext cx="5452920" cy="995400"/>
            <a:chOff x="13123800" y="18048600"/>
            <a:chExt cx="5452920" cy="995400"/>
          </a:xfrm>
        </xdr:grpSpPr>
        <xdr:grpSp>
          <xdr:nvGrpSpPr>
            <xdr:cNvPr id="6" name="Group 6"/>
            <xdr:cNvGrpSpPr/>
          </xdr:nvGrpSpPr>
          <xdr:grpSpPr>
            <a:xfrm>
              <a:off x="13123800" y="18380520"/>
              <a:ext cx="5013360" cy="287280"/>
              <a:chOff x="13123800" y="18380520"/>
              <a:chExt cx="5013360" cy="287280"/>
            </a:xfrm>
          </xdr:grpSpPr>
          <xdr:sp>
            <xdr:nvSpPr>
              <xdr:cNvPr id="7" name="Flowchart: Decision 4"/>
              <xdr:cNvSpPr/>
            </xdr:nvSpPr>
            <xdr:spPr>
              <a:xfrm>
                <a:off x="13123800" y="18380520"/>
                <a:ext cx="2234880" cy="277920"/>
              </a:xfrm>
              <a:prstGeom prst="flowChartDecision">
                <a:avLst/>
              </a:prstGeom>
              <a:solidFill>
                <a:srgbClr val="4f81bd"/>
              </a:solidFill>
              <a:ln w="0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8" name="Rectangle 5"/>
              <xdr:cNvSpPr/>
            </xdr:nvSpPr>
            <xdr:spPr>
              <a:xfrm>
                <a:off x="14251320" y="18380520"/>
                <a:ext cx="3885840" cy="287280"/>
              </a:xfrm>
              <a:prstGeom prst="rect">
                <a:avLst/>
              </a:prstGeom>
              <a:solidFill>
                <a:srgbClr val="4f81bd"/>
              </a:solidFill>
              <a:ln w="0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9" name="Pentagon 8"/>
            <xdr:cNvSpPr/>
          </xdr:nvSpPr>
          <xdr:spPr>
            <a:xfrm flipH="1">
              <a:off x="18002880" y="18048600"/>
              <a:ext cx="573480" cy="995400"/>
            </a:xfrm>
            <a:custGeom>
              <a:avLst/>
              <a:gdLst>
                <a:gd name="textAreaLeft" fmla="*/ 0 w 573480"/>
                <a:gd name="textAreaRight" fmla="*/ 573480 w 573480"/>
                <a:gd name="textAreaTop" fmla="*/ 0 h 995400"/>
                <a:gd name="textAreaBottom" fmla="*/ 995760 h 995400"/>
              </a:gdLst>
              <a:ahLst/>
              <a:cxnLst/>
              <a:rect l="textAreaLeft" t="textAreaTop" r="textAreaRight" b="textAreaBottom"/>
              <a:pathLst>
                <a:path w="21600" h="21600">
                  <a:moveTo>
                    <a:pt x="0" y="0"/>
                  </a:moveTo>
                  <a:lnTo>
                    <a:pt x="10800" y="0"/>
                  </a:lnTo>
                  <a:lnTo>
                    <a:pt x="21600" y="10800"/>
                  </a:lnTo>
                  <a:lnTo>
                    <a:pt x="10800" y="21600"/>
                  </a:lnTo>
                  <a:lnTo>
                    <a:pt x="0" y="21600"/>
                  </a:lnTo>
                  <a:close/>
                </a:path>
              </a:pathLst>
            </a:custGeom>
            <a:solidFill>
              <a:srgbClr val="4f81bd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0" name="Pentagon 12"/>
            <xdr:cNvSpPr/>
          </xdr:nvSpPr>
          <xdr:spPr>
            <a:xfrm flipH="1">
              <a:off x="16180920" y="18048600"/>
              <a:ext cx="563400" cy="995400"/>
            </a:xfrm>
            <a:custGeom>
              <a:avLst/>
              <a:gdLst>
                <a:gd name="textAreaLeft" fmla="*/ -360 w 563400"/>
                <a:gd name="textAreaRight" fmla="*/ 563400 w 563400"/>
                <a:gd name="textAreaTop" fmla="*/ 0 h 995400"/>
                <a:gd name="textAreaBottom" fmla="*/ 995760 h 995400"/>
              </a:gdLst>
              <a:ahLst/>
              <a:cxnLst/>
              <a:rect l="textAreaLeft" t="textAreaTop" r="textAreaRight" b="textAreaBottom"/>
              <a:pathLst>
                <a:path w="21600" h="21600">
                  <a:moveTo>
                    <a:pt x="0" y="0"/>
                  </a:moveTo>
                  <a:lnTo>
                    <a:pt x="10800" y="0"/>
                  </a:lnTo>
                  <a:lnTo>
                    <a:pt x="21600" y="10800"/>
                  </a:lnTo>
                  <a:lnTo>
                    <a:pt x="10800" y="21600"/>
                  </a:lnTo>
                  <a:lnTo>
                    <a:pt x="0" y="21600"/>
                  </a:lnTo>
                  <a:close/>
                </a:path>
              </a:pathLst>
            </a:custGeom>
            <a:solidFill>
              <a:srgbClr val="4f81bd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11" name="Group 14"/>
          <xdr:cNvGrpSpPr/>
        </xdr:nvGrpSpPr>
        <xdr:grpSpPr>
          <a:xfrm>
            <a:off x="15895440" y="19129320"/>
            <a:ext cx="2752560" cy="271800"/>
            <a:chOff x="15895440" y="19129320"/>
            <a:chExt cx="2752560" cy="271800"/>
          </a:xfrm>
        </xdr:grpSpPr>
        <xdr:sp>
          <xdr:nvSpPr>
            <xdr:cNvPr id="12" name="TextBox 8"/>
            <xdr:cNvSpPr/>
          </xdr:nvSpPr>
          <xdr:spPr>
            <a:xfrm>
              <a:off x="15895440" y="19129320"/>
              <a:ext cx="905400" cy="2718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90000" rIns="90000" tIns="46800" bIns="46800" anchor="t">
              <a:spAutoFit/>
            </a:bodyPr>
            <a:p>
              <a:r>
                <a:rPr lang="en-US" sz="1400" b="1" u="none" strike="noStrike">
                  <a:solidFill>
                    <a:srgbClr val="000000"/>
                  </a:solidFill>
                  <a:effectLst/>
                  <a:uFillTx/>
                  <a:latin typeface="Calibri"/>
                </a:rPr>
                <a:t>2nd Stage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13" name="TextBox 9"/>
            <xdr:cNvSpPr/>
          </xdr:nvSpPr>
          <xdr:spPr>
            <a:xfrm>
              <a:off x="17802720" y="19129320"/>
              <a:ext cx="845280" cy="2718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90000" rIns="90000" tIns="46800" bIns="46800" anchor="t">
              <a:spAutoFit/>
            </a:bodyPr>
            <a:p>
              <a:r>
                <a:rPr lang="en-US" sz="1400" b="1" u="none" strike="noStrike">
                  <a:solidFill>
                    <a:srgbClr val="000000"/>
                  </a:solidFill>
                  <a:effectLst/>
                  <a:uFillTx/>
                  <a:latin typeface="Calibri"/>
                </a:rPr>
                <a:t>1st Stage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</xdr:grpSp>
      <xdr:sp>
        <xdr:nvSpPr>
          <xdr:cNvPr id="14" name="TextBox 7"/>
          <xdr:cNvSpPr/>
        </xdr:nvSpPr>
        <xdr:spPr>
          <a:xfrm>
            <a:off x="13887000" y="17373240"/>
            <a:ext cx="3783960" cy="4856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wrap="none" lIns="90000" rIns="90000" tIns="46800" bIns="46800" anchor="t">
            <a:noAutofit/>
          </a:bodyPr>
          <a:p>
            <a:r>
              <a:rPr lang="en-US" sz="2000" b="1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Fig.3: 2 Stage Rocket Nomenclature</a:t>
            </a:r>
            <a:endParaRPr lang="en-US" sz="2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10</xdr:col>
      <xdr:colOff>583560</xdr:colOff>
      <xdr:row>5</xdr:row>
      <xdr:rowOff>66600</xdr:rowOff>
    </xdr:from>
    <xdr:to>
      <xdr:col>16</xdr:col>
      <xdr:colOff>1077840</xdr:colOff>
      <xdr:row>10</xdr:row>
      <xdr:rowOff>28080</xdr:rowOff>
    </xdr:to>
    <xdr:graphicFrame>
      <xdr:nvGraphicFramePr>
        <xdr:cNvPr id="15" name="1st Stage Fin Model Chart"/>
        <xdr:cNvGraphicFramePr/>
      </xdr:nvGraphicFramePr>
      <xdr:xfrm>
        <a:off x="12296880" y="1542960"/>
        <a:ext cx="6712200" cy="202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1136520</xdr:colOff>
      <xdr:row>5</xdr:row>
      <xdr:rowOff>76680</xdr:rowOff>
    </xdr:from>
    <xdr:to>
      <xdr:col>23</xdr:col>
      <xdr:colOff>232200</xdr:colOff>
      <xdr:row>10</xdr:row>
      <xdr:rowOff>28080</xdr:rowOff>
    </xdr:to>
    <xdr:graphicFrame>
      <xdr:nvGraphicFramePr>
        <xdr:cNvPr id="16" name="2nd Stage Fin Model Chart"/>
        <xdr:cNvGraphicFramePr/>
      </xdr:nvGraphicFramePr>
      <xdr:xfrm>
        <a:off x="19067760" y="1553040"/>
        <a:ext cx="7356240" cy="201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412200</xdr:colOff>
      <xdr:row>0</xdr:row>
      <xdr:rowOff>37800</xdr:rowOff>
    </xdr:from>
    <xdr:to>
      <xdr:col>10</xdr:col>
      <xdr:colOff>101520</xdr:colOff>
      <xdr:row>14</xdr:row>
      <xdr:rowOff>114840</xdr:rowOff>
    </xdr:to>
    <xdr:graphicFrame>
      <xdr:nvGraphicFramePr>
        <xdr:cNvPr id="17" name="Chart 1"/>
        <xdr:cNvGraphicFramePr/>
      </xdr:nvGraphicFramePr>
      <xdr:xfrm>
        <a:off x="2021400" y="37800"/>
        <a:ext cx="7486920" cy="274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120960</xdr:colOff>
      <xdr:row>50</xdr:row>
      <xdr:rowOff>19080</xdr:rowOff>
    </xdr:from>
    <xdr:to>
      <xdr:col>6</xdr:col>
      <xdr:colOff>61200</xdr:colOff>
      <xdr:row>71</xdr:row>
      <xdr:rowOff>19440</xdr:rowOff>
    </xdr:to>
    <xdr:graphicFrame>
      <xdr:nvGraphicFramePr>
        <xdr:cNvPr id="18" name="Chart 2"/>
        <xdr:cNvGraphicFramePr/>
      </xdr:nvGraphicFramePr>
      <xdr:xfrm>
        <a:off x="120960" y="11296800"/>
        <a:ext cx="5624280" cy="400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493560</xdr:colOff>
      <xdr:row>72</xdr:row>
      <xdr:rowOff>142920</xdr:rowOff>
    </xdr:from>
    <xdr:to>
      <xdr:col>12</xdr:col>
      <xdr:colOff>312480</xdr:colOff>
      <xdr:row>84</xdr:row>
      <xdr:rowOff>19440</xdr:rowOff>
    </xdr:to>
    <xdr:graphicFrame>
      <xdr:nvGraphicFramePr>
        <xdr:cNvPr id="19" name="char01"/>
        <xdr:cNvGraphicFramePr/>
      </xdr:nvGraphicFramePr>
      <xdr:xfrm>
        <a:off x="6177600" y="15611400"/>
        <a:ext cx="5816520" cy="216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381960</xdr:colOff>
      <xdr:row>49</xdr:row>
      <xdr:rowOff>142560</xdr:rowOff>
    </xdr:from>
    <xdr:to>
      <xdr:col>12</xdr:col>
      <xdr:colOff>584640</xdr:colOff>
      <xdr:row>68</xdr:row>
      <xdr:rowOff>75960</xdr:rowOff>
    </xdr:to>
    <xdr:graphicFrame>
      <xdr:nvGraphicFramePr>
        <xdr:cNvPr id="20" name="Chart 6"/>
        <xdr:cNvGraphicFramePr/>
      </xdr:nvGraphicFramePr>
      <xdr:xfrm>
        <a:off x="6066000" y="11229840"/>
        <a:ext cx="6200280" cy="355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845280</xdr:colOff>
      <xdr:row>50</xdr:row>
      <xdr:rowOff>66960</xdr:rowOff>
    </xdr:from>
    <xdr:to>
      <xdr:col>31</xdr:col>
      <xdr:colOff>375480</xdr:colOff>
      <xdr:row>85</xdr:row>
      <xdr:rowOff>19080</xdr:rowOff>
    </xdr:to>
    <xdr:graphicFrame>
      <xdr:nvGraphicFramePr>
        <xdr:cNvPr id="21" name="Chart 8"/>
        <xdr:cNvGraphicFramePr/>
      </xdr:nvGraphicFramePr>
      <xdr:xfrm>
        <a:off x="12526920" y="11344680"/>
        <a:ext cx="12253680" cy="66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R9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16.99"/>
    <col collapsed="false" customWidth="true" hidden="false" outlineLevel="0" max="2" min="2" style="0" width="11.85"/>
    <col collapsed="false" customWidth="true" hidden="false" outlineLevel="0" max="3" min="3" style="0" width="12.14"/>
    <col collapsed="false" customWidth="true" hidden="false" outlineLevel="0" max="4" min="4" style="0" width="13.85"/>
    <col collapsed="false" customWidth="true" hidden="false" outlineLevel="0" max="5" min="5" style="0" width="12.85"/>
    <col collapsed="false" customWidth="true" hidden="false" outlineLevel="0" max="6" min="6" style="0" width="12.42"/>
    <col collapsed="false" customWidth="true" hidden="false" outlineLevel="0" max="7" min="7" style="0" width="11.7"/>
    <col collapsed="false" customWidth="true" hidden="false" outlineLevel="0" max="8" min="8" style="0" width="12.85"/>
    <col collapsed="false" customWidth="true" hidden="false" outlineLevel="0" max="9" min="9" style="0" width="12.14"/>
    <col collapsed="false" customWidth="true" hidden="false" outlineLevel="0" max="10" min="10" style="0" width="14.14"/>
    <col collapsed="false" customWidth="true" hidden="false" outlineLevel="0" max="11" min="11" style="0" width="15.7"/>
    <col collapsed="false" customWidth="true" hidden="false" outlineLevel="0" max="12" min="12" style="0" width="13.7"/>
    <col collapsed="false" customWidth="true" hidden="false" outlineLevel="0" max="13" min="13" style="0" width="11.99"/>
    <col collapsed="false" customWidth="true" hidden="false" outlineLevel="0" max="14" min="14" style="0" width="13.28"/>
    <col collapsed="false" customWidth="true" hidden="false" outlineLevel="0" max="15" min="15" style="0" width="11.99"/>
    <col collapsed="false" customWidth="true" hidden="false" outlineLevel="0" max="16" min="16" style="0" width="16.13"/>
  </cols>
  <sheetData>
    <row r="3" customFormat="false" ht="15" hidden="false" customHeight="false" outlineLevel="0" collapsed="false">
      <c r="A3" s="0" t="s">
        <v>0</v>
      </c>
    </row>
    <row r="4" customFormat="false" ht="15" hidden="false" customHeight="false" outlineLevel="0" collapsed="false">
      <c r="A4" s="0" t="s">
        <v>1</v>
      </c>
      <c r="B4" s="0" t="n">
        <v>0</v>
      </c>
      <c r="C4" s="0" t="n">
        <v>2.5</v>
      </c>
      <c r="D4" s="0" t="n">
        <v>5</v>
      </c>
      <c r="E4" s="0" t="n">
        <v>7.5</v>
      </c>
      <c r="F4" s="0" t="n">
        <v>10</v>
      </c>
      <c r="G4" s="0" t="n">
        <v>12.5</v>
      </c>
      <c r="H4" s="0" t="n">
        <v>15</v>
      </c>
      <c r="I4" s="0" t="n">
        <v>17.5</v>
      </c>
      <c r="J4" s="0" t="n">
        <v>20</v>
      </c>
      <c r="K4" s="0" t="n">
        <v>22.5</v>
      </c>
      <c r="L4" s="0" t="n">
        <v>25</v>
      </c>
      <c r="M4" s="0" t="n">
        <v>27.5</v>
      </c>
      <c r="N4" s="0" t="n">
        <v>30</v>
      </c>
    </row>
    <row r="5" customFormat="false" ht="15" hidden="false" customHeight="false" outlineLevel="0" collapsed="false">
      <c r="A5" s="0" t="n">
        <v>1.1</v>
      </c>
      <c r="B5" s="0" t="n">
        <v>1.1</v>
      </c>
      <c r="C5" s="0" t="n">
        <v>1.0854</v>
      </c>
      <c r="D5" s="0" t="n">
        <v>1.0656</v>
      </c>
      <c r="E5" s="0" t="n">
        <v>1.0309</v>
      </c>
      <c r="F5" s="0" t="n">
        <v>0.9811</v>
      </c>
      <c r="G5" s="0" t="n">
        <v>0.9164</v>
      </c>
      <c r="H5" s="1"/>
      <c r="I5" s="1"/>
      <c r="J5" s="1"/>
      <c r="K5" s="1"/>
      <c r="L5" s="1"/>
      <c r="M5" s="1"/>
      <c r="N5" s="1"/>
    </row>
    <row r="6" customFormat="false" ht="15" hidden="false" customHeight="false" outlineLevel="0" collapsed="false">
      <c r="A6" s="0" t="n">
        <v>1.25</v>
      </c>
      <c r="B6" s="0" t="n">
        <v>1.25</v>
      </c>
      <c r="C6" s="0" t="n">
        <v>1.2248</v>
      </c>
      <c r="D6" s="0" t="n">
        <v>1.1997</v>
      </c>
      <c r="E6" s="0" t="n">
        <v>1.161</v>
      </c>
      <c r="F6" s="0" t="n">
        <v>1.1136</v>
      </c>
      <c r="G6" s="0" t="n">
        <v>1.0769</v>
      </c>
      <c r="H6" s="0" t="n">
        <v>1.0287</v>
      </c>
      <c r="I6" s="0" t="n">
        <v>0.9771</v>
      </c>
      <c r="J6" s="0" t="n">
        <v>0.9266</v>
      </c>
      <c r="K6" s="1" t="n">
        <v>0.8639</v>
      </c>
      <c r="L6" s="1" t="n">
        <v>0.7974</v>
      </c>
      <c r="M6" s="1"/>
      <c r="N6" s="1"/>
    </row>
    <row r="7" customFormat="false" ht="15" hidden="false" customHeight="false" outlineLevel="0" collapsed="false">
      <c r="A7" s="0" t="n">
        <v>1.5</v>
      </c>
      <c r="B7" s="0" t="n">
        <v>1.5</v>
      </c>
      <c r="C7" s="0" t="n">
        <v>1.4866884</v>
      </c>
      <c r="D7" s="0" t="n">
        <v>1.4579318</v>
      </c>
      <c r="E7" s="0" t="n">
        <v>1.4197316</v>
      </c>
      <c r="F7" s="0" t="n">
        <v>1.3748579</v>
      </c>
      <c r="G7" s="0" t="n">
        <v>1.3248992</v>
      </c>
      <c r="H7" s="0" t="n">
        <v>1.2707392</v>
      </c>
      <c r="I7" s="0" t="n">
        <v>1.2127162</v>
      </c>
      <c r="J7" s="0" t="n">
        <v>1.1506488</v>
      </c>
      <c r="K7" s="0" t="n">
        <v>1.0837313</v>
      </c>
      <c r="L7" s="0" t="n">
        <v>1.0100703</v>
      </c>
      <c r="M7" s="1"/>
      <c r="N7" s="1"/>
    </row>
    <row r="8" customFormat="false" ht="15" hidden="false" customHeight="false" outlineLevel="0" collapsed="false">
      <c r="A8" s="0" t="n">
        <v>1.75</v>
      </c>
      <c r="B8" s="0" t="n">
        <v>1.75</v>
      </c>
      <c r="C8" s="0" t="n">
        <v>1.7340335</v>
      </c>
      <c r="D8" s="0" t="n">
        <v>1.7004643</v>
      </c>
      <c r="E8" s="0" t="n">
        <v>1.6568045</v>
      </c>
      <c r="F8" s="0" t="n">
        <v>1.6064462</v>
      </c>
      <c r="G8" s="0" t="n">
        <v>1.5513276</v>
      </c>
      <c r="H8" s="0" t="n">
        <v>1.4925484</v>
      </c>
      <c r="I8" s="0" t="n">
        <v>1.4306418</v>
      </c>
      <c r="J8" s="0" t="n">
        <v>1.3657361</v>
      </c>
      <c r="K8" s="0" t="n">
        <v>1.2976505</v>
      </c>
      <c r="L8" s="0" t="n">
        <v>1.2259024</v>
      </c>
      <c r="M8" s="0" t="n">
        <v>1.1495789</v>
      </c>
      <c r="N8" s="0" t="n">
        <v>1.0669388</v>
      </c>
    </row>
    <row r="9" customFormat="false" ht="15" hidden="false" customHeight="false" outlineLevel="0" collapsed="false">
      <c r="A9" s="0" t="n">
        <v>2</v>
      </c>
      <c r="B9" s="0" t="n">
        <v>2</v>
      </c>
      <c r="C9" s="0" t="n">
        <v>1.9808615</v>
      </c>
      <c r="D9" s="0" t="n">
        <v>1.9415254</v>
      </c>
      <c r="E9" s="0" t="n">
        <v>1.8912335</v>
      </c>
      <c r="F9" s="0" t="n">
        <v>1.8340453</v>
      </c>
      <c r="G9" s="0" t="n">
        <v>1.7721933</v>
      </c>
      <c r="H9" s="0" t="n">
        <v>1.7068837</v>
      </c>
      <c r="I9" s="0" t="n">
        <v>1.6386764</v>
      </c>
      <c r="J9" s="0" t="n">
        <v>1.5688572</v>
      </c>
      <c r="K9" s="0" t="n">
        <v>1.4940884</v>
      </c>
      <c r="L9" s="0" t="n">
        <v>1.417468</v>
      </c>
      <c r="M9" s="0" t="n">
        <v>1.3375202</v>
      </c>
      <c r="N9" s="0" t="n">
        <v>1.2535953</v>
      </c>
    </row>
    <row r="10" customFormat="false" ht="15" hidden="false" customHeight="false" outlineLevel="0" collapsed="false">
      <c r="A10" s="0" t="n">
        <v>2.5</v>
      </c>
      <c r="B10" s="0" t="n">
        <v>2.5</v>
      </c>
      <c r="C10" s="0" t="n">
        <v>2.4729472</v>
      </c>
      <c r="D10" s="0" t="n">
        <v>2.4193976</v>
      </c>
      <c r="E10" s="0" t="n">
        <v>2.3528628</v>
      </c>
      <c r="F10" s="0" t="n">
        <v>2.2788768</v>
      </c>
      <c r="G10" s="0" t="n">
        <v>2.2001554</v>
      </c>
      <c r="H10" s="0" t="n">
        <v>2.1179422</v>
      </c>
      <c r="I10" s="0" t="n">
        <v>2.0327606</v>
      </c>
      <c r="J10" s="0" t="n">
        <v>1.9448503</v>
      </c>
      <c r="K10" s="0" t="n">
        <v>1.8543543</v>
      </c>
      <c r="L10" s="0" t="n">
        <v>1.7613748</v>
      </c>
      <c r="M10" s="0" t="n">
        <v>1.6659616</v>
      </c>
      <c r="N10" s="0" t="n">
        <v>1.5680718</v>
      </c>
    </row>
    <row r="11" customFormat="false" ht="15" hidden="false" customHeight="false" outlineLevel="0" collapsed="false">
      <c r="A11" s="0" t="n">
        <v>3</v>
      </c>
      <c r="B11" s="0" t="n">
        <v>3</v>
      </c>
      <c r="C11" s="0" t="n">
        <v>2.96276</v>
      </c>
      <c r="D11" s="0" t="n">
        <v>2.8913832</v>
      </c>
      <c r="E11" s="0" t="n">
        <v>2.8048038</v>
      </c>
      <c r="F11" s="0" t="n">
        <v>2.70101402</v>
      </c>
      <c r="G11" s="0" t="n">
        <v>2.6103929</v>
      </c>
      <c r="H11" s="0" t="n">
        <v>2.5067511</v>
      </c>
      <c r="I11" s="0" t="n">
        <v>2.3997895</v>
      </c>
      <c r="J11" s="0" t="n">
        <v>2.2899646</v>
      </c>
      <c r="K11" s="0" t="n">
        <v>2.1777409</v>
      </c>
      <c r="L11" s="0" t="n">
        <v>2.063583</v>
      </c>
      <c r="M11" s="0" t="n">
        <v>1.9479054</v>
      </c>
      <c r="N11" s="0" t="n">
        <v>1.8310067</v>
      </c>
    </row>
    <row r="12" customFormat="false" ht="15" hidden="false" customHeight="false" outlineLevel="0" collapsed="false">
      <c r="A12" s="0" t="n">
        <v>3.5</v>
      </c>
      <c r="B12" s="0" t="n">
        <v>3.5</v>
      </c>
      <c r="C12" s="0" t="n">
        <v>3.4500939</v>
      </c>
      <c r="D12" s="0" t="n">
        <v>3.3571597</v>
      </c>
      <c r="E12" s="0" t="n">
        <v>3.2467499</v>
      </c>
      <c r="F12" s="0" t="n">
        <v>3.1275136</v>
      </c>
      <c r="G12" s="0" t="n">
        <v>3.0025569</v>
      </c>
      <c r="H12" s="0" t="n">
        <v>2.8731152</v>
      </c>
      <c r="I12" s="0" t="n">
        <v>2.7400668</v>
      </c>
      <c r="J12" s="0" t="n">
        <v>2.6043443</v>
      </c>
      <c r="K12" s="0" t="n">
        <v>2.466913</v>
      </c>
      <c r="L12" s="0" t="n">
        <v>2.3286833</v>
      </c>
      <c r="M12" s="0" t="n">
        <v>2.1904152</v>
      </c>
      <c r="N12" s="0" t="n">
        <v>2.0526629</v>
      </c>
    </row>
    <row r="13" customFormat="false" ht="15" hidden="false" customHeight="false" outlineLevel="0" collapsed="false">
      <c r="A13" s="0" t="n">
        <v>4</v>
      </c>
      <c r="B13" s="0" t="n">
        <v>4</v>
      </c>
      <c r="C13" s="0" t="n">
        <v>3.93477</v>
      </c>
      <c r="D13" s="0" t="n">
        <v>3.8164543</v>
      </c>
      <c r="E13" s="0" t="n">
        <v>3.6783916</v>
      </c>
      <c r="F13" s="0" t="n">
        <v>3.530568</v>
      </c>
      <c r="G13" s="0" t="n">
        <v>3.3761469</v>
      </c>
      <c r="H13" s="0" t="n">
        <v>3.2166972</v>
      </c>
      <c r="I13" s="0" t="n">
        <v>3.0537628</v>
      </c>
      <c r="J13" s="0" t="n">
        <v>2.8889908</v>
      </c>
      <c r="K13" s="0" t="n">
        <v>2.7239783</v>
      </c>
      <c r="L13" s="0" t="n">
        <v>2.5600783</v>
      </c>
      <c r="M13" s="0" t="n">
        <v>2.3983186</v>
      </c>
      <c r="N13" s="0" t="n">
        <v>2.2393739</v>
      </c>
    </row>
    <row r="14" customFormat="false" ht="15" hidden="false" customHeight="false" outlineLevel="0" collapsed="false">
      <c r="A14" s="0" t="n">
        <v>4.5</v>
      </c>
      <c r="B14" s="0" t="n">
        <v>4.5</v>
      </c>
      <c r="C14" s="0" t="n">
        <v>4.4166246</v>
      </c>
      <c r="D14" s="0" t="n">
        <v>4.269058</v>
      </c>
      <c r="E14" s="0" t="n">
        <v>4.0994611</v>
      </c>
      <c r="F14" s="0" t="n">
        <v>3.9189007</v>
      </c>
      <c r="G14" s="0" t="n">
        <v>3.730775</v>
      </c>
      <c r="H14" s="0" t="n">
        <v>3.5374323</v>
      </c>
      <c r="I14" s="0" t="n">
        <v>3.3414321</v>
      </c>
      <c r="J14" s="0" t="n">
        <v>3.1453333</v>
      </c>
      <c r="K14" s="0" t="n">
        <v>2.9513677</v>
      </c>
      <c r="L14" s="0" t="n">
        <v>2.7612386</v>
      </c>
      <c r="M14" s="0" t="n">
        <v>2.5760876</v>
      </c>
      <c r="N14" s="0" t="n">
        <v>2.3965344</v>
      </c>
      <c r="O14" s="2"/>
    </row>
    <row r="15" customFormat="false" ht="15" hidden="false" customHeight="false" outlineLevel="0" collapsed="false">
      <c r="A15" s="0" t="n">
        <v>5</v>
      </c>
      <c r="B15" s="0" t="n">
        <v>5</v>
      </c>
      <c r="C15" s="0" t="n">
        <v>4.8955305</v>
      </c>
      <c r="D15" s="0" t="n">
        <v>4.7148078</v>
      </c>
      <c r="E15" s="0" t="n">
        <v>4.5097079</v>
      </c>
      <c r="F15" s="0" t="n">
        <v>4.2921847</v>
      </c>
      <c r="G15" s="0" t="n">
        <v>4.0662668</v>
      </c>
      <c r="H15" s="0" t="n">
        <v>3.8355932</v>
      </c>
      <c r="I15" s="0" t="n">
        <v>3.6040616</v>
      </c>
      <c r="J15" s="0" t="n">
        <v>3.3752078</v>
      </c>
      <c r="K15" s="0" t="n">
        <v>3.1517935</v>
      </c>
      <c r="L15" s="0" t="n">
        <v>2.935687</v>
      </c>
      <c r="M15" s="0" t="n">
        <v>2.7279347</v>
      </c>
      <c r="N15" s="0" t="n">
        <v>2.5209133</v>
      </c>
    </row>
    <row r="16" customFormat="false" ht="15" hidden="false" customHeight="false" outlineLevel="0" collapsed="false">
      <c r="A16" s="0" t="n">
        <v>6</v>
      </c>
      <c r="B16" s="0" t="n">
        <v>6</v>
      </c>
      <c r="C16" s="0" t="n">
        <v>5.8440686</v>
      </c>
      <c r="D16" s="0" t="n">
        <v>5.5852474</v>
      </c>
      <c r="E16" s="0" t="n">
        <v>5.2968787</v>
      </c>
      <c r="F16" s="0" t="n">
        <v>4.9927832</v>
      </c>
      <c r="G16" s="0" t="n">
        <v>4.6801702</v>
      </c>
      <c r="H16" s="0" t="n">
        <v>4.3668118</v>
      </c>
      <c r="I16" s="0" t="n">
        <v>4.0597311</v>
      </c>
      <c r="J16" s="0" t="n">
        <v>3.7640785</v>
      </c>
      <c r="K16" s="0" t="n">
        <v>3.4829712</v>
      </c>
      <c r="L16" s="0" t="n">
        <v>3.2178167</v>
      </c>
      <c r="M16" s="0" t="n">
        <v>2.9687934</v>
      </c>
      <c r="N16" s="0" t="n">
        <v>2.735258</v>
      </c>
    </row>
    <row r="17" customFormat="false" ht="15" hidden="false" customHeight="false" outlineLevel="0" collapsed="false">
      <c r="A17" s="0" t="n">
        <v>7</v>
      </c>
      <c r="B17" s="0" t="n">
        <v>7</v>
      </c>
      <c r="C17" s="0" t="n">
        <v>6.7796857</v>
      </c>
      <c r="D17" s="0" t="n">
        <v>6.4269172</v>
      </c>
      <c r="E17" s="0" t="n">
        <v>6.0384888</v>
      </c>
      <c r="F17" s="0" t="n">
        <v>5.631801</v>
      </c>
      <c r="G17" s="0" t="n">
        <v>5.220485</v>
      </c>
      <c r="H17" s="0" t="n">
        <v>4.8178049</v>
      </c>
      <c r="I17" s="0" t="n">
        <v>4.4335119</v>
      </c>
      <c r="J17" s="0" t="n">
        <v>4.0731395</v>
      </c>
      <c r="K17" s="0" t="n">
        <v>3.7388047</v>
      </c>
      <c r="L17" s="0" t="n">
        <v>3.43034</v>
      </c>
      <c r="M17" s="0" t="n">
        <v>3.14625</v>
      </c>
      <c r="N17" s="0" t="n">
        <v>2.8843548</v>
      </c>
    </row>
    <row r="18" customFormat="false" ht="15" hidden="false" customHeight="false" outlineLevel="0" collapsed="false">
      <c r="A18" s="0" t="n">
        <v>8</v>
      </c>
      <c r="B18" s="0" t="n">
        <v>8</v>
      </c>
      <c r="C18" s="0" t="n">
        <v>7.7018785</v>
      </c>
      <c r="D18" s="0" t="n">
        <v>7.2390804</v>
      </c>
      <c r="E18" s="0" t="n">
        <v>6.7337145</v>
      </c>
      <c r="F18" s="0" t="n">
        <v>6.2103924</v>
      </c>
      <c r="G18" s="0" t="n">
        <v>5.6922672</v>
      </c>
      <c r="H18" s="0" t="n">
        <v>5.1981506</v>
      </c>
      <c r="I18" s="0" t="n">
        <v>4.7389543</v>
      </c>
      <c r="J18" s="0" t="n">
        <v>4.3187765</v>
      </c>
      <c r="K18" s="0" t="n">
        <v>3.9373126</v>
      </c>
      <c r="L18" s="0" t="n">
        <v>3.5918831</v>
      </c>
      <c r="M18" s="0" t="n">
        <v>3.2787858</v>
      </c>
      <c r="N18" s="0" t="n">
        <v>2.9940481</v>
      </c>
    </row>
    <row r="19" customFormat="false" ht="15" hidden="false" customHeight="false" outlineLevel="0" collapsed="false">
      <c r="A19" s="0" t="n">
        <v>10</v>
      </c>
      <c r="B19" s="0" t="n">
        <v>10</v>
      </c>
      <c r="C19" s="0" t="n">
        <v>9.50464</v>
      </c>
      <c r="D19" s="0" t="n">
        <v>8.7725147</v>
      </c>
      <c r="E19" s="0" t="n">
        <v>7.9851813</v>
      </c>
      <c r="F19" s="0" t="n">
        <v>7.197758</v>
      </c>
      <c r="G19" s="0" t="n">
        <v>6.456834</v>
      </c>
      <c r="H19" s="0" t="n">
        <v>5.7867581</v>
      </c>
      <c r="I19" s="0" t="n">
        <v>5.1933727</v>
      </c>
      <c r="J19" s="0" t="n">
        <v>4.6723727</v>
      </c>
      <c r="K19" s="0" t="n">
        <v>4.2153623</v>
      </c>
      <c r="L19" s="0" t="n">
        <v>3.8131019</v>
      </c>
      <c r="M19" s="0" t="n">
        <v>3.4569163</v>
      </c>
      <c r="N19" s="0" t="n">
        <v>3.139194</v>
      </c>
    </row>
    <row r="20" customFormat="false" ht="15" hidden="false" customHeight="false" outlineLevel="0" collapsed="false">
      <c r="A20" s="0" t="n">
        <v>12</v>
      </c>
      <c r="B20" s="0" t="n">
        <v>12</v>
      </c>
      <c r="C20" s="0" t="n">
        <v>11.250395</v>
      </c>
      <c r="D20" s="0" t="n">
        <v>10.182053</v>
      </c>
      <c r="E20" s="0" t="n">
        <v>9.0582962</v>
      </c>
      <c r="F20" s="0" t="n">
        <v>7.983849</v>
      </c>
      <c r="G20" s="0" t="n">
        <v>7.0291308</v>
      </c>
      <c r="H20" s="0" t="n">
        <v>6.2043028</v>
      </c>
      <c r="I20" s="0" t="n">
        <v>5.5019835</v>
      </c>
      <c r="J20" s="0" t="n">
        <v>4.9042678</v>
      </c>
      <c r="K20" s="0" t="n">
        <v>4.3926921</v>
      </c>
      <c r="L20" s="0" t="n">
        <v>3.9510537</v>
      </c>
      <c r="M20" s="0" t="n">
        <v>3.5659952</v>
      </c>
      <c r="N20" s="0" t="n">
        <v>3.2267626</v>
      </c>
    </row>
    <row r="21" customFormat="false" ht="15" hidden="false" customHeight="false" outlineLevel="0" collapsed="false">
      <c r="A21" s="0" t="n">
        <v>15</v>
      </c>
      <c r="B21" s="0" t="n">
        <v>15</v>
      </c>
      <c r="C21" s="0" t="n">
        <v>13.759139</v>
      </c>
      <c r="D21" s="0" t="n">
        <v>12.063489</v>
      </c>
      <c r="E21" s="0" t="n">
        <v>10.368285</v>
      </c>
      <c r="F21" s="0" t="n">
        <v>8.8727901</v>
      </c>
      <c r="G21" s="0" t="n">
        <v>7.6324201</v>
      </c>
      <c r="H21" s="0" t="n">
        <v>6.6228697</v>
      </c>
      <c r="I21" s="0" t="n">
        <v>5.7997803</v>
      </c>
      <c r="J21" s="0" t="n">
        <v>5.1216448</v>
      </c>
      <c r="K21" s="0" t="n">
        <v>4.5551592</v>
      </c>
      <c r="L21" s="0" t="n">
        <v>4.0753516</v>
      </c>
      <c r="M21" s="0" t="n">
        <v>3.6629457</v>
      </c>
      <c r="N21" s="0" t="n">
        <v>3.3037471</v>
      </c>
    </row>
    <row r="22" customFormat="false" ht="15" hidden="false" customHeight="false" outlineLevel="0" collapsed="false">
      <c r="A22" s="0" t="n">
        <v>20</v>
      </c>
      <c r="B22" s="0" t="n">
        <v>20</v>
      </c>
      <c r="C22" s="0" t="n">
        <v>17.63785</v>
      </c>
      <c r="D22" s="0" t="n">
        <v>14.613515</v>
      </c>
      <c r="E22" s="0" t="n">
        <v>11.919518</v>
      </c>
      <c r="F22" s="0" t="n">
        <v>9.817745</v>
      </c>
      <c r="G22" s="0" t="n">
        <v>8.2281047</v>
      </c>
      <c r="H22" s="0" t="n">
        <v>7.0145241</v>
      </c>
      <c r="I22" s="0" t="n">
        <v>6.0679293</v>
      </c>
      <c r="J22" s="0" t="n">
        <v>5.3119812</v>
      </c>
      <c r="K22" s="0" t="n">
        <v>4.694679</v>
      </c>
      <c r="L22" s="0" t="n">
        <v>4.1802823</v>
      </c>
      <c r="M22" s="0" t="n">
        <v>3.7437969</v>
      </c>
      <c r="N22" s="0" t="n">
        <v>3.3673365</v>
      </c>
    </row>
    <row r="25" customFormat="false" ht="15" hidden="false" customHeight="false" outlineLevel="0" collapsed="false">
      <c r="A25" s="0" t="s">
        <v>2</v>
      </c>
      <c r="Q25" s="2"/>
      <c r="R25" s="2"/>
    </row>
    <row r="26" customFormat="false" ht="15" hidden="false" customHeight="false" outlineLevel="0" collapsed="false">
      <c r="B26" s="0" t="n">
        <v>0</v>
      </c>
      <c r="C26" s="3" t="n">
        <v>2.5</v>
      </c>
      <c r="D26" s="3" t="n">
        <v>5</v>
      </c>
      <c r="E26" s="3" t="n">
        <v>7.5</v>
      </c>
      <c r="F26" s="3" t="n">
        <v>10</v>
      </c>
      <c r="G26" s="3" t="n">
        <v>12.5</v>
      </c>
      <c r="H26" s="3" t="n">
        <v>15</v>
      </c>
      <c r="I26" s="3" t="n">
        <v>17.5</v>
      </c>
      <c r="J26" s="3" t="n">
        <v>20</v>
      </c>
      <c r="K26" s="3" t="n">
        <v>22.5</v>
      </c>
      <c r="L26" s="3" t="n">
        <v>25</v>
      </c>
      <c r="M26" s="3" t="n">
        <v>27.5</v>
      </c>
      <c r="N26" s="3" t="n">
        <v>30</v>
      </c>
      <c r="Q26" s="2"/>
      <c r="R26" s="2"/>
    </row>
    <row r="27" customFormat="false" ht="15" hidden="false" customHeight="false" outlineLevel="0" collapsed="false">
      <c r="A27" s="0" t="n">
        <v>1.1</v>
      </c>
      <c r="B27" s="0" t="n">
        <v>1</v>
      </c>
      <c r="C27" s="4" t="n">
        <v>1.0097</v>
      </c>
      <c r="D27" s="0" t="n">
        <v>1.0406</v>
      </c>
      <c r="E27" s="0" t="n">
        <v>1.0966</v>
      </c>
      <c r="F27" s="0" t="n">
        <v>1.1552</v>
      </c>
      <c r="G27" s="0" t="n">
        <v>1.218</v>
      </c>
      <c r="H27" s="1"/>
      <c r="I27" s="1"/>
      <c r="J27" s="1"/>
      <c r="K27" s="1"/>
      <c r="L27" s="1"/>
      <c r="M27" s="1"/>
      <c r="N27" s="1"/>
      <c r="Q27" s="5"/>
      <c r="R27" s="5"/>
    </row>
    <row r="28" customFormat="false" ht="15" hidden="false" customHeight="false" outlineLevel="0" collapsed="false">
      <c r="A28" s="0" t="n">
        <v>1.25</v>
      </c>
      <c r="B28" s="0" t="n">
        <v>1</v>
      </c>
      <c r="C28" s="4" t="n">
        <v>1.0128</v>
      </c>
      <c r="D28" s="0" t="n">
        <v>1.0488</v>
      </c>
      <c r="E28" s="0" t="n">
        <v>1.1096</v>
      </c>
      <c r="F28" s="0" t="n">
        <v>1.1748</v>
      </c>
      <c r="G28" s="0" t="n">
        <v>1.2458</v>
      </c>
      <c r="H28" s="0" t="n">
        <v>1.3224</v>
      </c>
      <c r="I28" s="0" t="n">
        <v>1.4047</v>
      </c>
      <c r="J28" s="0" t="n">
        <v>1.4918</v>
      </c>
      <c r="K28" s="1"/>
      <c r="L28" s="1"/>
      <c r="M28" s="1"/>
      <c r="N28" s="1"/>
    </row>
    <row r="29" customFormat="false" ht="15" hidden="false" customHeight="false" outlineLevel="0" collapsed="false">
      <c r="A29" s="3" t="n">
        <v>1.5</v>
      </c>
      <c r="B29" s="0" t="n">
        <v>1</v>
      </c>
      <c r="C29" s="4" t="n">
        <v>1.0194326</v>
      </c>
      <c r="D29" s="4" t="n">
        <v>1.0624668</v>
      </c>
      <c r="E29" s="4" t="n">
        <v>1.1218836</v>
      </c>
      <c r="F29" s="4" t="n">
        <v>1.1949823</v>
      </c>
      <c r="G29" s="4" t="n">
        <v>1.2805338</v>
      </c>
      <c r="H29" s="4" t="n">
        <v>1.3780493</v>
      </c>
      <c r="I29" s="4" t="n">
        <v>1.4875334</v>
      </c>
      <c r="J29" s="4" t="n">
        <v>1.6094921</v>
      </c>
      <c r="K29" s="4" t="n">
        <v>1.7452173</v>
      </c>
      <c r="L29" s="4" t="n">
        <v>1.8977323</v>
      </c>
      <c r="M29" s="1"/>
      <c r="N29" s="1"/>
    </row>
    <row r="30" customFormat="false" ht="15" hidden="false" customHeight="false" outlineLevel="0" collapsed="false">
      <c r="A30" s="6" t="n">
        <v>1.75</v>
      </c>
      <c r="B30" s="0" t="n">
        <v>1</v>
      </c>
      <c r="C30" s="4" t="n">
        <v>1.0245272</v>
      </c>
      <c r="D30" s="4" t="n">
        <v>1.0778796</v>
      </c>
      <c r="E30" s="4" t="n">
        <v>1.150982</v>
      </c>
      <c r="F30" s="4" t="n">
        <v>1.240679</v>
      </c>
      <c r="G30" s="4" t="n">
        <v>1.3455754</v>
      </c>
      <c r="H30" s="4" t="n">
        <v>1.4650276</v>
      </c>
      <c r="I30" s="4" t="n">
        <v>1.5987279</v>
      </c>
      <c r="J30" s="4" t="n">
        <v>1.7465521</v>
      </c>
      <c r="K30" s="4" t="n">
        <v>1.9085624</v>
      </c>
      <c r="L30" s="4" t="n">
        <v>2.0851453</v>
      </c>
      <c r="M30" s="4" t="n">
        <v>2.2773654</v>
      </c>
      <c r="N30" s="4" t="n">
        <v>2.4878749</v>
      </c>
    </row>
    <row r="31" customFormat="false" ht="15" hidden="false" customHeight="false" outlineLevel="0" collapsed="false">
      <c r="A31" s="3" t="n">
        <v>2</v>
      </c>
      <c r="B31" s="0" t="n">
        <v>1</v>
      </c>
      <c r="C31" s="4" t="n">
        <v>1.0302014</v>
      </c>
      <c r="D31" s="4" t="n">
        <v>1.095048</v>
      </c>
      <c r="E31" s="4" t="n">
        <v>1.1836274</v>
      </c>
      <c r="F31" s="4" t="n">
        <v>1.2924832</v>
      </c>
      <c r="G31" s="4" t="n">
        <v>1.4202392</v>
      </c>
      <c r="H31" s="4" t="n">
        <v>1.5662549</v>
      </c>
      <c r="I31" s="4" t="n">
        <v>1.73013</v>
      </c>
      <c r="J31" s="4" t="n">
        <v>1.9114873</v>
      </c>
      <c r="K31" s="4" t="n">
        <v>2.1099574</v>
      </c>
      <c r="L31" s="4" t="n">
        <v>2.325245</v>
      </c>
      <c r="M31" s="4" t="n">
        <v>2.5572482</v>
      </c>
      <c r="N31" s="4" t="n">
        <v>2.8063347</v>
      </c>
    </row>
    <row r="32" customFormat="false" ht="15" hidden="false" customHeight="false" outlineLevel="0" collapsed="false">
      <c r="A32" s="3" t="n">
        <v>2.5</v>
      </c>
      <c r="B32" s="0" t="n">
        <v>1</v>
      </c>
      <c r="C32" s="4" t="n">
        <v>1.0430034</v>
      </c>
      <c r="D32" s="4" t="n">
        <v>1.1338127</v>
      </c>
      <c r="E32" s="4" t="n">
        <v>1.2579479</v>
      </c>
      <c r="F32" s="4" t="n">
        <v>1.4118223</v>
      </c>
      <c r="G32" s="4" t="n">
        <v>1.5943908</v>
      </c>
      <c r="H32" s="4" t="n">
        <v>1.8051501</v>
      </c>
      <c r="I32" s="4" t="n">
        <v>2.0435503</v>
      </c>
      <c r="J32" s="4" t="n">
        <v>2.3088209</v>
      </c>
      <c r="K32" s="4" t="n">
        <v>2.5999833</v>
      </c>
      <c r="L32" s="4" t="n">
        <v>2.9158958</v>
      </c>
      <c r="M32" s="4" t="n">
        <v>3.2553311</v>
      </c>
      <c r="N32" s="4" t="n">
        <v>3.6170774</v>
      </c>
    </row>
    <row r="33" customFormat="false" ht="15" hidden="false" customHeight="false" outlineLevel="0" collapsed="false">
      <c r="A33" s="3" t="n">
        <v>3</v>
      </c>
      <c r="B33" s="0" t="n">
        <v>1</v>
      </c>
      <c r="C33" s="4" t="n">
        <v>1.0575531</v>
      </c>
      <c r="D33" s="4" t="n">
        <v>1.1779135</v>
      </c>
      <c r="E33" s="4" t="n">
        <v>1.3434709</v>
      </c>
      <c r="F33" s="4" t="n">
        <v>1.5510936</v>
      </c>
      <c r="G33" s="4" t="n">
        <v>1.8002508</v>
      </c>
      <c r="H33" s="4" t="n">
        <v>2.0905385</v>
      </c>
      <c r="I33" s="4" t="n">
        <v>2.4211572</v>
      </c>
      <c r="J33" s="4" t="n">
        <v>2.7908532</v>
      </c>
      <c r="K33" s="4" t="n">
        <v>3.1979721</v>
      </c>
      <c r="L33" s="4" t="n">
        <v>3.6205103</v>
      </c>
      <c r="M33" s="4" t="n">
        <v>4.1162105</v>
      </c>
      <c r="N33" s="4" t="n">
        <v>4.6226939</v>
      </c>
    </row>
    <row r="34" customFormat="false" ht="15" hidden="false" customHeight="false" outlineLevel="0" collapsed="false">
      <c r="A34" s="3" t="n">
        <v>3.5</v>
      </c>
      <c r="B34" s="0" t="n">
        <v>1</v>
      </c>
      <c r="C34" s="4" t="n">
        <v>1.07368</v>
      </c>
      <c r="D34" s="4" t="n">
        <v>1.2270211</v>
      </c>
      <c r="E34" s="4" t="n">
        <v>1.4399168</v>
      </c>
      <c r="F34" s="4" t="n">
        <v>1.7101603</v>
      </c>
      <c r="G34" s="4" t="n">
        <v>2.0377458</v>
      </c>
      <c r="H34" s="4" t="n">
        <v>2.4222429</v>
      </c>
      <c r="I34" s="4" t="n">
        <v>2.8624798</v>
      </c>
      <c r="J34" s="4" t="n">
        <v>3.3565631</v>
      </c>
      <c r="K34" s="4" t="n">
        <v>3.9019948</v>
      </c>
      <c r="L34" s="4" t="n">
        <v>4.4957647</v>
      </c>
      <c r="M34" s="4" t="n">
        <v>5.1344738</v>
      </c>
      <c r="N34" s="4" t="n">
        <v>5.8144615</v>
      </c>
    </row>
    <row r="35" customFormat="false" ht="15" hidden="false" customHeight="false" outlineLevel="0" collapsed="false">
      <c r="A35" s="3" t="n">
        <v>4</v>
      </c>
      <c r="B35" s="0" t="n">
        <v>1</v>
      </c>
      <c r="C35" s="4" t="n">
        <v>1.091272</v>
      </c>
      <c r="D35" s="4" t="n">
        <v>1.2809867</v>
      </c>
      <c r="E35" s="4" t="n">
        <v>1.547292</v>
      </c>
      <c r="F35" s="4" t="n">
        <v>1.8892063</v>
      </c>
      <c r="G35" s="4" t="n">
        <v>2.3071757</v>
      </c>
      <c r="H35" s="4" t="n">
        <v>2.8006264</v>
      </c>
      <c r="I35" s="4" t="n">
        <v>3.3678429</v>
      </c>
      <c r="J35" s="4" t="n">
        <v>4.0061275</v>
      </c>
      <c r="K35" s="4" t="n">
        <v>4.7119593</v>
      </c>
      <c r="L35" s="4" t="n">
        <v>5.4811532</v>
      </c>
      <c r="M35" s="4" t="n">
        <v>6.3089994</v>
      </c>
      <c r="N35" s="4" t="n">
        <v>7.1904022</v>
      </c>
    </row>
    <row r="36" customFormat="false" ht="15" hidden="false" customHeight="false" outlineLevel="0" collapsed="false">
      <c r="A36" s="3" t="n">
        <v>4.5</v>
      </c>
      <c r="B36" s="0" t="n">
        <v>1</v>
      </c>
      <c r="C36" s="4" t="n">
        <v>1.1102609</v>
      </c>
      <c r="D36" s="4" t="n">
        <v>1.3397531</v>
      </c>
      <c r="E36" s="4" t="n">
        <v>1.6656866</v>
      </c>
      <c r="F36" s="4" t="n">
        <v>2.0884875</v>
      </c>
      <c r="G36" s="4" t="n">
        <v>2.6089172</v>
      </c>
      <c r="H36" s="4" t="n">
        <v>3.2261054</v>
      </c>
      <c r="I36" s="4" t="n">
        <v>3.9376627</v>
      </c>
      <c r="J36" s="4" t="n">
        <v>4.7398834</v>
      </c>
      <c r="K36" s="4" t="n">
        <v>5.628081</v>
      </c>
      <c r="L36" s="4" t="n">
        <v>6.5967119</v>
      </c>
      <c r="M36" s="4" t="n">
        <v>7.6395491</v>
      </c>
      <c r="N36" s="4" t="n">
        <v>8.7499419</v>
      </c>
    </row>
    <row r="37" customFormat="false" ht="15" hidden="false" customHeight="false" outlineLevel="0" collapsed="false">
      <c r="A37" s="3" t="n">
        <v>5</v>
      </c>
      <c r="B37" s="0" t="n">
        <v>1</v>
      </c>
      <c r="C37" s="4" t="n">
        <v>1.1205848</v>
      </c>
      <c r="D37" s="4" t="n">
        <v>1.403315</v>
      </c>
      <c r="E37" s="4" t="n">
        <v>1.7952468</v>
      </c>
      <c r="F37" s="4" t="n">
        <v>2.308246</v>
      </c>
      <c r="G37" s="4" t="n">
        <v>2.9432816</v>
      </c>
      <c r="H37" s="4" t="n">
        <v>3.6990542</v>
      </c>
      <c r="I37" s="4" t="n">
        <v>4.5722872</v>
      </c>
      <c r="J37" s="4" t="n">
        <v>5.558163</v>
      </c>
      <c r="K37" s="4" t="n">
        <v>6.6506071</v>
      </c>
      <c r="L37" s="4" t="n">
        <v>7.8425504</v>
      </c>
      <c r="M37" s="4" t="n">
        <v>9.1261264</v>
      </c>
      <c r="N37" s="7" t="n">
        <v>10.492909</v>
      </c>
    </row>
    <row r="38" customFormat="false" ht="15" hidden="false" customHeight="false" outlineLevel="0" collapsed="false">
      <c r="A38" s="3" t="n">
        <v>6</v>
      </c>
      <c r="B38" s="0" t="n">
        <v>1</v>
      </c>
      <c r="C38" s="4" t="n">
        <v>1.1750571</v>
      </c>
      <c r="D38" s="4" t="n">
        <v>1.5449088</v>
      </c>
      <c r="E38" s="4" t="n">
        <v>2.0883718</v>
      </c>
      <c r="F38" s="4" t="n">
        <v>2.8100784</v>
      </c>
      <c r="G38" s="4" t="n">
        <v>3.7110158</v>
      </c>
      <c r="H38" s="4" t="n">
        <v>4.7885278</v>
      </c>
      <c r="I38" s="4" t="n">
        <v>6.0371455</v>
      </c>
      <c r="J38" s="4" t="n">
        <v>7.4492676</v>
      </c>
      <c r="K38" s="4" t="n">
        <v>9.0156074</v>
      </c>
      <c r="L38" s="7" t="n">
        <v>10.725597</v>
      </c>
      <c r="M38" s="7" t="n">
        <v>12.5675</v>
      </c>
      <c r="N38" s="7" t="n">
        <v>14.528819</v>
      </c>
    </row>
    <row r="39" customFormat="false" ht="15" hidden="false" customHeight="false" outlineLevel="0" collapsed="false">
      <c r="A39" s="3" t="n">
        <v>7</v>
      </c>
      <c r="B39" s="0" t="n">
        <v>1</v>
      </c>
      <c r="C39" s="4" t="n">
        <v>1.2244683</v>
      </c>
      <c r="D39" s="4" t="n">
        <v>1.7060582</v>
      </c>
      <c r="E39" s="4" t="n">
        <v>2.427615</v>
      </c>
      <c r="F39" s="4" t="n">
        <v>3.3961384</v>
      </c>
      <c r="G39" s="4" t="n">
        <v>4.6121063</v>
      </c>
      <c r="H39" s="4" t="n">
        <v>6.0708563</v>
      </c>
      <c r="I39" s="4" t="n">
        <v>7.7641001</v>
      </c>
      <c r="J39" s="4" t="n">
        <v>9.6808592</v>
      </c>
      <c r="K39" s="7" t="n">
        <v>11.808092</v>
      </c>
      <c r="L39" s="7" t="n">
        <v>14.131046</v>
      </c>
      <c r="M39" s="7" t="n">
        <v>16.633476</v>
      </c>
      <c r="N39" s="7" t="n">
        <v>19.298175</v>
      </c>
    </row>
    <row r="40" customFormat="false" ht="15" hidden="false" customHeight="false" outlineLevel="0" collapsed="false">
      <c r="A40" s="3" t="n">
        <v>8</v>
      </c>
      <c r="B40" s="0" t="n">
        <v>1</v>
      </c>
      <c r="C40" s="4" t="n">
        <v>1.2786974</v>
      </c>
      <c r="D40" s="4" t="n">
        <v>1.8871344</v>
      </c>
      <c r="E40" s="4" t="n">
        <v>2.8137638</v>
      </c>
      <c r="F40" s="4" t="n">
        <v>4.0673451</v>
      </c>
      <c r="G40" s="4" t="n">
        <v>5.6477433</v>
      </c>
      <c r="H40" s="4" t="n">
        <v>7.5471315</v>
      </c>
      <c r="I40" s="4" t="n">
        <v>9.7541022</v>
      </c>
      <c r="J40" s="7" t="n">
        <v>12.253764</v>
      </c>
      <c r="K40" s="7" t="n">
        <v>15.028693</v>
      </c>
      <c r="L40" s="7" t="n">
        <v>18.059352</v>
      </c>
      <c r="M40" s="7" t="n">
        <v>21.32435</v>
      </c>
      <c r="N40" s="7" t="n">
        <v>24.800936</v>
      </c>
    </row>
    <row r="41" customFormat="false" ht="15" hidden="false" customHeight="false" outlineLevel="0" collapsed="false">
      <c r="A41" s="3" t="n">
        <v>10</v>
      </c>
      <c r="B41" s="0" t="n">
        <v>1</v>
      </c>
      <c r="C41" s="4" t="n">
        <v>1.4015141</v>
      </c>
      <c r="D41" s="4" t="n">
        <v>2.3102668</v>
      </c>
      <c r="E41" s="4" t="n">
        <v>3.7291669</v>
      </c>
      <c r="F41" s="4" t="n">
        <v>5.6691937</v>
      </c>
      <c r="G41" s="4" t="n">
        <v>8.1254669</v>
      </c>
      <c r="H41" s="7" t="n">
        <v>11.084206</v>
      </c>
      <c r="I41" s="7" t="n">
        <v>14.525483</v>
      </c>
      <c r="J41" s="7" t="n">
        <v>18.425183</v>
      </c>
      <c r="K41" s="7" t="n">
        <v>22.755513</v>
      </c>
      <c r="L41" s="7" t="n">
        <v>27.485425</v>
      </c>
      <c r="M41" s="7" t="n">
        <v>32.581175</v>
      </c>
      <c r="N41" s="7" t="n">
        <v>38.00706</v>
      </c>
    </row>
    <row r="42" customFormat="false" ht="15" hidden="false" customHeight="false" outlineLevel="0" collapsed="false">
      <c r="A42" s="3" t="n">
        <v>12</v>
      </c>
      <c r="B42" s="0" t="n">
        <v>1</v>
      </c>
      <c r="C42" s="4" t="n">
        <v>1.5435569</v>
      </c>
      <c r="D42" s="4" t="n">
        <v>2.8164933</v>
      </c>
      <c r="E42" s="4" t="n">
        <v>4.8380961</v>
      </c>
      <c r="F42" s="4" t="n">
        <v>7.6189879</v>
      </c>
      <c r="G42" s="7" t="n">
        <v>11.147954</v>
      </c>
      <c r="H42" s="7" t="n">
        <v>15.402823</v>
      </c>
      <c r="I42" s="7" t="n">
        <v>20.355809</v>
      </c>
      <c r="J42" s="7" t="n">
        <v>25.985603</v>
      </c>
      <c r="K42" s="7" t="n">
        <v>32.197566</v>
      </c>
      <c r="L42" s="7" t="n">
        <v>39.00487</v>
      </c>
      <c r="M42" s="7" t="n">
        <v>46.338807</v>
      </c>
      <c r="N42" s="7" t="n">
        <v>54.147366</v>
      </c>
    </row>
    <row r="43" customFormat="false" ht="15" hidden="false" customHeight="false" outlineLevel="0" collapsed="false">
      <c r="A43" s="3" t="n">
        <v>15</v>
      </c>
      <c r="B43" s="0" t="n">
        <v>1</v>
      </c>
      <c r="C43" s="4" t="n">
        <v>1.7934152</v>
      </c>
      <c r="D43" s="4" t="n">
        <v>3.7349338</v>
      </c>
      <c r="E43" s="4" t="n">
        <v>6.8688796</v>
      </c>
      <c r="F43" s="7" t="n">
        <v>11.200599</v>
      </c>
      <c r="G43" s="7" t="n">
        <v>16.706373</v>
      </c>
      <c r="H43" s="7" t="n">
        <v>23.348786</v>
      </c>
      <c r="I43" s="7" t="n">
        <v>31.080344</v>
      </c>
      <c r="J43" s="7" t="n">
        <v>39.844322</v>
      </c>
      <c r="K43" s="7" t="n">
        <v>49.577879</v>
      </c>
      <c r="L43" s="7" t="n">
        <v>60.210083</v>
      </c>
      <c r="M43" s="7" t="n">
        <v>71.66455</v>
      </c>
      <c r="N43" s="7" t="n">
        <v>83.859958</v>
      </c>
    </row>
    <row r="44" customFormat="false" ht="15" hidden="false" customHeight="false" outlineLevel="0" collapsed="false">
      <c r="A44" s="3" t="n">
        <v>20</v>
      </c>
      <c r="B44" s="0" t="n">
        <v>1</v>
      </c>
      <c r="C44" s="4" t="n">
        <v>2.3107823</v>
      </c>
      <c r="D44" s="4" t="n">
        <v>3.6980529</v>
      </c>
      <c r="E44" s="7" t="n">
        <v>11.241661</v>
      </c>
      <c r="F44" s="7" t="n">
        <v>18.928672</v>
      </c>
      <c r="G44" s="7" t="n">
        <v>28.708667</v>
      </c>
      <c r="H44" s="7" t="n">
        <v>40.511555</v>
      </c>
      <c r="I44" s="7" t="n">
        <v>54.251895</v>
      </c>
      <c r="J44" s="7" t="n">
        <v>69.827597</v>
      </c>
      <c r="K44" s="7" t="n">
        <v>87.126234</v>
      </c>
      <c r="L44" s="7" t="n">
        <v>106.02202</v>
      </c>
      <c r="M44" s="8" t="n">
        <v>126.3799</v>
      </c>
      <c r="N44" s="8" t="n">
        <v>148.05417</v>
      </c>
    </row>
    <row r="47" customFormat="false" ht="18" hidden="false" customHeight="false" outlineLevel="0" collapsed="false">
      <c r="A47" s="0" t="s">
        <v>3</v>
      </c>
      <c r="C47" s="4"/>
    </row>
    <row r="48" customFormat="false" ht="15" hidden="false" customHeight="false" outlineLevel="0" collapsed="false">
      <c r="A48" s="0" t="s">
        <v>4</v>
      </c>
      <c r="B48" s="0" t="n">
        <v>0</v>
      </c>
      <c r="C48" s="0" t="n">
        <v>2.5</v>
      </c>
      <c r="D48" s="0" t="n">
        <v>5</v>
      </c>
      <c r="E48" s="0" t="n">
        <v>7.5</v>
      </c>
      <c r="F48" s="0" t="n">
        <v>10</v>
      </c>
      <c r="G48" s="0" t="n">
        <v>12.5</v>
      </c>
      <c r="H48" s="0" t="n">
        <v>15</v>
      </c>
      <c r="I48" s="0" t="n">
        <v>17.5</v>
      </c>
      <c r="J48" s="0" t="n">
        <v>20</v>
      </c>
      <c r="K48" s="0" t="n">
        <v>22.5</v>
      </c>
      <c r="L48" s="0" t="n">
        <v>25</v>
      </c>
      <c r="M48" s="0" t="n">
        <v>27.5</v>
      </c>
      <c r="N48" s="0" t="n">
        <v>30</v>
      </c>
    </row>
    <row r="49" customFormat="false" ht="15" hidden="false" customHeight="false" outlineLevel="0" collapsed="false">
      <c r="A49" s="0" t="n">
        <v>1.1</v>
      </c>
      <c r="B49" s="0" t="n">
        <v>2</v>
      </c>
      <c r="C49" s="0" t="n">
        <v>1.9781</v>
      </c>
      <c r="D49" s="0" t="n">
        <v>1.9437</v>
      </c>
      <c r="E49" s="0" t="n">
        <v>1.8875</v>
      </c>
      <c r="F49" s="0" t="n">
        <v>1.825</v>
      </c>
      <c r="G49" s="0" t="n">
        <v>1.7458</v>
      </c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0" t="n">
        <v>1.25</v>
      </c>
      <c r="B50" s="0" t="n">
        <v>2</v>
      </c>
      <c r="C50" s="0" t="n">
        <v>1.9711</v>
      </c>
      <c r="D50" s="0" t="n">
        <v>1.9417</v>
      </c>
      <c r="E50" s="0" t="n">
        <v>1.8875</v>
      </c>
      <c r="F50" s="0" t="n">
        <v>1.8333</v>
      </c>
      <c r="G50" s="0" t="n">
        <v>1.775</v>
      </c>
      <c r="H50" s="0" t="n">
        <v>1.7083</v>
      </c>
      <c r="I50" s="0" t="n">
        <v>1.6366</v>
      </c>
      <c r="J50" s="0" t="n">
        <v>1.575</v>
      </c>
      <c r="K50" s="1"/>
      <c r="L50" s="1"/>
      <c r="M50" s="1"/>
      <c r="N50" s="1"/>
    </row>
    <row r="51" customFormat="false" ht="15" hidden="false" customHeight="false" outlineLevel="0" collapsed="false">
      <c r="A51" s="0" t="n">
        <v>1.5</v>
      </c>
      <c r="B51" s="0" t="n">
        <v>2</v>
      </c>
      <c r="C51" s="4" t="n">
        <v>1.9770483</v>
      </c>
      <c r="D51" s="4" t="n">
        <v>1.9336127</v>
      </c>
      <c r="E51" s="4" t="n">
        <v>1.8821566</v>
      </c>
      <c r="F51" s="4" t="n">
        <v>1.8280992</v>
      </c>
      <c r="G51" s="4" t="n">
        <v>1.7735619</v>
      </c>
      <c r="H51" s="4" t="n">
        <v>1.7187816</v>
      </c>
      <c r="I51" s="4" t="n">
        <v>1.6630926</v>
      </c>
      <c r="J51" s="4" t="n">
        <v>1.6057182</v>
      </c>
      <c r="K51" s="4" t="n">
        <v>1.5462941</v>
      </c>
      <c r="L51" s="4" t="n">
        <v>1.4852936</v>
      </c>
      <c r="M51" s="9"/>
      <c r="N51" s="9"/>
    </row>
    <row r="52" customFormat="false" ht="15" hidden="false" customHeight="false" outlineLevel="0" collapsed="false">
      <c r="A52" s="0" t="n">
        <v>1.75</v>
      </c>
      <c r="B52" s="0" t="n">
        <v>2</v>
      </c>
      <c r="C52" s="4" t="n">
        <v>1.9731742</v>
      </c>
      <c r="D52" s="4" t="n">
        <v>1.9258447</v>
      </c>
      <c r="E52" s="4" t="n">
        <v>1.8737533</v>
      </c>
      <c r="F52" s="4" t="n">
        <v>1.8224578</v>
      </c>
      <c r="G52" s="4" t="n">
        <v>1.7730646</v>
      </c>
      <c r="H52" s="4" t="n">
        <v>1.7243971</v>
      </c>
      <c r="I52" s="4" t="n">
        <v>1.67464</v>
      </c>
      <c r="J52" s="4" t="n">
        <v>1.6223425</v>
      </c>
      <c r="K52" s="4" t="n">
        <v>1.5666956</v>
      </c>
      <c r="L52" s="4" t="n">
        <v>1.5075064</v>
      </c>
      <c r="M52" s="4" t="n">
        <v>1.4451701</v>
      </c>
      <c r="N52" s="4" t="n">
        <v>1.380882</v>
      </c>
    </row>
    <row r="53" customFormat="false" ht="15" hidden="false" customHeight="false" outlineLevel="0" collapsed="false">
      <c r="A53" s="0" t="n">
        <v>2</v>
      </c>
      <c r="B53" s="0" t="n">
        <v>2</v>
      </c>
      <c r="C53" s="4" t="n">
        <v>1.9690287</v>
      </c>
      <c r="D53" s="4" t="n">
        <v>1.9180672</v>
      </c>
      <c r="E53" s="4" t="n">
        <v>1.8661051</v>
      </c>
      <c r="F53" s="4" t="n">
        <v>1.8183423</v>
      </c>
      <c r="G53" s="4" t="n">
        <v>1.774254</v>
      </c>
      <c r="H53" s="4" t="n">
        <v>1.7310117</v>
      </c>
      <c r="I53" s="4" t="n">
        <v>1.6859216</v>
      </c>
      <c r="J53" s="4" t="n">
        <v>1.6372641</v>
      </c>
      <c r="K53" s="4" t="n">
        <v>1.5842135</v>
      </c>
      <c r="L53" s="4" t="n">
        <v>1.5265736</v>
      </c>
      <c r="M53" s="4" t="n">
        <v>1.4645815</v>
      </c>
      <c r="N53" s="4" t="n">
        <v>1.3988695</v>
      </c>
    </row>
    <row r="54" customFormat="false" ht="15" hidden="false" customHeight="false" outlineLevel="0" collapsed="false">
      <c r="A54" s="0" t="n">
        <v>2.5</v>
      </c>
      <c r="B54" s="0" t="n">
        <v>2</v>
      </c>
      <c r="C54" s="4" t="n">
        <v>1.9612967</v>
      </c>
      <c r="D54" s="4" t="n">
        <v>1.903674</v>
      </c>
      <c r="E54" s="4" t="n">
        <v>1.8548454</v>
      </c>
      <c r="F54" s="4" t="n">
        <v>1.8161039</v>
      </c>
      <c r="G54" s="4" t="n">
        <v>1.7820973</v>
      </c>
      <c r="H54" s="4" t="n">
        <v>1.7472553</v>
      </c>
      <c r="I54" s="4" t="n">
        <v>1.7083329</v>
      </c>
      <c r="J54" s="4" t="n">
        <v>1.663886</v>
      </c>
      <c r="K54" s="4" t="n">
        <v>1.6134668</v>
      </c>
      <c r="L54" s="4" t="n">
        <v>1.5571606</v>
      </c>
      <c r="M54" s="4" t="n">
        <v>1.4953496</v>
      </c>
      <c r="N54" s="4" t="n">
        <v>1.4286279</v>
      </c>
    </row>
    <row r="55" customFormat="false" ht="15" hidden="false" customHeight="false" outlineLevel="0" collapsed="false">
      <c r="A55" s="0" t="n">
        <v>3</v>
      </c>
      <c r="B55" s="0" t="n">
        <v>2</v>
      </c>
      <c r="C55" s="4" t="n">
        <v>1.95124205</v>
      </c>
      <c r="D55" s="4" t="n">
        <v>1.8917127</v>
      </c>
      <c r="E55" s="4" t="n">
        <v>1.849355</v>
      </c>
      <c r="F55" s="4" t="n">
        <v>1.820295</v>
      </c>
      <c r="G55" s="4" t="n">
        <v>1.7941549</v>
      </c>
      <c r="H55" s="4" t="n">
        <v>1.7645092</v>
      </c>
      <c r="I55" s="4" t="n">
        <v>1.7287097</v>
      </c>
      <c r="J55" s="4" t="n">
        <v>1.6859461</v>
      </c>
      <c r="K55" s="4" t="n">
        <v>1.6362061</v>
      </c>
      <c r="L55" s="4" t="n">
        <v>1.5798551</v>
      </c>
      <c r="M55" s="4" t="n">
        <v>1.5174588</v>
      </c>
      <c r="N55" s="4" t="n">
        <v>1.4497109</v>
      </c>
    </row>
    <row r="56" customFormat="false" ht="15" hidden="false" customHeight="false" outlineLevel="0" collapsed="false">
      <c r="A56" s="0" t="n">
        <v>3.5</v>
      </c>
      <c r="B56" s="0" t="n">
        <v>2</v>
      </c>
      <c r="C56" s="4" t="n">
        <v>1.9426977</v>
      </c>
      <c r="D56" s="4" t="n">
        <v>1.8826075</v>
      </c>
      <c r="E56" s="4" t="n">
        <v>1.84876</v>
      </c>
      <c r="F56" s="4" t="n">
        <v>1.8282076</v>
      </c>
      <c r="G56" s="4" t="n">
        <v>1.8074148</v>
      </c>
      <c r="H56" s="4" t="n">
        <v>1.7806466</v>
      </c>
      <c r="I56" s="4" t="n">
        <v>1.7461812</v>
      </c>
      <c r="J56" s="4" t="n">
        <v>1.7037859</v>
      </c>
      <c r="K56" s="4" t="n">
        <v>1.6537994</v>
      </c>
      <c r="L56" s="4" t="n">
        <v>1.5968132</v>
      </c>
      <c r="M56" s="4" t="n">
        <v>1.5335317</v>
      </c>
      <c r="N56" s="4" t="n">
        <v>1.4647351</v>
      </c>
    </row>
    <row r="57" customFormat="false" ht="15" hidden="false" customHeight="false" outlineLevel="0" collapsed="false">
      <c r="A57" s="0" t="n">
        <v>4</v>
      </c>
      <c r="B57" s="0" t="n">
        <v>2</v>
      </c>
      <c r="C57" s="4" t="n">
        <v>1.9343213</v>
      </c>
      <c r="D57" s="4" t="n">
        <v>1.8763907</v>
      </c>
      <c r="E57" s="4" t="n">
        <v>1.8516843</v>
      </c>
      <c r="F57" s="4" t="n">
        <v>1.837763</v>
      </c>
      <c r="G57" s="4" t="n">
        <v>1.8203259</v>
      </c>
      <c r="H57" s="4" t="n">
        <v>1.7949749</v>
      </c>
      <c r="I57" s="4" t="n">
        <v>1.7608321</v>
      </c>
      <c r="J57" s="4" t="n">
        <v>1.718133</v>
      </c>
      <c r="K57" s="4" t="n">
        <v>1.6674853</v>
      </c>
      <c r="L57" s="4" t="n">
        <v>1.6096523</v>
      </c>
      <c r="M57" s="4" t="n">
        <v>1.5454397</v>
      </c>
      <c r="N57" s="4" t="n">
        <v>1.4756774</v>
      </c>
    </row>
    <row r="58" customFormat="false" ht="15" hidden="false" customHeight="false" outlineLevel="0" collapsed="false">
      <c r="A58" s="0" t="n">
        <v>4.5</v>
      </c>
      <c r="B58" s="0" t="n">
        <v>2</v>
      </c>
      <c r="C58" s="4" t="n">
        <v>1.9264473</v>
      </c>
      <c r="D58" s="4" t="n">
        <v>1.8728601</v>
      </c>
      <c r="E58" s="4" t="n">
        <v>1.8568202</v>
      </c>
      <c r="F58" s="4" t="n">
        <v>1.847735</v>
      </c>
      <c r="G58" s="4" t="n">
        <v>1.8322685</v>
      </c>
      <c r="H58" s="4" t="n">
        <v>1.8074272</v>
      </c>
      <c r="I58" s="4" t="n">
        <v>1.7730368</v>
      </c>
      <c r="J58" s="4" t="n">
        <v>1.7296967</v>
      </c>
      <c r="K58" s="4" t="n">
        <v>1.678231</v>
      </c>
      <c r="L58" s="4" t="n">
        <v>1.6195188</v>
      </c>
      <c r="M58" s="4" t="n">
        <v>1.5544309</v>
      </c>
      <c r="N58" s="4" t="n">
        <v>1.4838272</v>
      </c>
    </row>
    <row r="59" customFormat="false" ht="15" hidden="false" customHeight="false" outlineLevel="0" collapsed="false">
      <c r="A59" s="0" t="n">
        <v>5</v>
      </c>
      <c r="B59" s="0" t="n">
        <v>2</v>
      </c>
      <c r="C59" s="4" t="n">
        <v>1.9191785</v>
      </c>
      <c r="D59" s="4" t="n">
        <v>1.8715909</v>
      </c>
      <c r="E59" s="4" t="n">
        <v>1.8652046</v>
      </c>
      <c r="F59" s="4" t="n">
        <v>1.8574765</v>
      </c>
      <c r="G59" s="4" t="n">
        <v>1.8430453</v>
      </c>
      <c r="H59" s="4" t="n">
        <v>1.8181556</v>
      </c>
      <c r="I59" s="4" t="n">
        <v>1.7832011</v>
      </c>
      <c r="J59" s="4" t="n">
        <v>1.7390731</v>
      </c>
      <c r="K59" s="4" t="n">
        <v>1.6867491</v>
      </c>
      <c r="L59" s="4" t="n">
        <v>1.6272149</v>
      </c>
      <c r="M59" s="4" t="n">
        <v>1.5613461</v>
      </c>
      <c r="N59" s="4" t="n">
        <v>1.4900257</v>
      </c>
    </row>
    <row r="60" customFormat="false" ht="15" hidden="false" customHeight="false" outlineLevel="0" collapsed="false">
      <c r="A60" s="0" t="n">
        <v>6</v>
      </c>
      <c r="B60" s="0" t="n">
        <v>2</v>
      </c>
      <c r="C60" s="4" t="n">
        <v>1.9066985</v>
      </c>
      <c r="D60" s="4" t="n">
        <v>1.8741557</v>
      </c>
      <c r="E60" s="4" t="n">
        <v>1.8772933</v>
      </c>
      <c r="F60" s="4" t="n">
        <v>1.8752459</v>
      </c>
      <c r="G60" s="4" t="n">
        <v>1.8611884</v>
      </c>
      <c r="H60" s="4" t="n">
        <v>1.835294</v>
      </c>
      <c r="I60" s="4" t="n">
        <v>1.7988073</v>
      </c>
      <c r="J60" s="4" t="n">
        <v>1.7530357</v>
      </c>
      <c r="K60" s="4" t="n">
        <v>1.6991506</v>
      </c>
      <c r="L60" s="4" t="n">
        <v>1.6381839</v>
      </c>
      <c r="M60" s="4" t="n">
        <v>1.571054</v>
      </c>
      <c r="N60" s="4" t="n">
        <v>1.4986224</v>
      </c>
    </row>
    <row r="61" customFormat="false" ht="15" hidden="false" customHeight="false" outlineLevel="0" collapsed="false">
      <c r="A61" s="0" t="n">
        <v>7</v>
      </c>
      <c r="B61" s="0" t="n">
        <v>2</v>
      </c>
      <c r="C61" s="4" t="n">
        <v>1.8972025</v>
      </c>
      <c r="D61" s="4" t="n">
        <v>1.8808308</v>
      </c>
      <c r="E61" s="4" t="n">
        <v>1.8911403</v>
      </c>
      <c r="F61" s="4" t="n">
        <v>1.8902959</v>
      </c>
      <c r="G61" s="4" t="n">
        <v>1.8754007</v>
      </c>
      <c r="H61" s="4" t="n">
        <v>1.8479983</v>
      </c>
      <c r="I61" s="4" t="n">
        <v>1.8098978</v>
      </c>
      <c r="J61" s="4" t="n">
        <v>1.7626404</v>
      </c>
      <c r="K61" s="4" t="n">
        <v>1.707462</v>
      </c>
      <c r="L61" s="4" t="n">
        <v>1.645396</v>
      </c>
      <c r="M61" s="4" t="n">
        <v>1.5773421</v>
      </c>
      <c r="N61" s="4" t="n">
        <v>1.5041237</v>
      </c>
    </row>
    <row r="62" customFormat="false" ht="15" hidden="false" customHeight="false" outlineLevel="0" collapsed="false">
      <c r="A62" s="0" t="n">
        <v>8</v>
      </c>
      <c r="B62" s="0" t="n">
        <v>2</v>
      </c>
      <c r="C62" s="4" t="n">
        <v>1.8906735</v>
      </c>
      <c r="D62" s="4" t="n">
        <v>1.8893943</v>
      </c>
      <c r="E62" s="4" t="n">
        <v>1.9037986</v>
      </c>
      <c r="F62" s="4" t="n">
        <v>1.9027991</v>
      </c>
      <c r="G62" s="4" t="n">
        <v>1.8865235</v>
      </c>
      <c r="H62" s="4" t="n">
        <v>1.8575153</v>
      </c>
      <c r="I62" s="4" t="n">
        <v>1.8179511</v>
      </c>
      <c r="J62" s="4" t="n">
        <v>1.7694507</v>
      </c>
      <c r="K62" s="4" t="n">
        <v>1.7132534</v>
      </c>
      <c r="L62" s="4" t="n">
        <v>1.6503536</v>
      </c>
      <c r="M62" s="4" t="n">
        <v>1.5816157</v>
      </c>
      <c r="N62" s="4" t="n">
        <v>1.5078364</v>
      </c>
    </row>
    <row r="63" customFormat="false" ht="15" hidden="false" customHeight="false" outlineLevel="0" collapsed="false">
      <c r="A63" s="0" t="n">
        <v>10</v>
      </c>
      <c r="B63" s="0" t="n">
        <v>2</v>
      </c>
      <c r="C63" s="4" t="n">
        <v>1.8854155</v>
      </c>
      <c r="D63" s="4" t="n">
        <v>1.907586</v>
      </c>
      <c r="E63" s="4" t="n">
        <v>1.9248544</v>
      </c>
      <c r="F63" s="4" t="n">
        <v>1.9216225</v>
      </c>
      <c r="G63" s="4" t="n">
        <v>1.9022129</v>
      </c>
      <c r="H63" s="4" t="n">
        <v>1.8703588</v>
      </c>
      <c r="I63" s="4" t="n">
        <v>1.8284727</v>
      </c>
      <c r="J63" s="4" t="n">
        <v>1.778146</v>
      </c>
      <c r="K63" s="4" t="n">
        <v>1.7205191</v>
      </c>
      <c r="L63" s="4" t="n">
        <v>1.6564935</v>
      </c>
      <c r="M63" s="4" t="n">
        <v>1.5868584</v>
      </c>
      <c r="N63" s="4" t="n">
        <v>1.5123524</v>
      </c>
    </row>
    <row r="64" customFormat="false" ht="15" hidden="false" customHeight="false" outlineLevel="0" collapsed="false">
      <c r="A64" s="0" t="n">
        <v>12</v>
      </c>
      <c r="B64" s="0" t="n">
        <v>2</v>
      </c>
      <c r="C64" s="4" t="n">
        <v>1.8876297</v>
      </c>
      <c r="D64" s="4" t="n">
        <v>1.9243231</v>
      </c>
      <c r="E64" s="4" t="n">
        <v>1.9408134</v>
      </c>
      <c r="F64" s="4" t="n">
        <v>1.9345246</v>
      </c>
      <c r="G64" s="4" t="n">
        <v>1.9122898</v>
      </c>
      <c r="H64" s="4" t="n">
        <v>1.8782443</v>
      </c>
      <c r="I64" s="4" t="n">
        <v>1.8347389</v>
      </c>
      <c r="J64" s="4" t="n">
        <v>1.7832191</v>
      </c>
      <c r="K64" s="4" t="n">
        <v>1.724691</v>
      </c>
      <c r="L64" s="4" t="n">
        <v>1.6599792</v>
      </c>
      <c r="M64" s="4" t="n">
        <v>1.5898124</v>
      </c>
      <c r="N64" s="4" t="n">
        <v>1.514879</v>
      </c>
    </row>
    <row r="65" customFormat="false" ht="15" hidden="false" customHeight="false" outlineLevel="0" collapsed="false">
      <c r="A65" s="0" t="n">
        <v>15</v>
      </c>
      <c r="B65" s="0" t="n">
        <v>2</v>
      </c>
      <c r="C65" s="4" t="n">
        <v>1.898046</v>
      </c>
      <c r="D65" s="4" t="n">
        <v>1.9449893</v>
      </c>
      <c r="E65" s="4" t="n">
        <v>1.9576949</v>
      </c>
      <c r="F65" s="4" t="n">
        <v>1.9470431</v>
      </c>
      <c r="G65" s="4" t="n">
        <v>1.9215589</v>
      </c>
      <c r="H65" s="4" t="n">
        <v>1.8852675</v>
      </c>
      <c r="I65" s="4" t="n">
        <v>1.8402027</v>
      </c>
      <c r="J65" s="4" t="n">
        <v>1.7875704</v>
      </c>
      <c r="K65" s="4" t="n">
        <v>1.7282369</v>
      </c>
      <c r="L65" s="4" t="n">
        <v>1.6629184</v>
      </c>
      <c r="M65" s="4" t="n">
        <v>1.5922831</v>
      </c>
      <c r="N65" s="4" t="n">
        <v>1.5169845</v>
      </c>
    </row>
    <row r="66" customFormat="false" ht="15" hidden="false" customHeight="false" outlineLevel="0" collapsed="false">
      <c r="A66" s="0" t="n">
        <v>20</v>
      </c>
      <c r="B66" s="0" t="n">
        <v>2</v>
      </c>
      <c r="C66" s="4" t="n">
        <v>1.9201707</v>
      </c>
      <c r="D66" s="4" t="n">
        <v>1.9690214</v>
      </c>
      <c r="E66" s="4" t="n">
        <v>1.9743436</v>
      </c>
      <c r="F66" s="4" t="n">
        <v>1.9583547</v>
      </c>
      <c r="G66" s="4" t="n">
        <v>1.9295376</v>
      </c>
      <c r="H66" s="4" t="n">
        <v>1.8911343</v>
      </c>
      <c r="I66" s="4" t="n">
        <v>1.8446777</v>
      </c>
      <c r="J66" s="4" t="n">
        <v>1.7910947</v>
      </c>
      <c r="K66" s="4" t="n">
        <v>1.7310758</v>
      </c>
      <c r="L66" s="4" t="n">
        <v>1.6652577</v>
      </c>
      <c r="M66" s="4" t="n">
        <v>1.5942431</v>
      </c>
      <c r="N66" s="4" t="n">
        <v>1.5186494</v>
      </c>
    </row>
    <row r="68" customFormat="false" ht="15" hidden="false" customHeight="false" outlineLevel="0" collapsed="false">
      <c r="C68" s="10" t="s">
        <v>5</v>
      </c>
      <c r="D68" s="10"/>
      <c r="E68" s="10"/>
    </row>
    <row r="69" customFormat="false" ht="15" hidden="false" customHeight="false" outlineLevel="0" collapsed="false">
      <c r="A69" s="11" t="s">
        <v>6</v>
      </c>
      <c r="B69" s="0" t="n">
        <v>0</v>
      </c>
      <c r="C69" s="0" t="n">
        <v>0.4</v>
      </c>
      <c r="D69" s="0" t="n">
        <v>0.8</v>
      </c>
      <c r="E69" s="0" t="n">
        <v>1.2</v>
      </c>
      <c r="F69" s="0" t="n">
        <v>1.6</v>
      </c>
      <c r="G69" s="0" t="n">
        <v>2</v>
      </c>
    </row>
    <row r="70" customFormat="false" ht="15" hidden="false" customHeight="false" outlineLevel="0" collapsed="false">
      <c r="A70" s="0" t="n">
        <v>0</v>
      </c>
      <c r="B70" s="12" t="n">
        <v>1.571</v>
      </c>
      <c r="C70" s="12" t="n">
        <v>1.571</v>
      </c>
      <c r="D70" s="12" t="n">
        <v>1.571</v>
      </c>
      <c r="E70" s="12" t="n">
        <v>1.571</v>
      </c>
      <c r="F70" s="12" t="n">
        <v>1.571</v>
      </c>
      <c r="G70" s="12" t="n">
        <v>1.571</v>
      </c>
    </row>
    <row r="71" customFormat="false" ht="15" hidden="false" customHeight="false" outlineLevel="0" collapsed="false">
      <c r="A71" s="6" t="n">
        <v>0.05</v>
      </c>
      <c r="B71" s="12" t="n">
        <v>1.563</v>
      </c>
      <c r="C71" s="12" t="n">
        <v>1.602</v>
      </c>
      <c r="D71" s="12" t="n">
        <v>1.621</v>
      </c>
      <c r="E71" s="12" t="n">
        <v>1.628</v>
      </c>
      <c r="F71" s="12" t="n">
        <v>1.625</v>
      </c>
      <c r="G71" s="12" t="n">
        <v>1.613</v>
      </c>
    </row>
    <row r="72" customFormat="false" ht="15" hidden="false" customHeight="false" outlineLevel="0" collapsed="false">
      <c r="A72" s="6" t="n">
        <v>0.1</v>
      </c>
      <c r="B72" s="12" t="n">
        <v>1.546</v>
      </c>
      <c r="C72" s="12" t="n">
        <v>1.622</v>
      </c>
      <c r="D72" s="12" t="n">
        <v>1.661</v>
      </c>
      <c r="E72" s="12" t="n">
        <v>1.676</v>
      </c>
      <c r="F72" s="12" t="n">
        <v>1.67</v>
      </c>
      <c r="G72" s="12" t="n">
        <v>1.648</v>
      </c>
    </row>
    <row r="73" customFormat="false" ht="15" hidden="false" customHeight="false" outlineLevel="0" collapsed="false">
      <c r="A73" s="6" t="n">
        <v>0.15</v>
      </c>
      <c r="B73" s="12" t="n">
        <v>1.523</v>
      </c>
      <c r="C73" s="12" t="n">
        <v>1.635</v>
      </c>
      <c r="D73" s="12" t="n">
        <v>1.693</v>
      </c>
      <c r="E73" s="12" t="n">
        <v>1.716</v>
      </c>
      <c r="F73" s="12" t="n">
        <v>1.71</v>
      </c>
      <c r="G73" s="12" t="n">
        <v>1.679</v>
      </c>
    </row>
    <row r="74" customFormat="false" ht="15" hidden="false" customHeight="false" outlineLevel="0" collapsed="false">
      <c r="A74" s="6" t="n">
        <v>0.2</v>
      </c>
      <c r="B74" s="12" t="n">
        <v>1.495</v>
      </c>
      <c r="C74" s="12" t="n">
        <v>1.642</v>
      </c>
      <c r="D74" s="12" t="n">
        <v>1.719</v>
      </c>
      <c r="E74" s="12" t="n">
        <v>1.75</v>
      </c>
      <c r="F74" s="12" t="n">
        <v>1.745</v>
      </c>
      <c r="G74" s="12" t="n">
        <v>1.706</v>
      </c>
    </row>
    <row r="75" customFormat="false" ht="15" hidden="false" customHeight="false" outlineLevel="0" collapsed="false">
      <c r="A75" s="6" t="n">
        <v>0.3</v>
      </c>
      <c r="B75" s="12" t="n">
        <v>1.433</v>
      </c>
      <c r="C75" s="12" t="n">
        <v>1.643</v>
      </c>
      <c r="D75" s="12" t="n">
        <v>1.755</v>
      </c>
      <c r="E75" s="12" t="n">
        <v>1.804</v>
      </c>
      <c r="F75" s="12" t="n">
        <v>1.801</v>
      </c>
      <c r="G75" s="12" t="n">
        <v>1.752</v>
      </c>
    </row>
    <row r="76" customFormat="false" ht="15" hidden="false" customHeight="false" outlineLevel="0" collapsed="false">
      <c r="A76" s="6" t="n">
        <v>0.4</v>
      </c>
      <c r="B76" s="12" t="n">
        <v>1.365</v>
      </c>
      <c r="C76" s="12" t="n">
        <v>1.632</v>
      </c>
      <c r="D76" s="12" t="n">
        <v>1.776</v>
      </c>
      <c r="E76" s="12" t="n">
        <v>1.843</v>
      </c>
      <c r="F76" s="12" t="n">
        <v>1.845</v>
      </c>
      <c r="G76" s="12" t="n">
        <v>1.789</v>
      </c>
    </row>
    <row r="77" customFormat="false" ht="15" hidden="false" customHeight="false" outlineLevel="0" collapsed="false">
      <c r="A77" s="6" t="n">
        <v>0.5</v>
      </c>
      <c r="B77" s="12" t="n">
        <v>1.297</v>
      </c>
      <c r="C77" s="12" t="n">
        <v>1.613</v>
      </c>
      <c r="D77" s="12" t="n">
        <v>1.787</v>
      </c>
      <c r="E77" s="12" t="n">
        <v>1.871</v>
      </c>
      <c r="F77" s="12" t="n">
        <v>1.88</v>
      </c>
      <c r="G77" s="12" t="n">
        <v>1.82</v>
      </c>
    </row>
    <row r="78" customFormat="false" ht="15" hidden="false" customHeight="false" outlineLevel="0" collapsed="false">
      <c r="A78" s="6" t="n">
        <v>0.6</v>
      </c>
      <c r="B78" s="12" t="n">
        <v>1.231</v>
      </c>
      <c r="C78" s="12" t="n">
        <v>1.59</v>
      </c>
      <c r="D78" s="12" t="n">
        <v>1.79</v>
      </c>
      <c r="E78" s="12" t="n">
        <v>1.891</v>
      </c>
      <c r="F78" s="12" t="n">
        <v>1.906</v>
      </c>
      <c r="G78" s="12" t="n">
        <v>1.845</v>
      </c>
    </row>
    <row r="79" customFormat="false" ht="23.25" hidden="false" customHeight="true" outlineLevel="0" collapsed="false">
      <c r="A79" s="6" t="n">
        <v>0.7</v>
      </c>
      <c r="B79" s="12" t="n">
        <v>1.167</v>
      </c>
      <c r="C79" s="12" t="n">
        <v>1.564</v>
      </c>
      <c r="D79" s="12" t="n">
        <v>1.788</v>
      </c>
      <c r="E79" s="12" t="n">
        <v>1.904</v>
      </c>
      <c r="F79" s="12" t="n">
        <v>1.927</v>
      </c>
      <c r="G79" s="12" t="n">
        <v>1.865</v>
      </c>
    </row>
    <row r="80" customFormat="false" ht="15" hidden="false" customHeight="false" outlineLevel="0" collapsed="false">
      <c r="A80" s="6" t="n">
        <v>0.8</v>
      </c>
      <c r="B80" s="12" t="n">
        <v>1.108</v>
      </c>
      <c r="C80" s="12" t="n">
        <v>1.537</v>
      </c>
      <c r="D80" s="12" t="n">
        <v>1.782</v>
      </c>
      <c r="E80" s="12" t="n">
        <v>1.913</v>
      </c>
      <c r="F80" s="12" t="n">
        <v>1.944</v>
      </c>
      <c r="G80" s="12" t="n">
        <v>1.882</v>
      </c>
    </row>
    <row r="81" customFormat="false" ht="15" hidden="false" customHeight="false" outlineLevel="0" collapsed="false">
      <c r="A81" s="6" t="n">
        <v>0.9</v>
      </c>
      <c r="B81" s="12" t="n">
        <v>1.052</v>
      </c>
      <c r="C81" s="12" t="n">
        <v>1.509</v>
      </c>
      <c r="D81" s="12" t="n">
        <v>1.774</v>
      </c>
      <c r="E81" s="12" t="n">
        <v>1.918</v>
      </c>
      <c r="F81" s="12" t="n">
        <v>1.957</v>
      </c>
      <c r="G81" s="12" t="n">
        <v>1.897</v>
      </c>
    </row>
    <row r="82" customFormat="false" ht="15" hidden="false" customHeight="false" outlineLevel="0" collapsed="false">
      <c r="A82" s="6" t="n">
        <v>1</v>
      </c>
      <c r="B82" s="12" t="n">
        <v>1</v>
      </c>
      <c r="C82" s="12" t="n">
        <v>1.482</v>
      </c>
      <c r="D82" s="12" t="n">
        <v>1.764</v>
      </c>
      <c r="E82" s="12" t="n">
        <v>1.921</v>
      </c>
      <c r="F82" s="12" t="n">
        <v>1.967</v>
      </c>
      <c r="G82" s="12" t="n">
        <v>1.909</v>
      </c>
    </row>
    <row r="84" customFormat="false" ht="15" hidden="false" customHeight="false" outlineLevel="0" collapsed="false">
      <c r="C84" s="10" t="s">
        <v>7</v>
      </c>
      <c r="D84" s="10"/>
      <c r="E84" s="10"/>
    </row>
    <row r="85" customFormat="false" ht="15" hidden="false" customHeight="false" outlineLevel="0" collapsed="false">
      <c r="A85" s="11" t="s">
        <v>6</v>
      </c>
      <c r="B85" s="0" t="n">
        <v>0</v>
      </c>
      <c r="C85" s="0" t="n">
        <v>0.4</v>
      </c>
      <c r="D85" s="0" t="n">
        <v>0.8</v>
      </c>
      <c r="E85" s="0" t="n">
        <v>1.2</v>
      </c>
      <c r="F85" s="0" t="n">
        <v>1.6</v>
      </c>
      <c r="G85" s="0" t="n">
        <v>2</v>
      </c>
    </row>
    <row r="86" customFormat="false" ht="15" hidden="false" customHeight="false" outlineLevel="0" collapsed="false">
      <c r="A86" s="0" t="n">
        <v>0</v>
      </c>
      <c r="B86" s="12" t="n">
        <v>0.667</v>
      </c>
      <c r="C86" s="12" t="n">
        <v>0.667</v>
      </c>
      <c r="D86" s="12" t="n">
        <v>0.667</v>
      </c>
      <c r="E86" s="12" t="n">
        <v>0.667</v>
      </c>
      <c r="F86" s="12" t="n">
        <v>0.667</v>
      </c>
      <c r="G86" s="12" t="n">
        <v>0.667</v>
      </c>
    </row>
    <row r="87" customFormat="false" ht="15" hidden="false" customHeight="false" outlineLevel="0" collapsed="false">
      <c r="A87" s="6" t="n">
        <v>0.05</v>
      </c>
      <c r="B87" s="12" t="n">
        <v>0.667</v>
      </c>
      <c r="C87" s="12" t="n">
        <v>0.662</v>
      </c>
      <c r="D87" s="12" t="n">
        <v>0.653</v>
      </c>
      <c r="E87" s="12" t="n">
        <v>0.642</v>
      </c>
      <c r="F87" s="12" t="n">
        <v>0.63</v>
      </c>
      <c r="G87" s="12" t="n">
        <v>0.615</v>
      </c>
    </row>
    <row r="88" customFormat="false" ht="15" hidden="false" customHeight="false" outlineLevel="0" collapsed="false">
      <c r="A88" s="6" t="n">
        <v>0.1</v>
      </c>
      <c r="B88" s="12" t="n">
        <v>0.667</v>
      </c>
      <c r="C88" s="12" t="n">
        <v>0.657</v>
      </c>
      <c r="D88" s="12" t="n">
        <v>0.641</v>
      </c>
      <c r="E88" s="12" t="n">
        <v>0.621</v>
      </c>
      <c r="F88" s="12" t="n">
        <v>0.598</v>
      </c>
      <c r="G88" s="12" t="n">
        <v>0.573</v>
      </c>
    </row>
    <row r="89" customFormat="false" ht="15" hidden="false" customHeight="false" outlineLevel="0" collapsed="false">
      <c r="A89" s="6" t="n">
        <v>0.15</v>
      </c>
      <c r="B89" s="12" t="n">
        <v>0.667</v>
      </c>
      <c r="C89" s="12" t="n">
        <v>0.652</v>
      </c>
      <c r="D89" s="12" t="n">
        <v>0.629</v>
      </c>
      <c r="E89" s="12" t="n">
        <v>0.602</v>
      </c>
      <c r="F89" s="12" t="n">
        <v>0.572</v>
      </c>
      <c r="G89" s="12" t="n">
        <v>0.537</v>
      </c>
    </row>
    <row r="90" customFormat="false" ht="15" hidden="false" customHeight="false" outlineLevel="0" collapsed="false">
      <c r="A90" s="6" t="n">
        <v>0.2</v>
      </c>
      <c r="B90" s="12" t="n">
        <v>0.667</v>
      </c>
      <c r="C90" s="12" t="n">
        <v>0.648</v>
      </c>
      <c r="D90" s="12" t="n">
        <v>0.619</v>
      </c>
      <c r="E90" s="12" t="n">
        <v>0.586</v>
      </c>
      <c r="F90" s="12" t="n">
        <v>0.549</v>
      </c>
      <c r="G90" s="12" t="n">
        <v>0.507</v>
      </c>
    </row>
    <row r="91" customFormat="false" ht="15" hidden="false" customHeight="false" outlineLevel="0" collapsed="false">
      <c r="A91" s="6" t="n">
        <v>0.3</v>
      </c>
      <c r="B91" s="12" t="n">
        <v>0.667</v>
      </c>
      <c r="C91" s="12" t="n">
        <v>0.639</v>
      </c>
      <c r="D91" s="12" t="n">
        <v>0.601</v>
      </c>
      <c r="E91" s="12" t="n">
        <v>0.559</v>
      </c>
      <c r="F91" s="12" t="n">
        <v>0.513</v>
      </c>
      <c r="G91" s="12" t="n">
        <v>0.46</v>
      </c>
    </row>
    <row r="92" customFormat="false" ht="15" hidden="false" customHeight="false" outlineLevel="0" collapsed="false">
      <c r="A92" s="6" t="n">
        <v>0.4</v>
      </c>
      <c r="B92" s="12" t="n">
        <v>0.667</v>
      </c>
      <c r="C92" s="12" t="n">
        <v>0.632</v>
      </c>
      <c r="D92" s="12" t="n">
        <v>0.586</v>
      </c>
      <c r="E92" s="12" t="n">
        <v>0.538</v>
      </c>
      <c r="F92" s="12" t="n">
        <v>0.485</v>
      </c>
      <c r="G92" s="12" t="n">
        <v>0.426</v>
      </c>
    </row>
    <row r="93" customFormat="false" ht="15" hidden="false" customHeight="false" outlineLevel="0" collapsed="false">
      <c r="A93" s="6" t="n">
        <v>0.5</v>
      </c>
      <c r="B93" s="12" t="n">
        <v>0.667</v>
      </c>
      <c r="C93" s="12" t="n">
        <v>0.624</v>
      </c>
      <c r="D93" s="12" t="n">
        <v>0.573</v>
      </c>
      <c r="E93" s="12" t="n">
        <v>0.52</v>
      </c>
      <c r="F93" s="12" t="n">
        <v>0.464</v>
      </c>
      <c r="G93" s="12" t="n">
        <v>0.4</v>
      </c>
    </row>
    <row r="94" customFormat="false" ht="15" hidden="false" customHeight="false" outlineLevel="0" collapsed="false">
      <c r="A94" s="6" t="n">
        <v>0.6</v>
      </c>
      <c r="B94" s="12" t="n">
        <v>0.667</v>
      </c>
      <c r="C94" s="12" t="n">
        <v>0.618</v>
      </c>
      <c r="D94" s="12" t="n">
        <v>0.562</v>
      </c>
      <c r="E94" s="12" t="n">
        <v>0.506</v>
      </c>
      <c r="F94" s="12" t="n">
        <v>0.448</v>
      </c>
      <c r="G94" s="12" t="n">
        <v>0.381</v>
      </c>
    </row>
    <row r="95" customFormat="false" ht="15" hidden="false" customHeight="false" outlineLevel="0" collapsed="false">
      <c r="A95" s="6" t="n">
        <v>0.7</v>
      </c>
      <c r="B95" s="12" t="n">
        <v>0.667</v>
      </c>
      <c r="C95" s="12" t="n">
        <v>0.611</v>
      </c>
      <c r="D95" s="12" t="n">
        <v>0.552</v>
      </c>
      <c r="E95" s="12" t="n">
        <v>0.495</v>
      </c>
      <c r="F95" s="12" t="n">
        <v>0.435</v>
      </c>
      <c r="G95" s="12" t="n">
        <v>0.366</v>
      </c>
    </row>
    <row r="96" customFormat="false" ht="15" hidden="false" customHeight="false" outlineLevel="0" collapsed="false">
      <c r="A96" s="6" t="n">
        <v>0.8</v>
      </c>
      <c r="B96" s="12" t="n">
        <v>0.667</v>
      </c>
      <c r="C96" s="12" t="n">
        <v>0.606</v>
      </c>
      <c r="D96" s="12" t="n">
        <v>0.543</v>
      </c>
      <c r="E96" s="12" t="n">
        <v>0.486</v>
      </c>
      <c r="F96" s="12" t="n">
        <v>0.425</v>
      </c>
      <c r="G96" s="12" t="n">
        <v>0.354</v>
      </c>
    </row>
    <row r="97" customFormat="false" ht="15" hidden="false" customHeight="false" outlineLevel="0" collapsed="false">
      <c r="A97" s="6" t="n">
        <v>0.9</v>
      </c>
      <c r="B97" s="12" t="n">
        <v>0.667</v>
      </c>
      <c r="C97" s="12" t="n">
        <v>0.6</v>
      </c>
      <c r="D97" s="12" t="n">
        <v>0.536</v>
      </c>
      <c r="E97" s="12" t="n">
        <v>0.478</v>
      </c>
      <c r="F97" s="12" t="n">
        <v>0.417</v>
      </c>
      <c r="G97" s="12" t="n">
        <v>0.345</v>
      </c>
    </row>
    <row r="98" customFormat="false" ht="15" hidden="false" customHeight="false" outlineLevel="0" collapsed="false">
      <c r="A98" s="6" t="n">
        <v>1</v>
      </c>
      <c r="B98" s="12" t="n">
        <v>0.667</v>
      </c>
      <c r="C98" s="12" t="n">
        <v>0.595</v>
      </c>
      <c r="D98" s="12" t="n">
        <v>0.529</v>
      </c>
      <c r="E98" s="12" t="n">
        <v>0.471</v>
      </c>
      <c r="F98" s="12" t="n">
        <v>0.41</v>
      </c>
      <c r="G98" s="12" t="n">
        <v>0.337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107"/>
  <sheetViews>
    <sheetView showFormulas="false" showGridLines="true" showRowColHeaders="true" showZeros="true" rightToLeft="false" tabSelected="true" showOutlineSymbols="true" defaultGridColor="true" view="normal" topLeftCell="A46" colorId="64" zoomScale="150" zoomScaleNormal="150" zoomScalePageLayoutView="100" workbookViewId="0">
      <selection pane="topLeft" activeCell="A61" activeCellId="0" sqref="A6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17.85"/>
    <col collapsed="false" customWidth="true" hidden="false" outlineLevel="0" max="3" min="3" style="0" width="15.41"/>
    <col collapsed="false" customWidth="true" hidden="false" outlineLevel="0" max="4" min="4" style="0" width="16.7"/>
    <col collapsed="false" customWidth="true" hidden="false" outlineLevel="0" max="5" min="5" style="0" width="15.56"/>
    <col collapsed="false" customWidth="true" hidden="false" outlineLevel="0" max="6" min="6" style="0" width="16.7"/>
    <col collapsed="false" customWidth="true" hidden="false" outlineLevel="0" max="7" min="7" style="0" width="15.99"/>
    <col collapsed="false" customWidth="true" hidden="false" outlineLevel="0" max="8" min="8" style="0" width="15.13"/>
    <col collapsed="false" customWidth="true" hidden="false" outlineLevel="0" max="9" min="9" style="0" width="19.56"/>
    <col collapsed="false" customWidth="true" hidden="false" outlineLevel="0" max="10" min="10" style="0" width="18.99"/>
    <col collapsed="false" customWidth="true" hidden="false" outlineLevel="0" max="11" min="11" style="0" width="12.56"/>
    <col collapsed="false" customWidth="true" hidden="false" outlineLevel="0" max="12" min="12" style="0" width="17.99"/>
    <col collapsed="false" customWidth="true" hidden="false" outlineLevel="0" max="13" min="13" style="0" width="12.56"/>
    <col collapsed="false" customWidth="true" hidden="false" outlineLevel="0" max="14" min="14" style="0" width="13.7"/>
    <col collapsed="false" customWidth="true" hidden="false" outlineLevel="0" max="15" min="15" style="0" width="16.42"/>
    <col collapsed="false" customWidth="true" hidden="false" outlineLevel="0" max="16" min="16" style="0" width="14.99"/>
    <col collapsed="false" customWidth="true" hidden="false" outlineLevel="0" max="17" min="17" style="0" width="16.42"/>
    <col collapsed="false" customWidth="true" hidden="false" outlineLevel="0" max="18" min="18" style="0" width="13.7"/>
    <col collapsed="false" customWidth="true" hidden="false" outlineLevel="0" max="19" min="19" style="0" width="11.42"/>
    <col collapsed="false" customWidth="true" hidden="false" outlineLevel="0" max="20" min="20" style="0" width="19.41"/>
    <col collapsed="false" customWidth="true" hidden="false" outlineLevel="0" max="21" min="21" style="0" width="24.41"/>
    <col collapsed="false" customWidth="true" hidden="false" outlineLevel="0" max="22" min="22" style="0" width="18.14"/>
    <col collapsed="false" customWidth="true" hidden="false" outlineLevel="0" max="23" min="23" style="0" width="13.7"/>
    <col collapsed="false" customWidth="true" hidden="false" outlineLevel="0" max="24" min="24" style="0" width="16.7"/>
    <col collapsed="false" customWidth="true" hidden="false" outlineLevel="0" max="25" min="25" style="0" width="15.41"/>
    <col collapsed="false" customWidth="true" hidden="false" outlineLevel="0" max="26" min="26" style="0" width="13.99"/>
    <col collapsed="false" customWidth="true" hidden="false" outlineLevel="0" max="27" min="27" style="0" width="15.41"/>
    <col collapsed="false" customWidth="true" hidden="false" outlineLevel="0" max="28" min="28" style="0" width="14.56"/>
    <col collapsed="false" customWidth="true" hidden="false" outlineLevel="0" max="29" min="29" style="0" width="14.14"/>
    <col collapsed="false" customWidth="true" hidden="false" outlineLevel="0" max="30" min="30" style="0" width="13.41"/>
    <col collapsed="false" customWidth="true" hidden="false" outlineLevel="0" max="31" min="31" style="0" width="11.56"/>
    <col collapsed="false" customWidth="true" hidden="false" outlineLevel="0" max="32" min="32" style="0" width="13.28"/>
    <col collapsed="false" customWidth="true" hidden="false" outlineLevel="0" max="33" min="33" style="0" width="13.56"/>
    <col collapsed="false" customWidth="true" hidden="false" outlineLevel="0" max="34" min="34" style="0" width="14.28"/>
    <col collapsed="false" customWidth="true" hidden="false" outlineLevel="0" max="35" min="35" style="0" width="17.56"/>
    <col collapsed="false" customWidth="true" hidden="false" outlineLevel="0" max="36" min="36" style="0" width="15.56"/>
    <col collapsed="false" customWidth="true" hidden="false" outlineLevel="0" max="37" min="37" style="0" width="17.14"/>
    <col collapsed="false" customWidth="true" hidden="false" outlineLevel="0" max="38" min="38" style="0" width="12.99"/>
    <col collapsed="false" customWidth="true" hidden="false" outlineLevel="0" max="39" min="39" style="0" width="15.7"/>
    <col collapsed="false" customWidth="true" hidden="false" outlineLevel="0" max="40" min="40" style="0" width="13.99"/>
    <col collapsed="false" customWidth="true" hidden="false" outlineLevel="0" max="41" min="41" style="0" width="12.7"/>
    <col collapsed="false" customWidth="true" hidden="false" outlineLevel="0" max="42" min="42" style="0" width="11.42"/>
    <col collapsed="false" customWidth="true" hidden="false" outlineLevel="0" max="43" min="43" style="0" width="14.7"/>
    <col collapsed="false" customWidth="true" hidden="false" outlineLevel="0" max="44" min="44" style="0" width="12.7"/>
    <col collapsed="false" customWidth="true" hidden="false" outlineLevel="0" max="45" min="45" style="0" width="18.41"/>
    <col collapsed="false" customWidth="true" hidden="false" outlineLevel="0" max="46" min="46" style="0" width="14.14"/>
    <col collapsed="false" customWidth="true" hidden="false" outlineLevel="0" max="47" min="47" style="0" width="13.56"/>
    <col collapsed="false" customWidth="true" hidden="false" outlineLevel="0" max="48" min="48" style="0" width="14.56"/>
    <col collapsed="false" customWidth="true" hidden="false" outlineLevel="0" max="49" min="49" style="0" width="18.85"/>
    <col collapsed="false" customWidth="true" hidden="false" outlineLevel="0" max="50" min="50" style="0" width="21.28"/>
    <col collapsed="false" customWidth="true" hidden="false" outlineLevel="0" max="51" min="51" style="0" width="18.28"/>
    <col collapsed="false" customWidth="true" hidden="false" outlineLevel="0" max="52" min="52" style="0" width="18.99"/>
    <col collapsed="false" customWidth="true" hidden="false" outlineLevel="0" max="53" min="53" style="0" width="14.99"/>
    <col collapsed="false" customWidth="true" hidden="false" outlineLevel="0" max="54" min="54" style="0" width="13.99"/>
    <col collapsed="false" customWidth="true" hidden="false" outlineLevel="0" max="55" min="55" style="0" width="15.13"/>
    <col collapsed="false" customWidth="true" hidden="false" outlineLevel="0" max="57" min="57" style="0" width="12.99"/>
    <col collapsed="false" customWidth="true" hidden="false" outlineLevel="0" max="64" min="64" style="0" width="15.41"/>
  </cols>
  <sheetData>
    <row r="1" customFormat="false" ht="21" hidden="false" customHeight="true" outlineLevel="0" collapsed="false">
      <c r="A1" s="13" t="s">
        <v>8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  <c r="X1" s="0" t="n">
        <v>24</v>
      </c>
      <c r="Y1" s="0" t="n">
        <v>25</v>
      </c>
      <c r="Z1" s="0" t="n">
        <v>26</v>
      </c>
      <c r="AA1" s="0" t="n">
        <v>27</v>
      </c>
      <c r="AB1" s="0" t="n">
        <v>28</v>
      </c>
      <c r="AC1" s="0" t="n">
        <v>29</v>
      </c>
      <c r="AD1" s="0" t="n">
        <v>30</v>
      </c>
      <c r="AE1" s="0" t="n">
        <v>31</v>
      </c>
      <c r="AF1" s="0" t="n">
        <v>32</v>
      </c>
      <c r="AG1" s="0" t="n">
        <v>33</v>
      </c>
      <c r="AH1" s="0" t="n">
        <v>34</v>
      </c>
      <c r="AI1" s="0" t="n">
        <v>35</v>
      </c>
      <c r="AJ1" s="0" t="n">
        <v>36</v>
      </c>
      <c r="AK1" s="0" t="n">
        <v>39</v>
      </c>
      <c r="AL1" s="0" t="n">
        <v>40</v>
      </c>
      <c r="AM1" s="0" t="n">
        <v>41</v>
      </c>
      <c r="AN1" s="0" t="n">
        <v>42</v>
      </c>
      <c r="AO1" s="0" t="n">
        <v>43</v>
      </c>
      <c r="AP1" s="0" t="n">
        <v>44</v>
      </c>
      <c r="AQ1" s="0" t="n">
        <v>45</v>
      </c>
      <c r="AR1" s="0" t="n">
        <v>46</v>
      </c>
      <c r="AS1" s="0" t="n">
        <v>47</v>
      </c>
      <c r="AT1" s="0" t="n">
        <v>48</v>
      </c>
      <c r="AU1" s="0" t="n">
        <v>49</v>
      </c>
      <c r="AV1" s="0" t="n">
        <v>50</v>
      </c>
      <c r="AW1" s="0" t="n">
        <v>51</v>
      </c>
      <c r="AX1" s="0" t="n">
        <v>52</v>
      </c>
      <c r="AY1" s="0" t="n">
        <v>53</v>
      </c>
      <c r="AZ1" s="0" t="n">
        <v>54</v>
      </c>
      <c r="BA1" s="0" t="n">
        <v>55</v>
      </c>
    </row>
    <row r="2" customFormat="false" ht="19.5" hidden="false" customHeight="true" outlineLevel="0" collapsed="false">
      <c r="A2" s="14"/>
      <c r="C2" s="15" t="s">
        <v>9</v>
      </c>
      <c r="D2" s="16" t="n">
        <f aca="false">48.25/38</f>
        <v>1.26973684210526</v>
      </c>
      <c r="E2" s="0" t="s">
        <v>10</v>
      </c>
      <c r="F2" s="15" t="s">
        <v>11</v>
      </c>
      <c r="G2" s="16" t="n">
        <v>14.68</v>
      </c>
      <c r="H2" s="0" t="s">
        <v>12</v>
      </c>
      <c r="I2" s="17" t="s">
        <v>13</v>
      </c>
      <c r="J2" s="0" t="n">
        <f aca="false">PI()*(D5^2)</f>
        <v>3.97607820219958</v>
      </c>
      <c r="K2" s="0" t="s">
        <v>14</v>
      </c>
    </row>
    <row r="3" customFormat="false" ht="15" hidden="false" customHeight="false" outlineLevel="0" collapsed="false">
      <c r="A3" s="14"/>
      <c r="C3" s="15" t="s">
        <v>15</v>
      </c>
      <c r="D3" s="18" t="n">
        <f aca="false">MAX(D14:D60)</f>
        <v>55</v>
      </c>
      <c r="E3" s="0" t="s">
        <v>10</v>
      </c>
      <c r="F3" s="15" t="s">
        <v>16</v>
      </c>
      <c r="G3" s="19" t="e">
        <f aca="false">((BILINTERP(inputtables!A4:N22,SupersonicCalculations!D7,SupersonicCalculations!D6)))</f>
        <v>#VALUE!</v>
      </c>
      <c r="I3" s="15" t="s">
        <v>17</v>
      </c>
      <c r="J3" s="0" t="n">
        <f aca="false">J2</f>
        <v>3.97607820219958</v>
      </c>
      <c r="K3" s="0" t="s">
        <v>18</v>
      </c>
      <c r="N3" s="20"/>
    </row>
    <row r="4" customFormat="false" ht="45" hidden="false" customHeight="false" outlineLevel="0" collapsed="false">
      <c r="A4" s="21" t="s">
        <v>19</v>
      </c>
      <c r="C4" s="15" t="s">
        <v>20</v>
      </c>
      <c r="D4" s="22" t="n">
        <f aca="false">2*MAX(E14:E60)</f>
        <v>2.25</v>
      </c>
      <c r="E4" s="0" t="s">
        <v>10</v>
      </c>
      <c r="F4" s="15" t="s">
        <v>21</v>
      </c>
      <c r="G4" s="23" t="e">
        <f aca="false">BILINTERP(inputtables!A26:N44,SupersonicCalculations!D7,SupersonicCalculations!D6)</f>
        <v>#VALUE!</v>
      </c>
      <c r="I4" s="15"/>
      <c r="N4" s="24" t="s">
        <v>22</v>
      </c>
      <c r="O4" s="25" t="s">
        <v>23</v>
      </c>
      <c r="P4" s="25" t="s">
        <v>24</v>
      </c>
      <c r="Q4" s="25" t="s">
        <v>25</v>
      </c>
      <c r="R4" s="25" t="s">
        <v>26</v>
      </c>
      <c r="S4" s="25" t="s">
        <v>27</v>
      </c>
      <c r="T4" s="25" t="s">
        <v>28</v>
      </c>
      <c r="U4" s="25" t="s">
        <v>29</v>
      </c>
      <c r="V4" s="25" t="s">
        <v>30</v>
      </c>
      <c r="W4" s="26" t="s">
        <v>31</v>
      </c>
      <c r="X4" s="25" t="s">
        <v>32</v>
      </c>
      <c r="Y4" s="25" t="s">
        <v>33</v>
      </c>
    </row>
    <row r="5" customFormat="false" ht="15.75" hidden="false" customHeight="false" outlineLevel="0" collapsed="false">
      <c r="A5" s="27" t="s">
        <v>34</v>
      </c>
      <c r="B5" s="28"/>
      <c r="C5" s="15" t="s">
        <v>35</v>
      </c>
      <c r="D5" s="29" t="n">
        <f aca="false">D4/2</f>
        <v>1.125</v>
      </c>
      <c r="E5" s="0" t="s">
        <v>10</v>
      </c>
      <c r="F5" s="15" t="s">
        <v>36</v>
      </c>
      <c r="G5" s="23" t="e">
        <f aca="false">G4*G2</f>
        <v>#VALUE!</v>
      </c>
      <c r="H5" s="0" t="s">
        <v>12</v>
      </c>
      <c r="M5" s="30"/>
      <c r="O5" s="0" t="e">
        <f aca="false">ptotalratio(D6,1.4)</f>
        <v>#VALUE!</v>
      </c>
      <c r="P5" s="0" t="e">
        <f aca="false">O5*G2</f>
        <v>#VALUE!</v>
      </c>
      <c r="Q5" s="0" t="e">
        <f aca="false">cpt(D6,O5,1.4)</f>
        <v>#VALUE!</v>
      </c>
      <c r="R5" s="0" t="n">
        <f aca="false">E14/SIN(PI()/2-ATAN((E15-E14)/(D15-D14)))</f>
        <v>0.0104261172889078</v>
      </c>
      <c r="S5" s="0" t="n">
        <f aca="false">PI()/2-ATAN((E15-E14)/(D15-D14))</f>
        <v>1.28391081049369</v>
      </c>
      <c r="T5" s="7" t="e">
        <f aca="false">P15</f>
        <v>#VALUE!</v>
      </c>
      <c r="U5" s="0" t="n">
        <v>0</v>
      </c>
      <c r="V5" s="31" t="e">
        <f aca="false">ROUNDDOWN(BILINTERP(inputtables!$A$4:$N$22,ABS(I14),D$6),8)</f>
        <v>#VALUE!</v>
      </c>
      <c r="W5" s="0" t="e">
        <f aca="false">PI()*R5^2*(Q5/2)*(1-(COS(S5))^4)/J2</f>
        <v>#VALUE!</v>
      </c>
      <c r="X5" s="0" t="e">
        <f aca="false">PI()*R5^2*(Q5/2)*(SIN(S5))^4/J2</f>
        <v>#VALUE!</v>
      </c>
      <c r="Y5" s="0" t="n">
        <f aca="false">R5*PI()*(1-(4/5)*COS(S5)+(4/15)*COS(S5)*((SIN(S5))^2+2)/(SIN(S5)^4)-(8/15)*(SIN(S5))^4)</f>
        <v>0.019084067884825</v>
      </c>
    </row>
    <row r="6" customFormat="false" ht="15.75" hidden="false" customHeight="false" outlineLevel="0" collapsed="false">
      <c r="A6" s="27" t="s">
        <v>37</v>
      </c>
      <c r="B6" s="32"/>
      <c r="C6" s="15" t="s">
        <v>38</v>
      </c>
      <c r="D6" s="16" t="n">
        <v>1.6</v>
      </c>
      <c r="F6" s="15" t="s">
        <v>39</v>
      </c>
      <c r="G6" s="33" t="n">
        <f aca="false">D3/D4</f>
        <v>24.4444444444444</v>
      </c>
    </row>
    <row r="7" customFormat="false" ht="17.25" hidden="false" customHeight="true" outlineLevel="0" collapsed="false">
      <c r="A7" s="27" t="s">
        <v>40</v>
      </c>
      <c r="B7" s="34"/>
      <c r="C7" s="15" t="s">
        <v>41</v>
      </c>
      <c r="D7" s="22" t="n">
        <f aca="false">ROUNDDOWN(G15*180/PI(),5)</f>
        <v>16.43729</v>
      </c>
      <c r="E7" s="0" t="s">
        <v>42</v>
      </c>
      <c r="F7" s="15" t="s">
        <v>43</v>
      </c>
      <c r="G7" s="33" t="n">
        <f aca="false">D6/G6</f>
        <v>0.0654545454545455</v>
      </c>
      <c r="O7" s="31" t="s">
        <v>44</v>
      </c>
      <c r="P7" s="31"/>
      <c r="Q7" s="31"/>
      <c r="R7" s="31"/>
      <c r="S7" s="31" t="s">
        <v>45</v>
      </c>
      <c r="T7" s="31"/>
      <c r="U7" s="31"/>
      <c r="V7" s="31"/>
    </row>
    <row r="8" customFormat="false" ht="17.25" hidden="false" customHeight="true" outlineLevel="0" collapsed="false">
      <c r="A8" s="35"/>
      <c r="B8" s="35"/>
      <c r="C8" s="35"/>
      <c r="D8" s="35"/>
      <c r="F8" s="15" t="s">
        <v>46</v>
      </c>
      <c r="G8" s="36" t="n">
        <f aca="false">(1.4*G$2*D$6^2)/2</f>
        <v>26.30656</v>
      </c>
      <c r="L8" s="31"/>
      <c r="M8" s="0" t="n">
        <v>0</v>
      </c>
      <c r="N8" s="0" t="s">
        <v>47</v>
      </c>
      <c r="O8" s="37" t="s">
        <v>48</v>
      </c>
      <c r="P8" s="37" t="s">
        <v>49</v>
      </c>
      <c r="Q8" s="37" t="s">
        <v>48</v>
      </c>
      <c r="R8" s="31" t="s">
        <v>50</v>
      </c>
      <c r="S8" s="37" t="s">
        <v>48</v>
      </c>
      <c r="T8" s="37" t="s">
        <v>49</v>
      </c>
      <c r="U8" s="37" t="s">
        <v>48</v>
      </c>
      <c r="V8" s="31" t="s">
        <v>50</v>
      </c>
      <c r="W8" s="38" t="s">
        <v>38</v>
      </c>
    </row>
    <row r="9" customFormat="false" ht="87" hidden="false" customHeight="true" outlineLevel="0" collapsed="false">
      <c r="A9" s="35"/>
      <c r="B9" s="25" t="s">
        <v>51</v>
      </c>
      <c r="C9" s="25" t="s">
        <v>52</v>
      </c>
      <c r="D9" s="25" t="s">
        <v>53</v>
      </c>
      <c r="E9" s="25" t="s">
        <v>54</v>
      </c>
      <c r="F9" s="25" t="s">
        <v>55</v>
      </c>
      <c r="G9" s="25" t="s">
        <v>56</v>
      </c>
      <c r="H9" s="25" t="s">
        <v>57</v>
      </c>
      <c r="I9" s="25" t="s">
        <v>58</v>
      </c>
      <c r="J9" s="25" t="s">
        <v>59</v>
      </c>
      <c r="L9" s="31" t="s">
        <v>60</v>
      </c>
      <c r="M9" s="0" t="n">
        <v>0</v>
      </c>
      <c r="N9" s="0" t="n">
        <v>1</v>
      </c>
      <c r="O9" s="39" t="n">
        <f aca="false">C10</f>
        <v>1.29099444873581</v>
      </c>
      <c r="P9" s="39" t="n">
        <f aca="false">D10</f>
        <v>1.66666666666667</v>
      </c>
      <c r="Q9" s="37" t="n">
        <f aca="false">E10</f>
        <v>2.84800124843918</v>
      </c>
      <c r="R9" s="31" t="n">
        <f aca="false">IF(Q9+2&lt;D6,D6+0.1,Q9+2)</f>
        <v>4.84800124843918</v>
      </c>
      <c r="S9" s="39" t="n">
        <f aca="false">F10</f>
        <v>1.22474487139159</v>
      </c>
      <c r="T9" s="39" t="n">
        <f aca="false">G10</f>
        <v>1.9436506316151</v>
      </c>
      <c r="U9" s="37" t="n">
        <f aca="false">H10</f>
        <v>2.84800124843918</v>
      </c>
      <c r="V9" s="31" t="n">
        <f aca="false">IF(U9+2&lt;D6,D6+0.1,U9+2)</f>
        <v>4.84800124843918</v>
      </c>
      <c r="W9" s="0" t="n">
        <v>0.5</v>
      </c>
    </row>
    <row r="10" customFormat="false" ht="25.5" hidden="false" customHeight="true" outlineLevel="0" collapsed="false">
      <c r="A10" s="35"/>
      <c r="B10" s="34" t="n">
        <f aca="false">PI()*(D6^2-1)^1.5/(3.24*D6^3*(1-EXP(-5.5*(D6-1))))</f>
        <v>0.47890882375753</v>
      </c>
      <c r="C10" s="40" t="n">
        <f aca="false">SQRT(1+G64/(2*H64))</f>
        <v>1.29099444873581</v>
      </c>
      <c r="D10" s="40" t="n">
        <f aca="false">SQRT(1+1/(M64^2))</f>
        <v>1.66666666666667</v>
      </c>
      <c r="E10" s="34" t="n">
        <f aca="false">SQRT((F64/H64)^2+1)</f>
        <v>2.84800124843918</v>
      </c>
      <c r="F10" s="40" t="n">
        <f aca="false">SQRT(1+G67/(2*H67))</f>
        <v>1.22474487139159</v>
      </c>
      <c r="G10" s="40" t="n">
        <f aca="false">SQRT(1+1/(M67^2))</f>
        <v>1.9436506316151</v>
      </c>
      <c r="H10" s="34" t="n">
        <f aca="false">SQRT((F67/H67)^2+1)</f>
        <v>2.84800124843918</v>
      </c>
      <c r="I10" s="34" t="e">
        <f aca="false">Wedge_HalfAngle(D6,F64,G64,H64)</f>
        <v>#VALUE!</v>
      </c>
      <c r="J10" s="34" t="e">
        <f aca="false">Wedge_HalfAngle(D6,F67,G67,H67)</f>
        <v>#VALUE!</v>
      </c>
      <c r="L10" s="31" t="s">
        <v>61</v>
      </c>
      <c r="M10" s="0" t="n">
        <v>1</v>
      </c>
      <c r="N10" s="0" t="n">
        <v>1</v>
      </c>
      <c r="O10" s="39" t="n">
        <f aca="false">C10</f>
        <v>1.29099444873581</v>
      </c>
      <c r="P10" s="39" t="n">
        <f aca="false">D10</f>
        <v>1.66666666666667</v>
      </c>
      <c r="Q10" s="37" t="n">
        <f aca="false">E10</f>
        <v>2.84800124843918</v>
      </c>
      <c r="R10" s="31" t="n">
        <f aca="false">IF(Q10+2&lt;D6,D6+0.1,Q10+2)</f>
        <v>4.84800124843918</v>
      </c>
      <c r="S10" s="39" t="n">
        <f aca="false">F10</f>
        <v>1.22474487139159</v>
      </c>
      <c r="T10" s="39" t="n">
        <f aca="false">G10</f>
        <v>1.9436506316151</v>
      </c>
      <c r="U10" s="37" t="n">
        <f aca="false">H10</f>
        <v>2.84800124843918</v>
      </c>
      <c r="V10" s="31" t="n">
        <f aca="false">IF(U10+2&lt;D6,D6+0.1,U10+2)</f>
        <v>4.84800124843918</v>
      </c>
      <c r="W10" s="0" t="n">
        <f aca="false">D6</f>
        <v>1.6</v>
      </c>
    </row>
    <row r="11" customFormat="false" ht="17.25" hidden="false" customHeight="true" outlineLevel="0" collapsed="false">
      <c r="A11" s="35"/>
      <c r="B11" s="22"/>
      <c r="C11" s="41"/>
      <c r="D11" s="41"/>
      <c r="F11" s="15"/>
      <c r="G11" s="22"/>
    </row>
    <row r="12" customFormat="false" ht="46.5" hidden="false" customHeight="true" outlineLevel="0" collapsed="false">
      <c r="A12" s="42"/>
      <c r="B12" s="24" t="s">
        <v>62</v>
      </c>
      <c r="C12" s="25" t="s">
        <v>63</v>
      </c>
      <c r="D12" s="25" t="s">
        <v>64</v>
      </c>
      <c r="E12" s="25" t="s">
        <v>65</v>
      </c>
      <c r="F12" s="25" t="s">
        <v>66</v>
      </c>
      <c r="G12" s="25" t="s">
        <v>67</v>
      </c>
      <c r="H12" s="25" t="s">
        <v>68</v>
      </c>
      <c r="I12" s="25" t="s">
        <v>69</v>
      </c>
      <c r="J12" s="25" t="s">
        <v>70</v>
      </c>
      <c r="K12" s="25" t="s">
        <v>71</v>
      </c>
      <c r="L12" s="25" t="s">
        <v>30</v>
      </c>
      <c r="M12" s="25" t="s">
        <v>72</v>
      </c>
      <c r="N12" s="25" t="s">
        <v>21</v>
      </c>
      <c r="O12" s="25" t="s">
        <v>73</v>
      </c>
      <c r="P12" s="25" t="s">
        <v>36</v>
      </c>
      <c r="Q12" s="25" t="s">
        <v>74</v>
      </c>
      <c r="R12" s="25" t="s">
        <v>75</v>
      </c>
      <c r="S12" s="25" t="s">
        <v>76</v>
      </c>
      <c r="T12" s="25" t="s">
        <v>77</v>
      </c>
      <c r="U12" s="25" t="s">
        <v>78</v>
      </c>
      <c r="V12" s="25" t="s">
        <v>79</v>
      </c>
      <c r="W12" s="25" t="s">
        <v>80</v>
      </c>
      <c r="X12" s="25" t="s">
        <v>81</v>
      </c>
      <c r="Y12" s="25" t="s">
        <v>82</v>
      </c>
      <c r="Z12" s="25" t="s">
        <v>29</v>
      </c>
      <c r="AA12" s="25" t="s">
        <v>83</v>
      </c>
      <c r="AB12" s="25" t="s">
        <v>84</v>
      </c>
      <c r="AC12" s="25" t="s">
        <v>85</v>
      </c>
      <c r="AD12" s="25" t="s">
        <v>86</v>
      </c>
      <c r="AE12" s="25" t="s">
        <v>87</v>
      </c>
      <c r="AF12" s="25" t="s">
        <v>88</v>
      </c>
      <c r="AG12" s="25" t="s">
        <v>89</v>
      </c>
      <c r="AH12" s="25" t="s">
        <v>90</v>
      </c>
      <c r="AI12" s="43" t="s">
        <v>91</v>
      </c>
      <c r="AJ12" s="25" t="s">
        <v>31</v>
      </c>
      <c r="AK12" s="25" t="s">
        <v>92</v>
      </c>
      <c r="AL12" s="44"/>
      <c r="AM12" s="42"/>
      <c r="AN12" s="26" t="s">
        <v>93</v>
      </c>
      <c r="AO12" s="25" t="s">
        <v>94</v>
      </c>
      <c r="AP12" s="25" t="s">
        <v>95</v>
      </c>
      <c r="AQ12" s="25" t="s">
        <v>96</v>
      </c>
      <c r="AR12" s="25" t="s">
        <v>97</v>
      </c>
      <c r="AS12" s="25" t="s">
        <v>98</v>
      </c>
      <c r="AT12" s="25" t="s">
        <v>99</v>
      </c>
      <c r="AU12" s="25" t="s">
        <v>100</v>
      </c>
      <c r="AV12" s="25" t="s">
        <v>101</v>
      </c>
      <c r="AW12" s="25" t="s">
        <v>102</v>
      </c>
      <c r="AX12" s="25" t="s">
        <v>33</v>
      </c>
      <c r="AY12" s="25" t="s">
        <v>103</v>
      </c>
      <c r="AZ12" s="25" t="s">
        <v>104</v>
      </c>
      <c r="BA12" s="42"/>
      <c r="BB12" s="25" t="s">
        <v>105</v>
      </c>
      <c r="BC12" s="25" t="s">
        <v>106</v>
      </c>
      <c r="BD12" s="42"/>
      <c r="BE12" s="42"/>
      <c r="BF12" s="42"/>
      <c r="BG12" s="42"/>
      <c r="BH12" s="42"/>
      <c r="BI12" s="42"/>
      <c r="BJ12" s="42"/>
      <c r="BK12" s="42"/>
      <c r="BL12" s="42"/>
      <c r="BM12" s="45"/>
    </row>
    <row r="13" customFormat="false" ht="15" hidden="false" customHeight="false" outlineLevel="0" collapsed="false"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L13" s="46"/>
    </row>
    <row r="14" customFormat="false" ht="60" hidden="false" customHeight="false" outlineLevel="0" collapsed="false">
      <c r="A14" s="47"/>
      <c r="C14" s="48" t="n">
        <v>0</v>
      </c>
      <c r="D14" s="16" t="n">
        <v>0</v>
      </c>
      <c r="E14" s="49" t="n">
        <v>0.01</v>
      </c>
      <c r="F14" s="24" t="s">
        <v>107</v>
      </c>
      <c r="G14" s="31" t="n">
        <f aca="false">IF(E14&gt;0,G15,0)</f>
        <v>0.286885</v>
      </c>
      <c r="I14" s="31" t="n">
        <f aca="false">IF(E14&gt;0,ROUNDDOWN(G14*180/PI(),8),0)</f>
        <v>16.4372997</v>
      </c>
      <c r="J14" s="31"/>
      <c r="K14" s="31"/>
      <c r="L14" s="31"/>
      <c r="M14" s="31"/>
      <c r="N14" s="31"/>
      <c r="O14" s="31"/>
      <c r="P14" s="31"/>
      <c r="Q14" s="31"/>
      <c r="R14" s="50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 t="e">
        <f aca="false">W5</f>
        <v>#VALUE!</v>
      </c>
      <c r="AK14" s="51" t="e">
        <f aca="false">SUM(AJ14:AJ61)</f>
        <v>#VALUE!</v>
      </c>
      <c r="AL14" s="46"/>
      <c r="AU14" s="0" t="e">
        <f aca="false">X5</f>
        <v>#VALUE!</v>
      </c>
      <c r="AV14" s="32" t="e">
        <f aca="false">SUM(AU14:AU60)</f>
        <v>#VALUE!</v>
      </c>
      <c r="AW14" s="0" t="e">
        <f aca="false">-X5*Y5/D4</f>
        <v>#VALUE!</v>
      </c>
      <c r="AX14" s="0" t="n">
        <f aca="false">Y5</f>
        <v>0.019084067884825</v>
      </c>
      <c r="AY14" s="32" t="e">
        <f aca="false">SUM(AW14:AW60)</f>
        <v>#VALUE!</v>
      </c>
      <c r="AZ14" s="32" t="e">
        <f aca="false">-AY14/AV14*D$4</f>
        <v>#VALUE!</v>
      </c>
      <c r="BB14" s="51" t="e">
        <f aca="false">IF(B64=1,AV14+AE64,AV14+AE64+AE67+AW64+AX64)</f>
        <v>#VALUE!</v>
      </c>
      <c r="BC14" s="32" t="e">
        <f aca="false">IF(B64=1,AV14*AZ14+AE64*AJ64,AV14*AZ14+AE64*AJ64+AE67*AJ67+AW64*AJ64+AX64*AG64)/BB14</f>
        <v>#VALUE!</v>
      </c>
      <c r="BE14" s="31"/>
      <c r="BI14" s="31"/>
    </row>
    <row r="15" customFormat="false" ht="15" hidden="false" customHeight="false" outlineLevel="0" collapsed="false">
      <c r="B15" s="31"/>
      <c r="C15" s="48" t="n">
        <f aca="false">C14+1</f>
        <v>1</v>
      </c>
      <c r="D15" s="16" t="n">
        <v>0.5</v>
      </c>
      <c r="E15" s="49" t="n">
        <v>0.157512048</v>
      </c>
      <c r="F15" s="31" t="n">
        <f aca="false">(E15-E14)</f>
        <v>0.147512048</v>
      </c>
      <c r="G15" s="31" t="n">
        <f aca="false">ROUNDDOWN(ATAN(F15/(D15-D14)),6)</f>
        <v>0.286885</v>
      </c>
      <c r="H15" s="31" t="n">
        <f aca="false">IF(G15&gt;0,F15/SIN(G15),D15-D14)</f>
        <v>0.521306776748285</v>
      </c>
      <c r="I15" s="31" t="n">
        <f aca="false">ROUNDDOWN(G15*180/PI(),8)</f>
        <v>16.4372997</v>
      </c>
      <c r="J15" s="7" t="e">
        <f aca="false">ROUNDDOWN(epsilonangle(G14,G15),8)</f>
        <v>#VALUE!</v>
      </c>
      <c r="K15" s="31" t="n">
        <f aca="false">IF($G$15&gt;$B$10,TRUE(),FALSE())</f>
        <v>0</v>
      </c>
      <c r="L15" s="31" t="e">
        <f aca="false">G3</f>
        <v>#VALUE!</v>
      </c>
      <c r="M15" s="31" t="str">
        <f aca="false">IF(G15&gt;G16,"Expansion",IF(G15=G16,"No Change","Compression"))</f>
        <v>Expansion</v>
      </c>
      <c r="N15" s="31" t="e">
        <f aca="false">ROUNDDOWN(BILINTERP(inputtables!$A$26:$N$44,ABS(I15),D$6),8)</f>
        <v>#VALUE!</v>
      </c>
      <c r="O15" s="31" t="e">
        <f aca="false">G2*G4</f>
        <v>#VALUE!</v>
      </c>
      <c r="P15" s="52" t="e">
        <f aca="false">N15*G$2</f>
        <v>#VALUE!</v>
      </c>
      <c r="Q15" s="31"/>
      <c r="R15" s="50"/>
      <c r="S15" s="31" t="e">
        <f aca="false">G3</f>
        <v>#VALUE!</v>
      </c>
      <c r="T15" s="31" t="e">
        <f aca="false">p1p2(L15,S15,1.4)</f>
        <v>#VALUE!</v>
      </c>
      <c r="U15" s="53" t="e">
        <f aca="false">P15</f>
        <v>#VALUE!</v>
      </c>
      <c r="V15" s="31" t="e">
        <f aca="false">(1.4*O15*L15^2)/(2*(L15^2-1))</f>
        <v>#VALUE!</v>
      </c>
      <c r="W15" s="31" t="e">
        <f aca="false">(1.4*U15*S15^2)/(2*(S15^2-1))</f>
        <v>#VALUE!</v>
      </c>
      <c r="X15" s="31"/>
      <c r="Y15" s="31"/>
      <c r="Z15" s="31" t="n">
        <v>0</v>
      </c>
      <c r="AA15" s="8" t="n">
        <f aca="false">0</f>
        <v>0</v>
      </c>
      <c r="AB15" s="8" t="n">
        <f aca="false">0</f>
        <v>0</v>
      </c>
      <c r="AC15" s="31" t="e">
        <f aca="false">ROUNDDOWN(Pmainval(P15,U15,AB15),8)</f>
        <v>#VALUE!</v>
      </c>
      <c r="AD15" s="31" t="n">
        <f aca="false">0</f>
        <v>0</v>
      </c>
      <c r="AE15" s="31" t="n">
        <v>1</v>
      </c>
      <c r="AF15" s="31" t="e">
        <f aca="false">S15</f>
        <v>#VALUE!</v>
      </c>
      <c r="AG15" s="31" t="e">
        <f aca="false">AC15/G$2</f>
        <v>#VALUE!</v>
      </c>
      <c r="AH15" s="31" t="n">
        <v>0</v>
      </c>
      <c r="AI15" s="31" t="e">
        <f aca="false">(2/(1.4*D$6^2))*(AG15-1)</f>
        <v>#VALUE!</v>
      </c>
      <c r="AJ15" s="31" t="e">
        <f aca="false">drag(D14,D15,E14,E15,G15,P15,U15,AB15,AA15)</f>
        <v>#VALUE!</v>
      </c>
      <c r="AK15" s="31"/>
      <c r="AL15" s="54"/>
      <c r="AM15" s="31"/>
      <c r="AN15" s="0" t="e">
        <f aca="false">ASIN(1/L15)</f>
        <v>#VALUE!</v>
      </c>
      <c r="AO15" s="0" t="e">
        <f aca="false">ASIN(1/S15)</f>
        <v>#VALUE!</v>
      </c>
      <c r="AP15" s="0" t="e">
        <f aca="false">2*1.4*O15/SIN(2*AN15)</f>
        <v>#VALUE!</v>
      </c>
      <c r="AQ15" s="0" t="e">
        <f aca="false">2*1.4*U15/SIN(2*AO15)</f>
        <v>#VALUE!</v>
      </c>
      <c r="AR15" s="0" t="e">
        <f aca="false">ROUNDDOWN(BILINTERP(inputtables!$A$48:$N$66,ABS(I15),D$6),8)</f>
        <v>#VALUE!</v>
      </c>
      <c r="AS15" s="0" t="e">
        <f aca="false">AT15</f>
        <v>#VALUE!</v>
      </c>
      <c r="AT15" s="0" t="e">
        <f aca="false">TAN(D7*PI()/180)*AR15</f>
        <v>#VALUE!</v>
      </c>
      <c r="AU15" s="0" t="e">
        <f aca="false">IF(K15=TRUE(),Segment_Cnalpha(E14,E15,$J$2),cnalpha(D14,D15,E14,E15,G15,P15,U15,AB15,AA15,AP15,AQ15,AS15,AR15,J$3))</f>
        <v>#VALUE!</v>
      </c>
      <c r="AV15" s="22"/>
      <c r="AW15" s="0" t="e">
        <f aca="false">IF(K15=TRUE(),Segment_CMalpha(AU15,AX15),cmalpha1(D14,D15,E14,E15,G15,P15,U15,AB15,AA15,AP15,AQ15,AS15,AR15,J$3,D$4))</f>
        <v>#VALUE!</v>
      </c>
      <c r="AX15" s="0" t="e">
        <f aca="false">IF(K15=TRUE(),Segment_CP(D14,D15,E14,E15),-$D$4*AW15/AU15)</f>
        <v>#VALUE!</v>
      </c>
      <c r="AY15" s="22"/>
      <c r="AZ15" s="22"/>
      <c r="BB15" s="55"/>
      <c r="BC15" s="22"/>
      <c r="BD15" s="31"/>
      <c r="BE15" s="31"/>
      <c r="BI15" s="31"/>
    </row>
    <row r="16" customFormat="false" ht="15" hidden="false" customHeight="false" outlineLevel="0" collapsed="false">
      <c r="B16" s="31"/>
      <c r="C16" s="48" t="n">
        <f aca="false">C15+1</f>
        <v>2</v>
      </c>
      <c r="D16" s="16" t="n">
        <v>1</v>
      </c>
      <c r="E16" s="49" t="n">
        <v>0.2611451</v>
      </c>
      <c r="F16" s="31" t="n">
        <f aca="false">(E16-E15)</f>
        <v>0.103633052</v>
      </c>
      <c r="G16" s="31" t="n">
        <f aca="false">ROUNDDOWN(ATAN(F16/(D16-D15)),6)</f>
        <v>0.204372</v>
      </c>
      <c r="H16" s="31" t="n">
        <f aca="false">IF(G16&gt;0,F16/SIN(G16),D16-D15)</f>
        <v>0.510627706961393</v>
      </c>
      <c r="I16" s="31" t="n">
        <f aca="false">ROUNDDOWN(G16*180/PI(),8)</f>
        <v>11.70965305</v>
      </c>
      <c r="J16" s="7" t="e">
        <f aca="false">ROUNDDOWN(epsilonangle(G15,G16),8)</f>
        <v>#VALUE!</v>
      </c>
      <c r="K16" s="31" t="n">
        <f aca="false">IF(K15=TRUE(),TRUE(),IF(M16="Compression",IF(G16&gt;(0.3208*(L16^2-1)^(3/2)/L16^2),TRUE(),FALSE()),FALSE()))</f>
        <v>0</v>
      </c>
      <c r="L16" s="31" t="e">
        <f aca="false">IF(ISERROR(AF15),L15,AF15)</f>
        <v>#VALUE!</v>
      </c>
      <c r="M16" s="31" t="str">
        <f aca="false">IF(G16&gt;G17,"Expansion",IF(G16=G17,"No Change","Compression"))</f>
        <v>Expansion</v>
      </c>
      <c r="N16" s="31" t="e">
        <f aca="false">ROUNDDOWN(BILINTERP(inputtables!$A$26:$N$44,ABS(I16),D$6),8)</f>
        <v>#VALUE!</v>
      </c>
      <c r="O16" s="31" t="e">
        <f aca="false">AC15</f>
        <v>#VALUE!</v>
      </c>
      <c r="P16" s="52" t="e">
        <f aca="false">N16*G$2</f>
        <v>#VALUE!</v>
      </c>
      <c r="Q16" s="31" t="e">
        <f aca="false">nu(L16,1.4)</f>
        <v>#VALUE!</v>
      </c>
      <c r="R16" s="50" t="e">
        <f aca="false">IF(M16="Expansion",Q16+ABS(J16),IF(M16="Compression",Q16-ABS(J16),Q16))</f>
        <v>#VALUE!</v>
      </c>
      <c r="S16" s="31" t="e">
        <f aca="false">IF(I15&gt;=I16,ROUNDDOWN((newtonmethod(L16,R16)),6),ROUNDDOWN(M2oblique(L16,J16,1.4),6))</f>
        <v>#VALUE!</v>
      </c>
      <c r="T16" s="31" t="e">
        <f aca="false">IF(I15&gt;=I16,p1p2(L16,S16,1.4),p1p2oblique(L16,J16,1.4))</f>
        <v>#VALUE!</v>
      </c>
      <c r="U16" s="53" t="e">
        <f aca="false">ROUNDDOWN((1/T16)*O16,6)</f>
        <v>#VALUE!</v>
      </c>
      <c r="V16" s="31" t="e">
        <f aca="false">(1.4*O16*L16^2)/(2*(L16^2-1))</f>
        <v>#VALUE!</v>
      </c>
      <c r="W16" s="31" t="e">
        <f aca="false">(1.4*U16*S16^2)/(2*(S16^2-1))</f>
        <v>#VALUE!</v>
      </c>
      <c r="X16" s="31" t="e">
        <f aca="false">omega(L16,1.4)</f>
        <v>#VALUE!</v>
      </c>
      <c r="Y16" s="31" t="e">
        <f aca="false">omega(S16,1.4)</f>
        <v>#VALUE!</v>
      </c>
      <c r="Z16" s="7" t="n">
        <f aca="false">AD15</f>
        <v>0</v>
      </c>
      <c r="AA16" s="8" t="e">
        <f aca="false">(dpds2(1.4,J16,L16,S16,O16,U16,V16,W16,E15,X16,Y16,G15,G16,Z16))</f>
        <v>#VALUE!</v>
      </c>
      <c r="AB16" s="8" t="e">
        <f aca="false">(eta(AA16,P16,U16,G16,D15,D16))</f>
        <v>#VALUE!</v>
      </c>
      <c r="AC16" s="31" t="e">
        <f aca="false">ROUNDDOWN(Pmainval(P16,U16,AB16),8)</f>
        <v>#VALUE!</v>
      </c>
      <c r="AD16" s="31" t="e">
        <f aca="false">((dpds3(P16,U16,AC16,AA16)))</f>
        <v>#VALUE!</v>
      </c>
      <c r="AE16" s="31" t="e">
        <f aca="false">U16/AC16</f>
        <v>#VALUE!</v>
      </c>
      <c r="AF16" s="31" t="e">
        <f aca="false">ROUNDDOWN((Machfinder(AE16,S16,1.4)),6)</f>
        <v>#VALUE!</v>
      </c>
      <c r="AG16" s="31" t="e">
        <f aca="false">AC16/G$2</f>
        <v>#VALUE!</v>
      </c>
      <c r="AH16" s="31" t="n">
        <f aca="false">D16/D$3</f>
        <v>0.0181818181818182</v>
      </c>
      <c r="AI16" s="31" t="e">
        <f aca="false">(2/(1.4*D$6^2))*(AG16-1)</f>
        <v>#VALUE!</v>
      </c>
      <c r="AJ16" s="31" t="e">
        <f aca="false">IF(K16=FALSE(),drag(D15,D16,E15,E16,G16,P16,U16,AB16,AA16),0)</f>
        <v>#VALUE!</v>
      </c>
      <c r="AK16" s="31"/>
      <c r="AL16" s="54"/>
      <c r="AN16" s="0" t="e">
        <f aca="false">ASIN(1/L16)</f>
        <v>#VALUE!</v>
      </c>
      <c r="AO16" s="0" t="e">
        <f aca="false">ASIN(1/S16)</f>
        <v>#VALUE!</v>
      </c>
      <c r="AP16" s="0" t="e">
        <f aca="false">2*1.4*O16/SIN(2*AN16)</f>
        <v>#VALUE!</v>
      </c>
      <c r="AQ16" s="0" t="e">
        <f aca="false">2*1.4*U16/SIN(2*AO16)</f>
        <v>#VALUE!</v>
      </c>
      <c r="AR16" s="0" t="e">
        <f aca="false">ROUNDDOWN(BILINTERP(inputtables!$A$48:$N$66,ABS(I16),D$6),8)</f>
        <v>#VALUE!</v>
      </c>
      <c r="AS16" s="0" t="e">
        <f aca="false">AT15</f>
        <v>#VALUE!</v>
      </c>
      <c r="AT16" s="0" t="e">
        <f aca="false">DeltaL(M$16:M16,U16,O16,J16,M16,L16,1.4,AB16,G16,AR16,AP16,AQ16,AS16)</f>
        <v>#VALUE!</v>
      </c>
      <c r="AU16" s="0" t="e">
        <f aca="false">IF(K16=TRUE(),Segment_Cnalpha(E15,E16,$J$2),cnalpha(D15,D16,E15,E16,G16,P16,U16,AB16,AA16,AP16,AQ16,AS16,AR16,J$3))</f>
        <v>#VALUE!</v>
      </c>
      <c r="AW16" s="0" t="e">
        <f aca="false">IF(K16=TRUE(),Segment_CMalpha(AU16,AX16),cmalpha1(D15,D16,E15,E16,G16,P16,U16,AB16,AA16,AP16,AQ16,AS16,AR16,J$3,D$4))</f>
        <v>#VALUE!</v>
      </c>
      <c r="AX16" s="0" t="e">
        <f aca="false">IF(K16=TRUE(),Segment_CP(D15,D16,E15,E16),-$D$4*AW16/AU16)</f>
        <v>#VALUE!</v>
      </c>
      <c r="BD16" s="31"/>
      <c r="BE16" s="31"/>
      <c r="BI16" s="31"/>
    </row>
    <row r="17" customFormat="false" ht="15" hidden="false" customHeight="false" outlineLevel="0" collapsed="false">
      <c r="B17" s="31"/>
      <c r="C17" s="48" t="n">
        <f aca="false">C16+1</f>
        <v>3</v>
      </c>
      <c r="D17" s="16" t="n">
        <v>1.5</v>
      </c>
      <c r="E17" s="49" t="n">
        <v>0.348839335</v>
      </c>
      <c r="F17" s="31" t="n">
        <f aca="false">(E17-E16)</f>
        <v>0.087694235</v>
      </c>
      <c r="G17" s="31" t="n">
        <f aca="false">ROUNDDOWN(ATAN(F17/(D17-D16)),6)</f>
        <v>0.173622</v>
      </c>
      <c r="H17" s="31" t="n">
        <f aca="false">IF(G17&gt;0,F17/SIN(G17),D17-D16)</f>
        <v>0.507633675506042</v>
      </c>
      <c r="I17" s="31" t="n">
        <f aca="false">ROUNDDOWN(G17*180/PI(),8)</f>
        <v>9.94780783</v>
      </c>
      <c r="J17" s="7" t="e">
        <f aca="false">ROUNDDOWN(epsilonangle(G16,G17),8)</f>
        <v>#VALUE!</v>
      </c>
      <c r="K17" s="31" t="n">
        <f aca="false">IF(K16=TRUE(),TRUE(),IF(M17="Compression",IF(G17&gt;(0.3208*(L17^2-1)^(3/2)/L17^2),TRUE(),FALSE()),FALSE()))</f>
        <v>0</v>
      </c>
      <c r="L17" s="31" t="e">
        <f aca="false">IF(ISERROR(AF16),L16,AF16)</f>
        <v>#VALUE!</v>
      </c>
      <c r="M17" s="31" t="str">
        <f aca="false">IF(G17&gt;G18,"Expansion",IF(G17=G18,"No Change","Compression"))</f>
        <v>Expansion</v>
      </c>
      <c r="N17" s="31" t="e">
        <f aca="false">ROUNDDOWN(BILINTERP(inputtables!$A$26:$N$44,ABS(I17),D$6),8)</f>
        <v>#VALUE!</v>
      </c>
      <c r="O17" s="31" t="e">
        <f aca="false">AC16</f>
        <v>#VALUE!</v>
      </c>
      <c r="P17" s="52" t="e">
        <f aca="false">N17*G$2</f>
        <v>#VALUE!</v>
      </c>
      <c r="Q17" s="31" t="e">
        <f aca="false">nu(L17,1.4)</f>
        <v>#VALUE!</v>
      </c>
      <c r="R17" s="50" t="e">
        <f aca="false">IF(M17="Expansion",Q17+ABS(J17),IF(M17="Compression",Q17-ABS(J17),Q17))</f>
        <v>#VALUE!</v>
      </c>
      <c r="S17" s="31" t="e">
        <f aca="false">IF(I16&gt;=I17,ROUNDDOWN((newtonmethod(L17,R17)),6),ROUNDDOWN(M2oblique(L17,J17,1.4),6))</f>
        <v>#VALUE!</v>
      </c>
      <c r="T17" s="31" t="e">
        <f aca="false">IF(I16&gt;=I17,p1p2(L17,S17,1.4),p1p2oblique(L17,J17,1.4))</f>
        <v>#VALUE!</v>
      </c>
      <c r="U17" s="53" t="e">
        <f aca="false">ROUNDDOWN((1/T17)*O17,6)</f>
        <v>#VALUE!</v>
      </c>
      <c r="V17" s="31" t="e">
        <f aca="false">(1.4*O17*L17^2)/(2*(L17^2-1))</f>
        <v>#VALUE!</v>
      </c>
      <c r="W17" s="31" t="e">
        <f aca="false">(1.4*U17*S17^2)/(2*(S17^2-1))</f>
        <v>#VALUE!</v>
      </c>
      <c r="X17" s="31" t="e">
        <f aca="false">omega(L17,1.4)</f>
        <v>#VALUE!</v>
      </c>
      <c r="Y17" s="31" t="e">
        <f aca="false">omega(S17,1.4)</f>
        <v>#VALUE!</v>
      </c>
      <c r="Z17" s="7" t="e">
        <f aca="false">AD16</f>
        <v>#VALUE!</v>
      </c>
      <c r="AA17" s="8" t="e">
        <f aca="false">(dpds2(1.4,J17,L17,S17,O17,U17,V17,W17,E16,X17,Y17,G16,G17,Z17))</f>
        <v>#VALUE!</v>
      </c>
      <c r="AB17" s="8" t="e">
        <f aca="false">(eta(AA17,P17,U17,G17,D16,D17))</f>
        <v>#VALUE!</v>
      </c>
      <c r="AC17" s="31" t="e">
        <f aca="false">ROUNDDOWN(Pmainval(P17,U17,AB17),8)</f>
        <v>#VALUE!</v>
      </c>
      <c r="AD17" s="31" t="e">
        <f aca="false">((dpds3(P17,U17,AC17,AA17)))</f>
        <v>#VALUE!</v>
      </c>
      <c r="AE17" s="31" t="e">
        <f aca="false">U17/AC17</f>
        <v>#VALUE!</v>
      </c>
      <c r="AF17" s="31" t="e">
        <f aca="false">ROUNDDOWN((Machfinder(AE17,S17,1.4)),6)</f>
        <v>#VALUE!</v>
      </c>
      <c r="AG17" s="31" t="e">
        <f aca="false">AC17/G$2</f>
        <v>#VALUE!</v>
      </c>
      <c r="AH17" s="31" t="n">
        <f aca="false">D17/D$3</f>
        <v>0.0272727272727273</v>
      </c>
      <c r="AI17" s="31" t="e">
        <f aca="false">(2/(1.4*D$6^2))*(AG17-1)</f>
        <v>#VALUE!</v>
      </c>
      <c r="AJ17" s="31" t="e">
        <f aca="false">IF(K17=FALSE(),drag(D16,D17,E16,E17,G17,P17,U17,AB17,AA17),0)</f>
        <v>#VALUE!</v>
      </c>
      <c r="AK17" s="31"/>
      <c r="AL17" s="54"/>
      <c r="AN17" s="0" t="e">
        <f aca="false">ASIN(1/L17)</f>
        <v>#VALUE!</v>
      </c>
      <c r="AO17" s="0" t="e">
        <f aca="false">ASIN(1/S17)</f>
        <v>#VALUE!</v>
      </c>
      <c r="AP17" s="0" t="e">
        <f aca="false">2*1.4*O17/SIN(2*AN17)</f>
        <v>#VALUE!</v>
      </c>
      <c r="AQ17" s="0" t="e">
        <f aca="false">2*1.4*U17/SIN(2*AO17)</f>
        <v>#VALUE!</v>
      </c>
      <c r="AR17" s="0" t="e">
        <f aca="false">ROUNDDOWN(BILINTERP(inputtables!$A$48:$N$66,ABS(I17),D$6),8)</f>
        <v>#VALUE!</v>
      </c>
      <c r="AS17" s="0" t="e">
        <f aca="false">AT16</f>
        <v>#VALUE!</v>
      </c>
      <c r="AT17" s="0" t="e">
        <f aca="false">DeltaL(M$16:M17,U17,O17,J17,M17,L17,1.4,AB17,G17,AR17,AP17,AQ17,AS17)</f>
        <v>#VALUE!</v>
      </c>
      <c r="AU17" s="0" t="e">
        <f aca="false">IF(K17=TRUE(),Segment_Cnalpha(E16,E17,$J$2),cnalpha(D16,D17,E16,E17,G17,P17,U17,AB17,AA17,AP17,AQ17,AS17,AR17,J$3))</f>
        <v>#VALUE!</v>
      </c>
      <c r="AW17" s="0" t="e">
        <f aca="false">IF(K17=TRUE(),Segment_CMalpha(AU17,AX17),cmalpha1(D16,D17,E16,E17,G17,P17,U17,AB17,AA17,AP17,AQ17,AS17,AR17,J$3,D$4))</f>
        <v>#VALUE!</v>
      </c>
      <c r="AX17" s="0" t="e">
        <f aca="false">IF(K17=TRUE(),Segment_CP(D16,D17,E16,E17),-$D$4*AW17/AU17)</f>
        <v>#VALUE!</v>
      </c>
      <c r="BD17" s="31"/>
      <c r="BE17" s="31"/>
      <c r="BI17" s="31"/>
    </row>
    <row r="18" customFormat="false" ht="15" hidden="false" customHeight="false" outlineLevel="0" collapsed="false">
      <c r="B18" s="31"/>
      <c r="C18" s="48" t="n">
        <f aca="false">C17+1</f>
        <v>4</v>
      </c>
      <c r="D18" s="16" t="n">
        <v>2</v>
      </c>
      <c r="E18" s="49" t="n">
        <v>0.426461051</v>
      </c>
      <c r="F18" s="31" t="n">
        <f aca="false">(E18-E17)</f>
        <v>0.077621716</v>
      </c>
      <c r="G18" s="31" t="n">
        <f aca="false">ROUNDDOWN(ATAN(F18/(D18-D17)),6)</f>
        <v>0.154014</v>
      </c>
      <c r="H18" s="31" t="n">
        <f aca="false">IF(G18&gt;0,F18/SIN(G18),D18-D17)</f>
        <v>0.505989299051069</v>
      </c>
      <c r="I18" s="31" t="n">
        <f aca="false">ROUNDDOWN(G18*180/PI(),8)</f>
        <v>8.82435218</v>
      </c>
      <c r="J18" s="7" t="e">
        <f aca="false">ROUNDDOWN(epsilonangle(G17,G18),8)</f>
        <v>#VALUE!</v>
      </c>
      <c r="K18" s="31" t="n">
        <f aca="false">IF(K17=TRUE(),TRUE(),IF(M18="Compression",IF(G18&gt;(0.3208*(L18^2-1)^(3/2)/L18^2),TRUE(),FALSE()),FALSE()))</f>
        <v>0</v>
      </c>
      <c r="L18" s="31" t="e">
        <f aca="false">IF(ISERROR(AF17),L17,AF17)</f>
        <v>#VALUE!</v>
      </c>
      <c r="M18" s="31" t="str">
        <f aca="false">IF(G18&gt;G19,"Expansion",IF(G18=G19,"No Change","Compression"))</f>
        <v>Expansion</v>
      </c>
      <c r="N18" s="31" t="e">
        <f aca="false">ROUNDDOWN(BILINTERP(inputtables!$A$26:$N$44,ABS(I18),D$6),8)</f>
        <v>#VALUE!</v>
      </c>
      <c r="O18" s="31" t="e">
        <f aca="false">AC17</f>
        <v>#VALUE!</v>
      </c>
      <c r="P18" s="52" t="e">
        <f aca="false">N18*G$2</f>
        <v>#VALUE!</v>
      </c>
      <c r="Q18" s="31" t="e">
        <f aca="false">nu(L18,1.4)</f>
        <v>#VALUE!</v>
      </c>
      <c r="R18" s="50" t="e">
        <f aca="false">IF(M18="Expansion",Q18+ABS(J18),IF(M18="Compression",Q18-ABS(J18),Q18))</f>
        <v>#VALUE!</v>
      </c>
      <c r="S18" s="31" t="e">
        <f aca="false">IF(I17&gt;=I18,ROUNDDOWN((newtonmethod(L18,R18)),6),ROUNDDOWN(M2oblique(L18,J18,1.4),6))</f>
        <v>#VALUE!</v>
      </c>
      <c r="T18" s="31" t="e">
        <f aca="false">IF(I17&gt;=I18,p1p2(L18,S18,1.4),p1p2oblique(L18,J18,1.4))</f>
        <v>#VALUE!</v>
      </c>
      <c r="U18" s="53" t="e">
        <f aca="false">ROUNDDOWN((1/T18)*O18,6)</f>
        <v>#VALUE!</v>
      </c>
      <c r="V18" s="31" t="e">
        <f aca="false">(1.4*O18*L18^2)/(2*(L18^2-1))</f>
        <v>#VALUE!</v>
      </c>
      <c r="W18" s="31" t="e">
        <f aca="false">(1.4*U18*S18^2)/(2*(S18^2-1))</f>
        <v>#VALUE!</v>
      </c>
      <c r="X18" s="31" t="e">
        <f aca="false">omega(L18,1.4)</f>
        <v>#VALUE!</v>
      </c>
      <c r="Y18" s="31" t="e">
        <f aca="false">omega(S18,1.4)</f>
        <v>#VALUE!</v>
      </c>
      <c r="Z18" s="7" t="e">
        <f aca="false">AD17</f>
        <v>#VALUE!</v>
      </c>
      <c r="AA18" s="8" t="e">
        <f aca="false">(dpds2(1.4,J18,L18,S18,O18,U18,V18,W18,E17,X18,Y18,G17,G18,Z18))</f>
        <v>#VALUE!</v>
      </c>
      <c r="AB18" s="8" t="e">
        <f aca="false">(eta(AA18,P18,U18,G18,D17,D18))</f>
        <v>#VALUE!</v>
      </c>
      <c r="AC18" s="31" t="e">
        <f aca="false">ROUNDDOWN(Pmainval(P18,U18,AB18),8)</f>
        <v>#VALUE!</v>
      </c>
      <c r="AD18" s="31" t="e">
        <f aca="false">((dpds3(P18,U18,AC18,AA18)))</f>
        <v>#VALUE!</v>
      </c>
      <c r="AE18" s="31" t="e">
        <f aca="false">U18/AC18</f>
        <v>#VALUE!</v>
      </c>
      <c r="AF18" s="31" t="e">
        <f aca="false">ROUNDDOWN((Machfinder(AE18,S18,1.4)),6)</f>
        <v>#VALUE!</v>
      </c>
      <c r="AG18" s="31" t="e">
        <f aca="false">AC18/G$2</f>
        <v>#VALUE!</v>
      </c>
      <c r="AH18" s="31" t="n">
        <f aca="false">D18/D$3</f>
        <v>0.0363636363636364</v>
      </c>
      <c r="AI18" s="31" t="e">
        <f aca="false">(2/(1.4*D$6^2))*(AG18-1)</f>
        <v>#VALUE!</v>
      </c>
      <c r="AJ18" s="31" t="e">
        <f aca="false">IF(K18=FALSE(),drag(D17,D18,E17,E18,G18,P18,U18,AB18,AA18),0)</f>
        <v>#VALUE!</v>
      </c>
      <c r="AK18" s="31"/>
      <c r="AL18" s="54"/>
      <c r="AN18" s="0" t="e">
        <f aca="false">ASIN(1/L18)</f>
        <v>#VALUE!</v>
      </c>
      <c r="AO18" s="0" t="e">
        <f aca="false">ASIN(1/S18)</f>
        <v>#VALUE!</v>
      </c>
      <c r="AP18" s="0" t="e">
        <f aca="false">2*1.4*O18/SIN(2*AN18)</f>
        <v>#VALUE!</v>
      </c>
      <c r="AQ18" s="0" t="e">
        <f aca="false">2*1.4*U18/SIN(2*AO18)</f>
        <v>#VALUE!</v>
      </c>
      <c r="AR18" s="0" t="e">
        <f aca="false">ROUNDDOWN(BILINTERP(inputtables!$A$48:$N$66,ABS(I18),D$6),8)</f>
        <v>#VALUE!</v>
      </c>
      <c r="AS18" s="0" t="e">
        <f aca="false">AT17</f>
        <v>#VALUE!</v>
      </c>
      <c r="AT18" s="0" t="e">
        <f aca="false">DeltaL(M$16:M18,U18,O18,J18,M18,L18,1.4,AB18,G18,AR18,AP18,AQ18,AS18)</f>
        <v>#VALUE!</v>
      </c>
      <c r="AU18" s="0" t="e">
        <f aca="false">IF(K18=TRUE(),Segment_Cnalpha(E17,E18,$J$2),cnalpha(D17,D18,E17,E18,G18,P18,U18,AB18,AA18,AP18,AQ18,AS18,AR18,J$3))</f>
        <v>#VALUE!</v>
      </c>
      <c r="AW18" s="0" t="e">
        <f aca="false">IF(K18=TRUE(),Segment_CMalpha(AU18,AX18),cmalpha1(D17,D18,E17,E18,G18,P18,U18,AB18,AA18,AP18,AQ18,AS18,AR18,J$3,D$4))</f>
        <v>#VALUE!</v>
      </c>
      <c r="AX18" s="0" t="e">
        <f aca="false">IF(K18=TRUE(),Segment_CP(D17,D18,E17,E18),-$D$4*AW18/AU18)</f>
        <v>#VALUE!</v>
      </c>
      <c r="BD18" s="31"/>
      <c r="BE18" s="31"/>
      <c r="BI18" s="31"/>
    </row>
    <row r="19" customFormat="false" ht="15" hidden="false" customHeight="false" outlineLevel="0" collapsed="false">
      <c r="B19" s="31"/>
      <c r="C19" s="48" t="n">
        <f aca="false">C18+1</f>
        <v>5</v>
      </c>
      <c r="D19" s="16" t="n">
        <v>2.5</v>
      </c>
      <c r="E19" s="49" t="n">
        <v>0.496571099</v>
      </c>
      <c r="F19" s="31" t="n">
        <f aca="false">(E19-E18)</f>
        <v>0.070110048</v>
      </c>
      <c r="G19" s="31" t="n">
        <f aca="false">ROUNDDOWN(ATAN(F19/(D19-D18)),6)</f>
        <v>0.139311</v>
      </c>
      <c r="H19" s="31" t="n">
        <f aca="false">IF(G19&gt;0,F19/SIN(G19),D19-D18)</f>
        <v>0.504894372718776</v>
      </c>
      <c r="I19" s="31" t="n">
        <f aca="false">ROUNDDOWN(G19*180/PI(),8)</f>
        <v>7.98193233</v>
      </c>
      <c r="J19" s="7" t="e">
        <f aca="false">ROUNDDOWN(epsilonangle(G18,G19),8)</f>
        <v>#VALUE!</v>
      </c>
      <c r="K19" s="31" t="n">
        <f aca="false">IF(K18=TRUE(),TRUE(),IF(M19="Compression",IF(G19&gt;(0.3208*(L19^2-1)^(3/2)/L19^2),TRUE(),FALSE()),FALSE()))</f>
        <v>0</v>
      </c>
      <c r="L19" s="31" t="e">
        <f aca="false">IF(ISERROR(AF18),L18,AF18)</f>
        <v>#VALUE!</v>
      </c>
      <c r="M19" s="31" t="str">
        <f aca="false">IF(G19&gt;G20,"Expansion",IF(G19=G20,"No Change","Compression"))</f>
        <v>Expansion</v>
      </c>
      <c r="N19" s="31" t="e">
        <f aca="false">ROUNDDOWN(BILINTERP(inputtables!$A$26:$N$44,ABS(I19),D$6),8)</f>
        <v>#VALUE!</v>
      </c>
      <c r="O19" s="31" t="e">
        <f aca="false">AC18</f>
        <v>#VALUE!</v>
      </c>
      <c r="P19" s="52" t="e">
        <f aca="false">N19*G$2</f>
        <v>#VALUE!</v>
      </c>
      <c r="Q19" s="31" t="e">
        <f aca="false">nu(L19,1.4)</f>
        <v>#VALUE!</v>
      </c>
      <c r="R19" s="50" t="e">
        <f aca="false">IF(M19="Expansion",Q19+ABS(J19),IF(M19="Compression",Q19-ABS(J19),Q19))</f>
        <v>#VALUE!</v>
      </c>
      <c r="S19" s="31" t="e">
        <f aca="false">IF(I18&gt;=I19,ROUNDDOWN((newtonmethod(L19,R19)),6),ROUNDDOWN(M2oblique(L19,J19,1.4),6))</f>
        <v>#VALUE!</v>
      </c>
      <c r="T19" s="31" t="e">
        <f aca="false">IF(I18&gt;=I19,p1p2(L19,S19,1.4),p1p2oblique(L19,J19,1.4))</f>
        <v>#VALUE!</v>
      </c>
      <c r="U19" s="53" t="e">
        <f aca="false">ROUNDDOWN((1/T19)*O19,6)</f>
        <v>#VALUE!</v>
      </c>
      <c r="V19" s="31" t="e">
        <f aca="false">(1.4*O19*L19^2)/(2*(L19^2-1))</f>
        <v>#VALUE!</v>
      </c>
      <c r="W19" s="31" t="e">
        <f aca="false">(1.4*U19*S19^2)/(2*(S19^2-1))</f>
        <v>#VALUE!</v>
      </c>
      <c r="X19" s="31" t="e">
        <f aca="false">omega(L19,1.4)</f>
        <v>#VALUE!</v>
      </c>
      <c r="Y19" s="31" t="e">
        <f aca="false">omega(S19,1.4)</f>
        <v>#VALUE!</v>
      </c>
      <c r="Z19" s="7" t="e">
        <f aca="false">AD18</f>
        <v>#VALUE!</v>
      </c>
      <c r="AA19" s="8" t="e">
        <f aca="false">(dpds2(1.4,J19,L19,S19,O19,U19,V19,W19,E18,X19,Y19,G18,G19,Z19))</f>
        <v>#VALUE!</v>
      </c>
      <c r="AB19" s="8" t="e">
        <f aca="false">(eta(AA19,P19,U19,G19,D18,D19))</f>
        <v>#VALUE!</v>
      </c>
      <c r="AC19" s="31" t="e">
        <f aca="false">ROUNDDOWN(Pmainval(P19,U19,AB19),8)</f>
        <v>#VALUE!</v>
      </c>
      <c r="AD19" s="31" t="e">
        <f aca="false">((dpds3(P19,U19,AC19,AA19)))</f>
        <v>#VALUE!</v>
      </c>
      <c r="AE19" s="31" t="e">
        <f aca="false">U19/AC19</f>
        <v>#VALUE!</v>
      </c>
      <c r="AF19" s="31" t="e">
        <f aca="false">ROUNDDOWN((Machfinder(AE19,S19,1.4)),6)</f>
        <v>#VALUE!</v>
      </c>
      <c r="AG19" s="31" t="e">
        <f aca="false">AC19/G$2</f>
        <v>#VALUE!</v>
      </c>
      <c r="AH19" s="31" t="n">
        <f aca="false">D19/D$3</f>
        <v>0.0454545454545455</v>
      </c>
      <c r="AI19" s="31" t="e">
        <f aca="false">(2/(1.4*D$6^2))*(AG19-1)</f>
        <v>#VALUE!</v>
      </c>
      <c r="AJ19" s="31" t="e">
        <f aca="false">IF(K19=FALSE(),drag(D18,D19,E18,E19,G19,P19,U19,AB19,AA19),0)</f>
        <v>#VALUE!</v>
      </c>
      <c r="AK19" s="31"/>
      <c r="AL19" s="54"/>
      <c r="AN19" s="0" t="e">
        <f aca="false">ASIN(1/L19)</f>
        <v>#VALUE!</v>
      </c>
      <c r="AO19" s="0" t="e">
        <f aca="false">ASIN(1/S19)</f>
        <v>#VALUE!</v>
      </c>
      <c r="AP19" s="0" t="e">
        <f aca="false">2*1.4*O19/SIN(2*AN19)</f>
        <v>#VALUE!</v>
      </c>
      <c r="AQ19" s="0" t="e">
        <f aca="false">2*1.4*U19/SIN(2*AO19)</f>
        <v>#VALUE!</v>
      </c>
      <c r="AR19" s="0" t="e">
        <f aca="false">ROUNDDOWN(BILINTERP(inputtables!$A$48:$N$66,ABS(I19),D$6),8)</f>
        <v>#VALUE!</v>
      </c>
      <c r="AS19" s="0" t="e">
        <f aca="false">AT18</f>
        <v>#VALUE!</v>
      </c>
      <c r="AT19" s="0" t="e">
        <f aca="false">DeltaL(M$16:M19,U19,O19,J19,M19,L19,1.4,AB19,G19,AR19,AP19,AQ19,AS19)</f>
        <v>#VALUE!</v>
      </c>
      <c r="AU19" s="0" t="e">
        <f aca="false">IF(K19=TRUE(),Segment_Cnalpha(E18,E19,$J$2),cnalpha(D18,D19,E18,E19,G19,P19,U19,AB19,AA19,AP19,AQ19,AS19,AR19,J$3))</f>
        <v>#VALUE!</v>
      </c>
      <c r="AW19" s="0" t="e">
        <f aca="false">IF(K19=TRUE(),Segment_CMalpha(AU19,AX19),cmalpha1(D18,D19,E18,E19,G19,P19,U19,AB19,AA19,AP19,AQ19,AS19,AR19,J$3,D$4))</f>
        <v>#VALUE!</v>
      </c>
      <c r="AX19" s="0" t="e">
        <f aca="false">IF(K19=TRUE(),Segment_CP(D18,D19,E18,E19),-$D$4*AW19/AU19)</f>
        <v>#VALUE!</v>
      </c>
      <c r="BD19" s="31"/>
      <c r="BE19" s="31"/>
      <c r="BI19" s="31"/>
    </row>
    <row r="20" customFormat="false" ht="15" hidden="false" customHeight="false" outlineLevel="0" collapsed="false">
      <c r="B20" s="31"/>
      <c r="C20" s="48" t="n">
        <f aca="false">C19+1</f>
        <v>6</v>
      </c>
      <c r="D20" s="16" t="n">
        <v>3</v>
      </c>
      <c r="E20" s="49" t="n">
        <v>0.56059761</v>
      </c>
      <c r="F20" s="31" t="n">
        <f aca="false">(E20-E19)</f>
        <v>0.064026511</v>
      </c>
      <c r="G20" s="31" t="n">
        <f aca="false">ROUNDDOWN(ATAN(F20/(D20-D19)),6)</f>
        <v>0.127359</v>
      </c>
      <c r="H20" s="31" t="n">
        <f aca="false">IF(G20&gt;0,F20/SIN(G20),D20-D19)</f>
        <v>0.504086303048061</v>
      </c>
      <c r="I20" s="31" t="n">
        <f aca="false">ROUNDDOWN(G20*180/PI(),8)</f>
        <v>7.29713318</v>
      </c>
      <c r="J20" s="7" t="e">
        <f aca="false">ROUNDDOWN(epsilonangle(G19,G20),8)</f>
        <v>#VALUE!</v>
      </c>
      <c r="K20" s="31" t="n">
        <f aca="false">IF(K19=TRUE(),TRUE(),IF(M20="Compression",IF(G20&gt;(0.3208*(L20^2-1)^(3/2)/L20^2),TRUE(),FALSE()),FALSE()))</f>
        <v>0</v>
      </c>
      <c r="L20" s="31" t="e">
        <f aca="false">IF(ISERROR(AF19),L19,AF19)</f>
        <v>#VALUE!</v>
      </c>
      <c r="M20" s="31" t="str">
        <f aca="false">IF(G20&gt;G21,"Expansion",IF(G20=G21,"No Change","Compression"))</f>
        <v>Expansion</v>
      </c>
      <c r="N20" s="31" t="e">
        <f aca="false">ROUNDDOWN(BILINTERP(inputtables!$A$26:$N$44,ABS(I20),D$6),8)</f>
        <v>#VALUE!</v>
      </c>
      <c r="O20" s="31" t="e">
        <f aca="false">AC19</f>
        <v>#VALUE!</v>
      </c>
      <c r="P20" s="52" t="e">
        <f aca="false">N20*G$2</f>
        <v>#VALUE!</v>
      </c>
      <c r="Q20" s="31" t="e">
        <f aca="false">nu(L20,1.4)</f>
        <v>#VALUE!</v>
      </c>
      <c r="R20" s="50" t="e">
        <f aca="false">IF(M20="Expansion",Q20+ABS(J20),IF(M20="Compression",Q20-ABS(J20),Q20))</f>
        <v>#VALUE!</v>
      </c>
      <c r="S20" s="31" t="e">
        <f aca="false">IF(I19&gt;=I20,ROUNDDOWN((newtonmethod(L20,R20)),6),ROUNDDOWN(M2oblique(L20,J20,1.4),6))</f>
        <v>#VALUE!</v>
      </c>
      <c r="T20" s="31" t="e">
        <f aca="false">IF(I19&gt;=I20,p1p2(L20,S20,1.4),p1p2oblique(L20,J20,1.4))</f>
        <v>#VALUE!</v>
      </c>
      <c r="U20" s="53" t="e">
        <f aca="false">ROUNDDOWN((1/T20)*O20,6)</f>
        <v>#VALUE!</v>
      </c>
      <c r="V20" s="31" t="e">
        <f aca="false">(1.4*O20*L20^2)/(2*(L20^2-1))</f>
        <v>#VALUE!</v>
      </c>
      <c r="W20" s="31" t="e">
        <f aca="false">(1.4*U20*S20^2)/(2*(S20^2-1))</f>
        <v>#VALUE!</v>
      </c>
      <c r="X20" s="31" t="e">
        <f aca="false">omega(L20,1.4)</f>
        <v>#VALUE!</v>
      </c>
      <c r="Y20" s="31" t="e">
        <f aca="false">omega(S20,1.4)</f>
        <v>#VALUE!</v>
      </c>
      <c r="Z20" s="7" t="e">
        <f aca="false">AD19</f>
        <v>#VALUE!</v>
      </c>
      <c r="AA20" s="8" t="e">
        <f aca="false">(dpds2(1.4,J20,L20,S20,O20,U20,V20,W20,E19,X20,Y20,G19,G20,Z20))</f>
        <v>#VALUE!</v>
      </c>
      <c r="AB20" s="8" t="e">
        <f aca="false">(eta(AA20,P20,U20,G20,D19,D20))</f>
        <v>#VALUE!</v>
      </c>
      <c r="AC20" s="31" t="e">
        <f aca="false">ROUNDDOWN(Pmainval(P20,U20,AB20),8)</f>
        <v>#VALUE!</v>
      </c>
      <c r="AD20" s="31" t="e">
        <f aca="false">((dpds3(P20,U20,AC20,AA20)))</f>
        <v>#VALUE!</v>
      </c>
      <c r="AE20" s="31" t="e">
        <f aca="false">U20/AC20</f>
        <v>#VALUE!</v>
      </c>
      <c r="AF20" s="31" t="e">
        <f aca="false">ROUNDDOWN((Machfinder(AE20,S20,1.4)),6)</f>
        <v>#VALUE!</v>
      </c>
      <c r="AG20" s="31" t="e">
        <f aca="false">AC20/G$2</f>
        <v>#VALUE!</v>
      </c>
      <c r="AH20" s="31" t="n">
        <f aca="false">D20/D$3</f>
        <v>0.0545454545454545</v>
      </c>
      <c r="AI20" s="31" t="e">
        <f aca="false">(2/(1.4*D$6^2))*(AG20-1)</f>
        <v>#VALUE!</v>
      </c>
      <c r="AJ20" s="31" t="e">
        <f aca="false">IF(K20=FALSE(),drag(D19,D20,E19,E20,G20,P20,U20,AB20,AA20),0)</f>
        <v>#VALUE!</v>
      </c>
      <c r="AK20" s="31"/>
      <c r="AL20" s="54"/>
      <c r="AN20" s="0" t="e">
        <f aca="false">ASIN(1/L20)</f>
        <v>#VALUE!</v>
      </c>
      <c r="AO20" s="0" t="e">
        <f aca="false">ASIN(1/S20)</f>
        <v>#VALUE!</v>
      </c>
      <c r="AP20" s="0" t="e">
        <f aca="false">2*1.4*O20/SIN(2*AN20)</f>
        <v>#VALUE!</v>
      </c>
      <c r="AQ20" s="0" t="e">
        <f aca="false">2*1.4*U20/SIN(2*AO20)</f>
        <v>#VALUE!</v>
      </c>
      <c r="AR20" s="0" t="e">
        <f aca="false">ROUNDDOWN(BILINTERP(inputtables!$A$48:$N$66,ABS(I20),D$6),8)</f>
        <v>#VALUE!</v>
      </c>
      <c r="AS20" s="0" t="e">
        <f aca="false">AT19</f>
        <v>#VALUE!</v>
      </c>
      <c r="AT20" s="0" t="e">
        <f aca="false">DeltaL(M$16:M20,U20,O20,J20,M20,L20,1.4,AB20,G20,AR20,AP20,AQ20,AS20)</f>
        <v>#VALUE!</v>
      </c>
      <c r="AU20" s="0" t="e">
        <f aca="false">IF(K20=TRUE(),Segment_Cnalpha(E19,E20,$J$2),cnalpha(D19,D20,E19,E20,G20,P20,U20,AB20,AA20,AP20,AQ20,AS20,AR20,J$3))</f>
        <v>#VALUE!</v>
      </c>
      <c r="AW20" s="0" t="e">
        <f aca="false">IF(K20=TRUE(),Segment_CMalpha(AU20,AX20),cmalpha1(D19,D20,E19,E20,G20,P20,U20,AB20,AA20,AP20,AQ20,AS20,AR20,J$3,D$4))</f>
        <v>#VALUE!</v>
      </c>
      <c r="AX20" s="0" t="e">
        <f aca="false">IF(K20=TRUE(),Segment_CP(D19,D20,E19,E20),-$D$4*AW20/AU20)</f>
        <v>#VALUE!</v>
      </c>
      <c r="BD20" s="31"/>
      <c r="BE20" s="31"/>
      <c r="BI20" s="31"/>
    </row>
    <row r="21" customFormat="false" ht="15" hidden="false" customHeight="false" outlineLevel="0" collapsed="false">
      <c r="B21" s="31"/>
      <c r="C21" s="48" t="n">
        <f aca="false">C20+1</f>
        <v>7</v>
      </c>
      <c r="D21" s="16" t="n">
        <v>3.5</v>
      </c>
      <c r="E21" s="49" t="n">
        <v>0.619446495</v>
      </c>
      <c r="F21" s="31" t="n">
        <f aca="false">(E21-E20)</f>
        <v>0.0588488850000001</v>
      </c>
      <c r="G21" s="31" t="n">
        <f aca="false">ROUNDDOWN(ATAN(F21/(D21-D20)),6)</f>
        <v>0.117158</v>
      </c>
      <c r="H21" s="31" t="n">
        <f aca="false">IF(G21&gt;0,F21/SIN(G21),D21-D20)</f>
        <v>0.503454544305736</v>
      </c>
      <c r="I21" s="31" t="n">
        <f aca="false">ROUNDDOWN(G21*180/PI(),8)</f>
        <v>6.71265893</v>
      </c>
      <c r="J21" s="7" t="e">
        <f aca="false">ROUNDDOWN(epsilonangle(G20,G21),8)</f>
        <v>#VALUE!</v>
      </c>
      <c r="K21" s="31" t="n">
        <f aca="false">IF(K20=TRUE(),TRUE(),IF(M21="Compression",IF(G21&gt;(0.3208*(L21^2-1)^(3/2)/L21^2),TRUE(),FALSE()),FALSE()))</f>
        <v>0</v>
      </c>
      <c r="L21" s="31" t="e">
        <f aca="false">IF(ISERROR(AF20),L20,AF20)</f>
        <v>#VALUE!</v>
      </c>
      <c r="M21" s="31" t="str">
        <f aca="false">IF(G21&gt;G22,"Expansion",IF(G21=G22,"No Change","Compression"))</f>
        <v>Expansion</v>
      </c>
      <c r="N21" s="31" t="e">
        <f aca="false">ROUNDDOWN(BILINTERP(inputtables!$A$26:$N$44,ABS(I21),D$6),8)</f>
        <v>#VALUE!</v>
      </c>
      <c r="O21" s="31" t="e">
        <f aca="false">AC20</f>
        <v>#VALUE!</v>
      </c>
      <c r="P21" s="52" t="e">
        <f aca="false">N21*G$2</f>
        <v>#VALUE!</v>
      </c>
      <c r="Q21" s="31" t="e">
        <f aca="false">nu(L21,1.4)</f>
        <v>#VALUE!</v>
      </c>
      <c r="R21" s="50" t="e">
        <f aca="false">IF(M21="Expansion",Q21+ABS(J21),IF(M21="Compression",Q21-ABS(J21),Q21))</f>
        <v>#VALUE!</v>
      </c>
      <c r="S21" s="31" t="e">
        <f aca="false">IF(I20&gt;=I21,ROUNDDOWN((newtonmethod(L21,R21)),6),ROUNDDOWN(M2oblique(L21,J21,1.4),6))</f>
        <v>#VALUE!</v>
      </c>
      <c r="T21" s="31" t="e">
        <f aca="false">IF(I20&gt;=I21,p1p2(L21,S21,1.4),p1p2oblique(L21,J21,1.4))</f>
        <v>#VALUE!</v>
      </c>
      <c r="U21" s="53" t="e">
        <f aca="false">ROUNDDOWN((1/T21)*O21,6)</f>
        <v>#VALUE!</v>
      </c>
      <c r="V21" s="31" t="e">
        <f aca="false">(1.4*O21*L21^2)/(2*(L21^2-1))</f>
        <v>#VALUE!</v>
      </c>
      <c r="W21" s="31" t="e">
        <f aca="false">(1.4*U21*S21^2)/(2*(S21^2-1))</f>
        <v>#VALUE!</v>
      </c>
      <c r="X21" s="31" t="e">
        <f aca="false">omega(L21,1.4)</f>
        <v>#VALUE!</v>
      </c>
      <c r="Y21" s="31" t="e">
        <f aca="false">omega(S21,1.4)</f>
        <v>#VALUE!</v>
      </c>
      <c r="Z21" s="7" t="e">
        <f aca="false">AD20</f>
        <v>#VALUE!</v>
      </c>
      <c r="AA21" s="8" t="e">
        <f aca="false">(dpds2(1.4,J21,L21,S21,O21,U21,V21,W21,E20,X21,Y21,G20,G21,Z21))</f>
        <v>#VALUE!</v>
      </c>
      <c r="AB21" s="8" t="e">
        <f aca="false">(eta(AA21,P21,U21,G21,D20,D21))</f>
        <v>#VALUE!</v>
      </c>
      <c r="AC21" s="31" t="e">
        <f aca="false">ROUNDDOWN(Pmainval(P21,U21,AB21),8)</f>
        <v>#VALUE!</v>
      </c>
      <c r="AD21" s="31" t="e">
        <f aca="false">((dpds3(P21,U21,AC21,AA21)))</f>
        <v>#VALUE!</v>
      </c>
      <c r="AE21" s="31" t="e">
        <f aca="false">U21/AC21</f>
        <v>#VALUE!</v>
      </c>
      <c r="AF21" s="31" t="e">
        <f aca="false">ROUNDDOWN((Machfinder(AE21,S21,1.4)),6)</f>
        <v>#VALUE!</v>
      </c>
      <c r="AG21" s="31" t="e">
        <f aca="false">AC21/G$2</f>
        <v>#VALUE!</v>
      </c>
      <c r="AH21" s="31" t="n">
        <f aca="false">D21/D$3</f>
        <v>0.0636363636363636</v>
      </c>
      <c r="AI21" s="31" t="e">
        <f aca="false">(2/(1.4*D$6^2))*(AG21-1)</f>
        <v>#VALUE!</v>
      </c>
      <c r="AJ21" s="31" t="e">
        <f aca="false">IF(K21=FALSE(),drag(D20,D21,E20,E21,G21,P21,U21,AB21,AA21),0)</f>
        <v>#VALUE!</v>
      </c>
      <c r="AK21" s="31"/>
      <c r="AL21" s="54"/>
      <c r="AN21" s="0" t="e">
        <f aca="false">ASIN(1/L21)</f>
        <v>#VALUE!</v>
      </c>
      <c r="AO21" s="0" t="e">
        <f aca="false">ASIN(1/S21)</f>
        <v>#VALUE!</v>
      </c>
      <c r="AP21" s="0" t="e">
        <f aca="false">2*1.4*O21/SIN(2*AN21)</f>
        <v>#VALUE!</v>
      </c>
      <c r="AQ21" s="0" t="e">
        <f aca="false">2*1.4*U21/SIN(2*AO21)</f>
        <v>#VALUE!</v>
      </c>
      <c r="AR21" s="0" t="e">
        <f aca="false">ROUNDDOWN(BILINTERP(inputtables!$A$48:$N$66,ABS(I21),D$6),8)</f>
        <v>#VALUE!</v>
      </c>
      <c r="AS21" s="0" t="e">
        <f aca="false">AT20</f>
        <v>#VALUE!</v>
      </c>
      <c r="AT21" s="0" t="e">
        <f aca="false">DeltaL(M$16:M21,U21,O21,J21,M21,L21,1.4,AB21,G21,AR21,AP21,AQ21,AS21)</f>
        <v>#VALUE!</v>
      </c>
      <c r="AU21" s="0" t="e">
        <f aca="false">IF(K21=TRUE(),Segment_Cnalpha(E20,E21,$J$2),cnalpha(D20,D21,E20,E21,G21,P21,U21,AB21,AA21,AP21,AQ21,AS21,AR21,J$3))</f>
        <v>#VALUE!</v>
      </c>
      <c r="AW21" s="0" t="e">
        <f aca="false">IF(K21=TRUE(),Segment_CMalpha(AU21,AX21),cmalpha1(D20,D21,E20,E21,G21,P21,U21,AB21,AA21,AP21,AQ21,AS21,AR21,J$3,D$4))</f>
        <v>#VALUE!</v>
      </c>
      <c r="AX21" s="0" t="e">
        <f aca="false">IF(K21=TRUE(),Segment_CP(D20,D21,E20,E21),-$D$4*AW21/AU21)</f>
        <v>#VALUE!</v>
      </c>
      <c r="BD21" s="31"/>
      <c r="BE21" s="31"/>
      <c r="BI21" s="31"/>
    </row>
    <row r="22" customFormat="false" ht="15" hidden="false" customHeight="false" outlineLevel="0" collapsed="false">
      <c r="B22" s="31"/>
      <c r="C22" s="48" t="n">
        <f aca="false">C21+1</f>
        <v>8</v>
      </c>
      <c r="D22" s="16" t="n">
        <v>4</v>
      </c>
      <c r="E22" s="49" t="n">
        <v>0.673740633</v>
      </c>
      <c r="F22" s="31" t="n">
        <f aca="false">(E22-E21)</f>
        <v>0.0542941379999999</v>
      </c>
      <c r="G22" s="31" t="n">
        <f aca="false">ROUNDDOWN(ATAN(F22/(D22-D21)),6)</f>
        <v>0.108164</v>
      </c>
      <c r="H22" s="31" t="n">
        <f aca="false">IF(G22&gt;0,F22/SIN(G22),D22-D21)</f>
        <v>0.502941378671078</v>
      </c>
      <c r="I22" s="31" t="n">
        <f aca="false">ROUNDDOWN(G22*180/PI(),8)</f>
        <v>6.19734069</v>
      </c>
      <c r="J22" s="7" t="e">
        <f aca="false">ROUNDDOWN(epsilonangle(G21,G22),8)</f>
        <v>#VALUE!</v>
      </c>
      <c r="K22" s="31" t="n">
        <f aca="false">IF(K21=TRUE(),TRUE(),IF(M22="Compression",IF(G22&gt;(0.3208*(L22^2-1)^(3/2)/L22^2),TRUE(),FALSE()),FALSE()))</f>
        <v>0</v>
      </c>
      <c r="L22" s="31" t="e">
        <f aca="false">IF(ISERROR(AF21),L21,AF21)</f>
        <v>#VALUE!</v>
      </c>
      <c r="M22" s="31" t="str">
        <f aca="false">IF(G22&gt;G23,"Expansion",IF(G22=G23,"No Change","Compression"))</f>
        <v>Expansion</v>
      </c>
      <c r="N22" s="31" t="e">
        <f aca="false">ROUNDDOWN(BILINTERP(inputtables!$A$26:$N$44,ABS(I22),D$6),8)</f>
        <v>#VALUE!</v>
      </c>
      <c r="O22" s="31" t="e">
        <f aca="false">AC21</f>
        <v>#VALUE!</v>
      </c>
      <c r="P22" s="52" t="e">
        <f aca="false">N22*G$2</f>
        <v>#VALUE!</v>
      </c>
      <c r="Q22" s="31" t="e">
        <f aca="false">nu(L22,1.4)</f>
        <v>#VALUE!</v>
      </c>
      <c r="R22" s="50" t="e">
        <f aca="false">IF(M22="Expansion",Q22+ABS(J22),IF(M22="Compression",Q22-ABS(J22),Q22))</f>
        <v>#VALUE!</v>
      </c>
      <c r="S22" s="31" t="e">
        <f aca="false">IF(I21&gt;=I22,ROUNDDOWN((newtonmethod(L22,R22)),6),ROUNDDOWN(M2oblique(L22,J22,1.4),6))</f>
        <v>#VALUE!</v>
      </c>
      <c r="T22" s="31" t="e">
        <f aca="false">IF(I21&gt;=I22,p1p2(L22,S22,1.4),p1p2oblique(L22,J22,1.4))</f>
        <v>#VALUE!</v>
      </c>
      <c r="U22" s="53" t="e">
        <f aca="false">ROUNDDOWN((1/T22)*O22,6)</f>
        <v>#VALUE!</v>
      </c>
      <c r="V22" s="31" t="e">
        <f aca="false">(1.4*O22*L22^2)/(2*(L22^2-1))</f>
        <v>#VALUE!</v>
      </c>
      <c r="W22" s="31" t="e">
        <f aca="false">(1.4*U22*S22^2)/(2*(S22^2-1))</f>
        <v>#VALUE!</v>
      </c>
      <c r="X22" s="31" t="e">
        <f aca="false">omega(L22,1.4)</f>
        <v>#VALUE!</v>
      </c>
      <c r="Y22" s="31" t="e">
        <f aca="false">omega(S22,1.4)</f>
        <v>#VALUE!</v>
      </c>
      <c r="Z22" s="7" t="e">
        <f aca="false">AD21</f>
        <v>#VALUE!</v>
      </c>
      <c r="AA22" s="8" t="e">
        <f aca="false">(dpds2(1.4,J22,L22,S22,O22,U22,V22,W22,E21,X22,Y22,G21,G22,Z22))</f>
        <v>#VALUE!</v>
      </c>
      <c r="AB22" s="8" t="e">
        <f aca="false">(eta(AA22,P22,U22,G22,D21,D22))</f>
        <v>#VALUE!</v>
      </c>
      <c r="AC22" s="31" t="e">
        <f aca="false">ROUNDDOWN(Pmainval(P22,U22,AB22),8)</f>
        <v>#VALUE!</v>
      </c>
      <c r="AD22" s="31" t="e">
        <f aca="false">((dpds3(P22,U22,AC22,AA22)))</f>
        <v>#VALUE!</v>
      </c>
      <c r="AE22" s="31" t="e">
        <f aca="false">U22/AC22</f>
        <v>#VALUE!</v>
      </c>
      <c r="AF22" s="31" t="e">
        <f aca="false">ROUNDDOWN((Machfinder(AE22,S22,1.4)),6)</f>
        <v>#VALUE!</v>
      </c>
      <c r="AG22" s="31" t="e">
        <f aca="false">AC22/G$2</f>
        <v>#VALUE!</v>
      </c>
      <c r="AH22" s="31" t="n">
        <f aca="false">D22/D$3</f>
        <v>0.0727272727272727</v>
      </c>
      <c r="AI22" s="31" t="e">
        <f aca="false">(2/(1.4*D$6^2))*(AG22-1)</f>
        <v>#VALUE!</v>
      </c>
      <c r="AJ22" s="31" t="e">
        <f aca="false">IF(K22=FALSE(),drag(D21,D22,E21,E22,G22,P22,U22,AB22,AA22),0)</f>
        <v>#VALUE!</v>
      </c>
      <c r="AK22" s="31"/>
      <c r="AL22" s="54"/>
      <c r="AN22" s="0" t="e">
        <f aca="false">ASIN(1/L22)</f>
        <v>#VALUE!</v>
      </c>
      <c r="AO22" s="0" t="e">
        <f aca="false">ASIN(1/S22)</f>
        <v>#VALUE!</v>
      </c>
      <c r="AP22" s="0" t="e">
        <f aca="false">2*1.4*O22/SIN(2*AN22)</f>
        <v>#VALUE!</v>
      </c>
      <c r="AQ22" s="0" t="e">
        <f aca="false">2*1.4*U22/SIN(2*AO22)</f>
        <v>#VALUE!</v>
      </c>
      <c r="AR22" s="0" t="e">
        <f aca="false">ROUNDDOWN(BILINTERP(inputtables!$A$48:$N$66,ABS(I22),D$6),8)</f>
        <v>#VALUE!</v>
      </c>
      <c r="AS22" s="0" t="e">
        <f aca="false">AT21</f>
        <v>#VALUE!</v>
      </c>
      <c r="AT22" s="0" t="e">
        <f aca="false">DeltaL(M$16:M22,U22,O22,J22,M22,L22,1.4,AB22,G22,AR22,AP22,AQ22,AS22)</f>
        <v>#VALUE!</v>
      </c>
      <c r="AU22" s="0" t="e">
        <f aca="false">IF(K22=TRUE(),Segment_Cnalpha(E21,E22,$J$2),cnalpha(D21,D22,E21,E22,G22,P22,U22,AB22,AA22,AP22,AQ22,AS22,AR22,J$3))</f>
        <v>#VALUE!</v>
      </c>
      <c r="AW22" s="0" t="e">
        <f aca="false">IF(K22=TRUE(),Segment_CMalpha(AU22,AX22),cmalpha1(D21,D22,E21,E22,G22,P22,U22,AB22,AA22,AP22,AQ22,AS22,AR22,J$3,D$4))</f>
        <v>#VALUE!</v>
      </c>
      <c r="AX22" s="0" t="e">
        <f aca="false">IF(K22=TRUE(),Segment_CP(D21,D22,E21,E22),-$D$4*AW22/AU22)</f>
        <v>#VALUE!</v>
      </c>
      <c r="BD22" s="31"/>
      <c r="BE22" s="31"/>
      <c r="BI22" s="31"/>
    </row>
    <row r="23" customFormat="false" ht="15" hidden="false" customHeight="false" outlineLevel="0" collapsed="false">
      <c r="B23" s="31"/>
      <c r="C23" s="48" t="n">
        <f aca="false">C22+1</f>
        <v>9</v>
      </c>
      <c r="D23" s="16" t="n">
        <v>4.5</v>
      </c>
      <c r="E23" s="49" t="n">
        <v>0.723932616</v>
      </c>
      <c r="F23" s="31" t="n">
        <f aca="false">(E23-E22)</f>
        <v>0.0501919830000001</v>
      </c>
      <c r="G23" s="31" t="n">
        <f aca="false">ROUNDDOWN(ATAN(F23/(D23-D22)),6)</f>
        <v>0.100048</v>
      </c>
      <c r="H23" s="31" t="n">
        <f aca="false">IF(G23&gt;0,F23/SIN(G23),D23-D22)</f>
        <v>0.502516937048186</v>
      </c>
      <c r="I23" s="31" t="n">
        <f aca="false">ROUNDDOWN(G23*180/PI(),8)</f>
        <v>5.73232814</v>
      </c>
      <c r="J23" s="7" t="e">
        <f aca="false">ROUNDDOWN(epsilonangle(G22,G23),8)</f>
        <v>#VALUE!</v>
      </c>
      <c r="K23" s="31" t="n">
        <f aca="false">IF(K22=TRUE(),TRUE(),IF(M23="Compression",IF(G23&gt;(0.3208*(L23^2-1)^(3/2)/L23^2),TRUE(),FALSE()),FALSE()))</f>
        <v>0</v>
      </c>
      <c r="L23" s="31" t="e">
        <f aca="false">IF(ISERROR(AF22),L22,AF22)</f>
        <v>#VALUE!</v>
      </c>
      <c r="M23" s="31" t="str">
        <f aca="false">IF(G23&gt;G24,"Expansion",IF(G23=G24,"No Change","Compression"))</f>
        <v>Expansion</v>
      </c>
      <c r="N23" s="31" t="e">
        <f aca="false">ROUNDDOWN(BILINTERP(inputtables!$A$26:$N$44,ABS(I23),D$6),8)</f>
        <v>#VALUE!</v>
      </c>
      <c r="O23" s="31" t="e">
        <f aca="false">AC22</f>
        <v>#VALUE!</v>
      </c>
      <c r="P23" s="52" t="e">
        <f aca="false">N23*G$2</f>
        <v>#VALUE!</v>
      </c>
      <c r="Q23" s="31" t="e">
        <f aca="false">nu(L23,1.4)</f>
        <v>#VALUE!</v>
      </c>
      <c r="R23" s="50" t="e">
        <f aca="false">IF(M23="Expansion",Q23+ABS(J23),IF(M23="Compression",Q23-ABS(J23),Q23))</f>
        <v>#VALUE!</v>
      </c>
      <c r="S23" s="31" t="e">
        <f aca="false">IF(I22&gt;=I23,ROUNDDOWN((newtonmethod(L23,R23)),6),ROUNDDOWN(M2oblique(L23,J23,1.4),6))</f>
        <v>#VALUE!</v>
      </c>
      <c r="T23" s="31" t="e">
        <f aca="false">IF(I22&gt;=I23,p1p2(L23,S23,1.4),p1p2oblique(L23,J23,1.4))</f>
        <v>#VALUE!</v>
      </c>
      <c r="U23" s="53" t="e">
        <f aca="false">ROUNDDOWN((1/T23)*O23,6)</f>
        <v>#VALUE!</v>
      </c>
      <c r="V23" s="31" t="e">
        <f aca="false">(1.4*O23*L23^2)/(2*(L23^2-1))</f>
        <v>#VALUE!</v>
      </c>
      <c r="W23" s="31" t="e">
        <f aca="false">(1.4*U23*S23^2)/(2*(S23^2-1))</f>
        <v>#VALUE!</v>
      </c>
      <c r="X23" s="31" t="e">
        <f aca="false">omega(L23,1.4)</f>
        <v>#VALUE!</v>
      </c>
      <c r="Y23" s="31" t="e">
        <f aca="false">omega(S23,1.4)</f>
        <v>#VALUE!</v>
      </c>
      <c r="Z23" s="7" t="e">
        <f aca="false">AD22</f>
        <v>#VALUE!</v>
      </c>
      <c r="AA23" s="8" t="e">
        <f aca="false">(dpds2(1.4,J23,L23,S23,O23,U23,V23,W23,E22,X23,Y23,G22,G23,Z23))</f>
        <v>#VALUE!</v>
      </c>
      <c r="AB23" s="8" t="e">
        <f aca="false">(eta(AA23,P23,U23,G23,D22,D23))</f>
        <v>#VALUE!</v>
      </c>
      <c r="AC23" s="31" t="e">
        <f aca="false">ROUNDDOWN(Pmainval(P23,U23,AB23),8)</f>
        <v>#VALUE!</v>
      </c>
      <c r="AD23" s="31" t="e">
        <f aca="false">((dpds3(P23,U23,AC23,AA23)))</f>
        <v>#VALUE!</v>
      </c>
      <c r="AE23" s="31" t="e">
        <f aca="false">U23/AC23</f>
        <v>#VALUE!</v>
      </c>
      <c r="AF23" s="31" t="e">
        <f aca="false">ROUNDDOWN((Machfinder(AE23,S23,1.4)),6)</f>
        <v>#VALUE!</v>
      </c>
      <c r="AG23" s="31" t="e">
        <f aca="false">AC23/G$2</f>
        <v>#VALUE!</v>
      </c>
      <c r="AH23" s="31" t="n">
        <f aca="false">D23/D$3</f>
        <v>0.0818181818181818</v>
      </c>
      <c r="AI23" s="31" t="e">
        <f aca="false">(2/(1.4*D$6^2))*(AG23-1)</f>
        <v>#VALUE!</v>
      </c>
      <c r="AJ23" s="31" t="e">
        <f aca="false">IF(K23=FALSE(),drag(D22,D23,E22,E23,G23,P23,U23,AB23,AA23),0)</f>
        <v>#VALUE!</v>
      </c>
      <c r="AK23" s="31"/>
      <c r="AL23" s="54"/>
      <c r="AN23" s="0" t="e">
        <f aca="false">ASIN(1/L23)</f>
        <v>#VALUE!</v>
      </c>
      <c r="AO23" s="0" t="e">
        <f aca="false">ASIN(1/S23)</f>
        <v>#VALUE!</v>
      </c>
      <c r="AP23" s="0" t="e">
        <f aca="false">2*1.4*O23/SIN(2*AN23)</f>
        <v>#VALUE!</v>
      </c>
      <c r="AQ23" s="0" t="e">
        <f aca="false">2*1.4*U23/SIN(2*AO23)</f>
        <v>#VALUE!</v>
      </c>
      <c r="AR23" s="0" t="e">
        <f aca="false">ROUNDDOWN(BILINTERP(inputtables!$A$48:$N$66,ABS(I23),D$6),8)</f>
        <v>#VALUE!</v>
      </c>
      <c r="AS23" s="0" t="e">
        <f aca="false">AT22</f>
        <v>#VALUE!</v>
      </c>
      <c r="AT23" s="0" t="e">
        <f aca="false">DeltaL(M$16:M23,U23,O23,J23,M23,L23,1.4,AB23,G23,AR23,AP23,AQ23,AS23)</f>
        <v>#VALUE!</v>
      </c>
      <c r="AU23" s="0" t="e">
        <f aca="false">IF(K23=TRUE(),Segment_Cnalpha(E22,E23,$J$2),cnalpha(D22,D23,E22,E23,G23,P23,U23,AB23,AA23,AP23,AQ23,AS23,AR23,J$3))</f>
        <v>#VALUE!</v>
      </c>
      <c r="AW23" s="0" t="e">
        <f aca="false">IF(K23=TRUE(),Segment_CMalpha(AU23,AX23),cmalpha1(D22,D23,E22,E23,G23,P23,U23,AB23,AA23,AP23,AQ23,AS23,AR23,J$3,D$4))</f>
        <v>#VALUE!</v>
      </c>
      <c r="AX23" s="0" t="e">
        <f aca="false">IF(K23=TRUE(),Segment_CP(D22,D23,E22,E23),-$D$4*AW23/AU23)</f>
        <v>#VALUE!</v>
      </c>
      <c r="BD23" s="31"/>
      <c r="BE23" s="31"/>
      <c r="BI23" s="31"/>
    </row>
    <row r="24" customFormat="false" ht="15" hidden="false" customHeight="false" outlineLevel="0" collapsed="false">
      <c r="B24" s="31"/>
      <c r="C24" s="48" t="n">
        <f aca="false">C23+1</f>
        <v>10</v>
      </c>
      <c r="D24" s="16" t="n">
        <v>5</v>
      </c>
      <c r="E24" s="49" t="n">
        <v>0.770364717</v>
      </c>
      <c r="F24" s="31" t="n">
        <f aca="false">(E24-E23)</f>
        <v>0.046432101</v>
      </c>
      <c r="G24" s="31" t="n">
        <f aca="false">ROUNDDOWN(ATAN(F24/(D24-D23)),6)</f>
        <v>0.092598</v>
      </c>
      <c r="H24" s="31" t="n">
        <f aca="false">IF(G24&gt;0,F24/SIN(G24),D24-D23)</f>
        <v>0.502154710952996</v>
      </c>
      <c r="I24" s="31" t="n">
        <f aca="false">ROUNDDOWN(G24*180/PI(),8)</f>
        <v>5.30547459</v>
      </c>
      <c r="J24" s="7" t="e">
        <f aca="false">ROUNDDOWN(epsilonangle(G23,G24),8)</f>
        <v>#VALUE!</v>
      </c>
      <c r="K24" s="31" t="n">
        <f aca="false">IF(K23=TRUE(),TRUE(),IF(M24="Compression",IF(G24&gt;(0.3208*(L24^2-1)^(3/2)/L24^2),TRUE(),FALSE()),FALSE()))</f>
        <v>0</v>
      </c>
      <c r="L24" s="31" t="e">
        <f aca="false">IF(ISERROR(AF23),L23,AF23)</f>
        <v>#VALUE!</v>
      </c>
      <c r="M24" s="31" t="str">
        <f aca="false">IF(G24&gt;G25,"Expansion",IF(G24=G25,"No Change","Compression"))</f>
        <v>Expansion</v>
      </c>
      <c r="N24" s="31" t="e">
        <f aca="false">ROUNDDOWN(BILINTERP(inputtables!$A$26:$N$44,ABS(I24),D$6),8)</f>
        <v>#VALUE!</v>
      </c>
      <c r="O24" s="31" t="e">
        <f aca="false">AC23</f>
        <v>#VALUE!</v>
      </c>
      <c r="P24" s="52" t="e">
        <f aca="false">N24*G$2</f>
        <v>#VALUE!</v>
      </c>
      <c r="Q24" s="31" t="e">
        <f aca="false">nu(L24,1.4)</f>
        <v>#VALUE!</v>
      </c>
      <c r="R24" s="50" t="e">
        <f aca="false">IF(M24="Expansion",Q24+ABS(J24),IF(M24="Compression",Q24-ABS(J24),Q24))</f>
        <v>#VALUE!</v>
      </c>
      <c r="S24" s="31" t="e">
        <f aca="false">IF(I23&gt;=I24,ROUNDDOWN((newtonmethod(L24,R24)),6),ROUNDDOWN(M2oblique(L24,J24,1.4),6))</f>
        <v>#VALUE!</v>
      </c>
      <c r="T24" s="31" t="e">
        <f aca="false">IF(I23&gt;=I24,p1p2(L24,S24,1.4),p1p2oblique(L24,J24,1.4))</f>
        <v>#VALUE!</v>
      </c>
      <c r="U24" s="53" t="e">
        <f aca="false">ROUNDDOWN((1/T24)*O24,6)</f>
        <v>#VALUE!</v>
      </c>
      <c r="V24" s="31" t="e">
        <f aca="false">(1.4*O24*L24^2)/(2*(L24^2-1))</f>
        <v>#VALUE!</v>
      </c>
      <c r="W24" s="31" t="e">
        <f aca="false">(1.4*U24*S24^2)/(2*(S24^2-1))</f>
        <v>#VALUE!</v>
      </c>
      <c r="X24" s="31" t="e">
        <f aca="false">omega(L24,1.4)</f>
        <v>#VALUE!</v>
      </c>
      <c r="Y24" s="31" t="e">
        <f aca="false">omega(S24,1.4)</f>
        <v>#VALUE!</v>
      </c>
      <c r="Z24" s="7" t="e">
        <f aca="false">AD23</f>
        <v>#VALUE!</v>
      </c>
      <c r="AA24" s="8" t="e">
        <f aca="false">(dpds2(1.4,J24,L24,S24,O24,U24,V24,W24,E23,X24,Y24,G23,G24,Z24))</f>
        <v>#VALUE!</v>
      </c>
      <c r="AB24" s="8" t="e">
        <f aca="false">(eta(AA24,P24,U24,G24,D23,D24))</f>
        <v>#VALUE!</v>
      </c>
      <c r="AC24" s="31" t="e">
        <f aca="false">ROUNDDOWN(Pmainval(P24,U24,AB24),8)</f>
        <v>#VALUE!</v>
      </c>
      <c r="AD24" s="31" t="e">
        <f aca="false">((dpds3(P24,U24,AC24,AA24)))</f>
        <v>#VALUE!</v>
      </c>
      <c r="AE24" s="31" t="e">
        <f aca="false">U24/AC24</f>
        <v>#VALUE!</v>
      </c>
      <c r="AF24" s="31" t="e">
        <f aca="false">ROUNDDOWN((Machfinder(AE24,S24,1.4)),6)</f>
        <v>#VALUE!</v>
      </c>
      <c r="AG24" s="31" t="e">
        <f aca="false">AC24/G$2</f>
        <v>#VALUE!</v>
      </c>
      <c r="AH24" s="31" t="n">
        <f aca="false">D24/D$3</f>
        <v>0.0909090909090909</v>
      </c>
      <c r="AI24" s="31" t="e">
        <f aca="false">(2/(1.4*D$6^2))*(AG24-1)</f>
        <v>#VALUE!</v>
      </c>
      <c r="AJ24" s="31" t="e">
        <f aca="false">IF(K24=FALSE(),drag(D23,D24,E23,E24,G24,P24,U24,AB24,AA24),0)</f>
        <v>#VALUE!</v>
      </c>
      <c r="AK24" s="31"/>
      <c r="AL24" s="54"/>
      <c r="AN24" s="0" t="e">
        <f aca="false">ASIN(1/L24)</f>
        <v>#VALUE!</v>
      </c>
      <c r="AO24" s="0" t="e">
        <f aca="false">ASIN(1/S24)</f>
        <v>#VALUE!</v>
      </c>
      <c r="AP24" s="0" t="e">
        <f aca="false">2*1.4*O24/SIN(2*AN24)</f>
        <v>#VALUE!</v>
      </c>
      <c r="AQ24" s="0" t="e">
        <f aca="false">2*1.4*U24/SIN(2*AO24)</f>
        <v>#VALUE!</v>
      </c>
      <c r="AR24" s="0" t="e">
        <f aca="false">ROUNDDOWN(BILINTERP(inputtables!$A$48:$N$66,ABS(I24),D$6),8)</f>
        <v>#VALUE!</v>
      </c>
      <c r="AS24" s="0" t="e">
        <f aca="false">AT23</f>
        <v>#VALUE!</v>
      </c>
      <c r="AT24" s="0" t="e">
        <f aca="false">DeltaL(M$16:M24,U24,O24,J24,M24,L24,1.4,AB24,G24,AR24,AP24,AQ24,AS24)</f>
        <v>#VALUE!</v>
      </c>
      <c r="AU24" s="0" t="e">
        <f aca="false">IF(K24=TRUE(),Segment_Cnalpha(E23,E24,$J$2),cnalpha(D23,D24,E23,E24,G24,P24,U24,AB24,AA24,AP24,AQ24,AS24,AR24,J$3))</f>
        <v>#VALUE!</v>
      </c>
      <c r="AW24" s="0" t="e">
        <f aca="false">IF(K24=TRUE(),Segment_CMalpha(AU24,AX24),cmalpha1(D23,D24,E23,E24,G24,P24,U24,AB24,AA24,AP24,AQ24,AS24,AR24,J$3,D$4))</f>
        <v>#VALUE!</v>
      </c>
      <c r="AX24" s="0" t="e">
        <f aca="false">IF(K24=TRUE(),Segment_CP(D23,D24,E23,E24),-$D$4*AW24/AU24)</f>
        <v>#VALUE!</v>
      </c>
      <c r="BD24" s="31"/>
      <c r="BE24" s="31"/>
      <c r="BI24" s="31"/>
    </row>
    <row r="25" customFormat="false" ht="15" hidden="false" customHeight="false" outlineLevel="0" collapsed="false">
      <c r="B25" s="31"/>
      <c r="C25" s="48" t="n">
        <f aca="false">C24+1</f>
        <v>11</v>
      </c>
      <c r="D25" s="16" t="n">
        <v>5.5</v>
      </c>
      <c r="E25" s="49" t="n">
        <v>0.813303669</v>
      </c>
      <c r="F25" s="31" t="n">
        <f aca="false">(E25-E24)</f>
        <v>0.042938952</v>
      </c>
      <c r="G25" s="31" t="n">
        <f aca="false">ROUNDDOWN(ATAN(F25/(D25-D24)),6)</f>
        <v>0.085667</v>
      </c>
      <c r="H25" s="31" t="n">
        <f aca="false">IF(G25&gt;0,F25/SIN(G25),D25-D24)</f>
        <v>0.501844552928799</v>
      </c>
      <c r="I25" s="31" t="n">
        <f aca="false">ROUNDDOWN(G25*180/PI(),8)</f>
        <v>4.90835754</v>
      </c>
      <c r="J25" s="7" t="e">
        <f aca="false">ROUNDDOWN(epsilonangle(G24,G25),8)</f>
        <v>#VALUE!</v>
      </c>
      <c r="K25" s="31" t="n">
        <f aca="false">IF(K24=TRUE(),TRUE(),IF(M25="Compression",IF(G25&gt;(0.3208*(L25^2-1)^(3/2)/L25^2),TRUE(),FALSE()),FALSE()))</f>
        <v>0</v>
      </c>
      <c r="L25" s="31" t="e">
        <f aca="false">IF(ISERROR(AF24),L24,AF24)</f>
        <v>#VALUE!</v>
      </c>
      <c r="M25" s="31" t="str">
        <f aca="false">IF(G25&gt;G26,"Expansion",IF(G25=G26,"No Change","Compression"))</f>
        <v>Expansion</v>
      </c>
      <c r="N25" s="31" t="e">
        <f aca="false">ROUNDDOWN(BILINTERP(inputtables!$A$26:$N$44,ABS(I25),D$6),8)</f>
        <v>#VALUE!</v>
      </c>
      <c r="O25" s="31" t="e">
        <f aca="false">AC24</f>
        <v>#VALUE!</v>
      </c>
      <c r="P25" s="52" t="e">
        <f aca="false">N25*G$2</f>
        <v>#VALUE!</v>
      </c>
      <c r="Q25" s="31" t="e">
        <f aca="false">nu(L25,1.4)</f>
        <v>#VALUE!</v>
      </c>
      <c r="R25" s="50" t="e">
        <f aca="false">IF(M25="Expansion",Q25+ABS(J25),IF(M25="Compression",Q25-ABS(J25),Q25))</f>
        <v>#VALUE!</v>
      </c>
      <c r="S25" s="31" t="e">
        <f aca="false">IF(I24&gt;=I25,ROUNDDOWN((newtonmethod(L25,R25)),6),ROUNDDOWN(M2oblique(L25,J25,1.4),6))</f>
        <v>#VALUE!</v>
      </c>
      <c r="T25" s="31" t="e">
        <f aca="false">IF(I24&gt;=I25,p1p2(L25,S25,1.4),p1p2oblique(L25,J25,1.4))</f>
        <v>#VALUE!</v>
      </c>
      <c r="U25" s="53" t="e">
        <f aca="false">ROUNDDOWN((1/T25)*O25,6)</f>
        <v>#VALUE!</v>
      </c>
      <c r="V25" s="31" t="e">
        <f aca="false">(1.4*O25*L25^2)/(2*(L25^2-1))</f>
        <v>#VALUE!</v>
      </c>
      <c r="W25" s="31" t="e">
        <f aca="false">(1.4*U25*S25^2)/(2*(S25^2-1))</f>
        <v>#VALUE!</v>
      </c>
      <c r="X25" s="31" t="e">
        <f aca="false">omega(L25,1.4)</f>
        <v>#VALUE!</v>
      </c>
      <c r="Y25" s="31" t="e">
        <f aca="false">omega(S25,1.4)</f>
        <v>#VALUE!</v>
      </c>
      <c r="Z25" s="7" t="e">
        <f aca="false">AD24</f>
        <v>#VALUE!</v>
      </c>
      <c r="AA25" s="8" t="e">
        <f aca="false">(dpds2(1.4,J25,L25,S25,O25,U25,V25,W25,E24,X25,Y25,G24,G25,Z25))</f>
        <v>#VALUE!</v>
      </c>
      <c r="AB25" s="8" t="e">
        <f aca="false">(eta(AA25,P25,U25,G25,D24,D25))</f>
        <v>#VALUE!</v>
      </c>
      <c r="AC25" s="31" t="e">
        <f aca="false">ROUNDDOWN(Pmainval(P25,U25,AB25),8)</f>
        <v>#VALUE!</v>
      </c>
      <c r="AD25" s="31" t="e">
        <f aca="false">((dpds3(P25,U25,AC25,AA25)))</f>
        <v>#VALUE!</v>
      </c>
      <c r="AE25" s="31" t="e">
        <f aca="false">U25/AC25</f>
        <v>#VALUE!</v>
      </c>
      <c r="AF25" s="31" t="e">
        <f aca="false">ROUNDDOWN((Machfinder(AE25,S25,1.4)),6)</f>
        <v>#VALUE!</v>
      </c>
      <c r="AG25" s="31" t="e">
        <f aca="false">AC25/G$2</f>
        <v>#VALUE!</v>
      </c>
      <c r="AH25" s="31" t="n">
        <f aca="false">D25/D$3</f>
        <v>0.1</v>
      </c>
      <c r="AI25" s="31" t="e">
        <f aca="false">(2/(1.4*D$6^2))*(AG25-1)</f>
        <v>#VALUE!</v>
      </c>
      <c r="AJ25" s="31" t="e">
        <f aca="false">IF(K25=FALSE(),drag(D24,D25,E24,E25,G25,P25,U25,AB25,AA25),0)</f>
        <v>#VALUE!</v>
      </c>
      <c r="AK25" s="31"/>
      <c r="AL25" s="54"/>
      <c r="AN25" s="0" t="e">
        <f aca="false">ASIN(1/L25)</f>
        <v>#VALUE!</v>
      </c>
      <c r="AO25" s="0" t="e">
        <f aca="false">ASIN(1/S25)</f>
        <v>#VALUE!</v>
      </c>
      <c r="AP25" s="0" t="e">
        <f aca="false">2*1.4*O25/SIN(2*AN25)</f>
        <v>#VALUE!</v>
      </c>
      <c r="AQ25" s="0" t="e">
        <f aca="false">2*1.4*U25/SIN(2*AO25)</f>
        <v>#VALUE!</v>
      </c>
      <c r="AR25" s="0" t="e">
        <f aca="false">ROUNDDOWN(BILINTERP(inputtables!$A$48:$N$66,ABS(I25),D$6),8)</f>
        <v>#VALUE!</v>
      </c>
      <c r="AS25" s="0" t="e">
        <f aca="false">AT24</f>
        <v>#VALUE!</v>
      </c>
      <c r="AT25" s="0" t="e">
        <f aca="false">DeltaL(M$16:M25,U25,O25,J25,M25,L25,1.4,AB25,G25,AR25,AP25,AQ25,AS25)</f>
        <v>#VALUE!</v>
      </c>
      <c r="AU25" s="0" t="e">
        <f aca="false">IF(K25=TRUE(),Segment_Cnalpha(E24,E25,$J$2),cnalpha(D24,D25,E24,E25,G25,P25,U25,AB25,AA25,AP25,AQ25,AS25,AR25,J$3))</f>
        <v>#VALUE!</v>
      </c>
      <c r="AW25" s="0" t="e">
        <f aca="false">IF(K25=TRUE(),Segment_CMalpha(AU25,AX25),cmalpha1(D24,D25,E24,E25,G25,P25,U25,AB25,AA25,AP25,AQ25,AS25,AR25,J$3,D$4))</f>
        <v>#VALUE!</v>
      </c>
      <c r="AX25" s="0" t="e">
        <f aca="false">IF(K25=TRUE(),Segment_CP(D24,D25,E24,E25),-$D$4*AW25/AU25)</f>
        <v>#VALUE!</v>
      </c>
      <c r="BD25" s="31"/>
      <c r="BE25" s="31"/>
      <c r="BI25" s="31"/>
    </row>
    <row r="26" customFormat="false" ht="15" hidden="false" customHeight="false" outlineLevel="0" collapsed="false">
      <c r="B26" s="31"/>
      <c r="C26" s="48" t="n">
        <f aca="false">C25+1</f>
        <v>12</v>
      </c>
      <c r="D26" s="16" t="n">
        <v>6</v>
      </c>
      <c r="E26" s="49" t="n">
        <v>0.852962187</v>
      </c>
      <c r="F26" s="31" t="n">
        <f aca="false">(E26-E25)</f>
        <v>0.0396585180000001</v>
      </c>
      <c r="G26" s="31" t="n">
        <f aca="false">ROUNDDOWN(ATAN(F26/(D26-D25)),6)</f>
        <v>0.079151</v>
      </c>
      <c r="H26" s="31" t="n">
        <f aca="false">IF(G26&gt;0,F26/SIN(G26),D26-D25)</f>
        <v>0.501572407181939</v>
      </c>
      <c r="I26" s="31" t="n">
        <f aca="false">ROUNDDOWN(G26*180/PI(),8)</f>
        <v>4.53501824</v>
      </c>
      <c r="J26" s="7" t="e">
        <f aca="false">ROUNDDOWN(epsilonangle(G25,G26),8)</f>
        <v>#VALUE!</v>
      </c>
      <c r="K26" s="31" t="n">
        <f aca="false">IF(K25=TRUE(),TRUE(),IF(M26="Compression",IF(G26&gt;(0.3208*(L26^2-1)^(3/2)/L26^2),TRUE(),FALSE()),FALSE()))</f>
        <v>0</v>
      </c>
      <c r="L26" s="31" t="e">
        <f aca="false">IF(ISERROR(AF25),L25,AF25)</f>
        <v>#VALUE!</v>
      </c>
      <c r="M26" s="31" t="str">
        <f aca="false">IF(G26&gt;G27,"Expansion",IF(G26=G27,"No Change","Compression"))</f>
        <v>Expansion</v>
      </c>
      <c r="N26" s="31" t="e">
        <f aca="false">ROUNDDOWN(BILINTERP(inputtables!$A$26:$N$44,ABS(I26),D$6),8)</f>
        <v>#VALUE!</v>
      </c>
      <c r="O26" s="31" t="e">
        <f aca="false">AC25</f>
        <v>#VALUE!</v>
      </c>
      <c r="P26" s="52" t="e">
        <f aca="false">N26*G$2</f>
        <v>#VALUE!</v>
      </c>
      <c r="Q26" s="31" t="e">
        <f aca="false">nu(L26,1.4)</f>
        <v>#VALUE!</v>
      </c>
      <c r="R26" s="50" t="e">
        <f aca="false">IF(M26="Expansion",Q26+ABS(J26),IF(M26="Compression",Q26-ABS(J26),Q26))</f>
        <v>#VALUE!</v>
      </c>
      <c r="S26" s="31" t="e">
        <f aca="false">IF(I25&gt;=I26,ROUNDDOWN((newtonmethod(L26,R26)),6),ROUNDDOWN(M2oblique(L26,J26,1.4),6))</f>
        <v>#VALUE!</v>
      </c>
      <c r="T26" s="31" t="e">
        <f aca="false">IF(I25&gt;=I26,p1p2(L26,S26,1.4),p1p2oblique(L26,J26,1.4))</f>
        <v>#VALUE!</v>
      </c>
      <c r="U26" s="53" t="e">
        <f aca="false">ROUNDDOWN((1/T26)*O26,6)</f>
        <v>#VALUE!</v>
      </c>
      <c r="V26" s="31" t="e">
        <f aca="false">(1.4*O26*L26^2)/(2*(L26^2-1))</f>
        <v>#VALUE!</v>
      </c>
      <c r="W26" s="31" t="e">
        <f aca="false">(1.4*U26*S26^2)/(2*(S26^2-1))</f>
        <v>#VALUE!</v>
      </c>
      <c r="X26" s="31" t="e">
        <f aca="false">omega(L26,1.4)</f>
        <v>#VALUE!</v>
      </c>
      <c r="Y26" s="31" t="e">
        <f aca="false">omega(S26,1.4)</f>
        <v>#VALUE!</v>
      </c>
      <c r="Z26" s="7" t="e">
        <f aca="false">AD25</f>
        <v>#VALUE!</v>
      </c>
      <c r="AA26" s="8" t="e">
        <f aca="false">(dpds2(1.4,J26,L26,S26,O26,U26,V26,W26,E25,X26,Y26,G25,G26,Z26))</f>
        <v>#VALUE!</v>
      </c>
      <c r="AB26" s="8" t="e">
        <f aca="false">(eta(AA26,P26,U26,G26,D25,D26))</f>
        <v>#VALUE!</v>
      </c>
      <c r="AC26" s="31" t="e">
        <f aca="false">ROUNDDOWN(Pmainval(P26,U26,AB26),8)</f>
        <v>#VALUE!</v>
      </c>
      <c r="AD26" s="31" t="e">
        <f aca="false">((dpds3(P26,U26,AC26,AA26)))</f>
        <v>#VALUE!</v>
      </c>
      <c r="AE26" s="31" t="e">
        <f aca="false">U26/AC26</f>
        <v>#VALUE!</v>
      </c>
      <c r="AF26" s="31" t="e">
        <f aca="false">ROUNDDOWN((Machfinder(AE26,S26,1.4)),6)</f>
        <v>#VALUE!</v>
      </c>
      <c r="AG26" s="31" t="e">
        <f aca="false">AC26/G$2</f>
        <v>#VALUE!</v>
      </c>
      <c r="AH26" s="31" t="n">
        <f aca="false">D26/D$3</f>
        <v>0.109090909090909</v>
      </c>
      <c r="AI26" s="31" t="e">
        <f aca="false">(2/(1.4*D$6^2))*(AG26-1)</f>
        <v>#VALUE!</v>
      </c>
      <c r="AJ26" s="31" t="e">
        <f aca="false">IF(K26=FALSE(),drag(D25,D26,E25,E26,G26,P26,U26,AB26,AA26),0)</f>
        <v>#VALUE!</v>
      </c>
      <c r="AK26" s="31"/>
      <c r="AL26" s="54"/>
      <c r="AN26" s="0" t="e">
        <f aca="false">ASIN(1/L26)</f>
        <v>#VALUE!</v>
      </c>
      <c r="AO26" s="0" t="e">
        <f aca="false">ASIN(1/S26)</f>
        <v>#VALUE!</v>
      </c>
      <c r="AP26" s="0" t="e">
        <f aca="false">2*1.4*O26/SIN(2*AN26)</f>
        <v>#VALUE!</v>
      </c>
      <c r="AQ26" s="0" t="e">
        <f aca="false">2*1.4*U26/SIN(2*AO26)</f>
        <v>#VALUE!</v>
      </c>
      <c r="AR26" s="0" t="e">
        <f aca="false">ROUNDDOWN(BILINTERP(inputtables!$A$48:$N$66,ABS(I26),D$6),8)</f>
        <v>#VALUE!</v>
      </c>
      <c r="AS26" s="0" t="e">
        <f aca="false">AT25</f>
        <v>#VALUE!</v>
      </c>
      <c r="AT26" s="0" t="e">
        <f aca="false">DeltaL(M$16:M26,U26,O26,J26,M26,L26,1.4,AB26,G26,AR26,AP26,AQ26,AS26)</f>
        <v>#VALUE!</v>
      </c>
      <c r="AU26" s="0" t="e">
        <f aca="false">IF(K26=TRUE(),Segment_Cnalpha(E25,E26,$J$2),cnalpha(D25,D26,E25,E26,G26,P26,U26,AB26,AA26,AP26,AQ26,AS26,AR26,J$3))</f>
        <v>#VALUE!</v>
      </c>
      <c r="AW26" s="0" t="e">
        <f aca="false">IF(K26=TRUE(),Segment_CMalpha(AU26,AX26),cmalpha1(D25,D26,E25,E26,G26,P26,U26,AB26,AA26,AP26,AQ26,AS26,AR26,J$3,D$4))</f>
        <v>#VALUE!</v>
      </c>
      <c r="AX26" s="0" t="e">
        <f aca="false">IF(K26=TRUE(),Segment_CP(D25,D26,E25,E26),-$D$4*AW26/AU26)</f>
        <v>#VALUE!</v>
      </c>
      <c r="BD26" s="31"/>
      <c r="BE26" s="31"/>
      <c r="BI26" s="31"/>
    </row>
    <row r="27" customFormat="false" ht="15" hidden="false" customHeight="false" outlineLevel="0" collapsed="false">
      <c r="B27" s="31"/>
      <c r="C27" s="48" t="n">
        <f aca="false">C26+1</f>
        <v>13</v>
      </c>
      <c r="D27" s="16" t="n">
        <v>6.5</v>
      </c>
      <c r="E27" s="49" t="n">
        <v>0.889512966</v>
      </c>
      <c r="F27" s="31" t="n">
        <f aca="false">(E27-E26)</f>
        <v>0.0365507789999999</v>
      </c>
      <c r="G27" s="31" t="n">
        <f aca="false">ROUNDDOWN(ATAN(F27/(D27-D26)),6)</f>
        <v>0.072971</v>
      </c>
      <c r="H27" s="31" t="n">
        <f aca="false">IF(G27&gt;0,F27/SIN(G27),D27-D26)</f>
        <v>0.501339389047363</v>
      </c>
      <c r="I27" s="31" t="n">
        <f aca="false">ROUNDDOWN(G27*180/PI(),8)</f>
        <v>4.18093032</v>
      </c>
      <c r="J27" s="7" t="e">
        <f aca="false">ROUNDDOWN(epsilonangle(G26,G27),8)</f>
        <v>#VALUE!</v>
      </c>
      <c r="K27" s="31" t="n">
        <f aca="false">IF(K26=TRUE(),TRUE(),IF(M27="Compression",IF(G27&gt;(0.3208*(L27^2-1)^(3/2)/L27^2),TRUE(),FALSE()),FALSE()))</f>
        <v>0</v>
      </c>
      <c r="L27" s="31" t="e">
        <f aca="false">IF(ISERROR(AF26),L26,AF26)</f>
        <v>#VALUE!</v>
      </c>
      <c r="M27" s="31" t="str">
        <f aca="false">IF(G27&gt;G28,"Expansion",IF(G27=G28,"No Change","Compression"))</f>
        <v>Expansion</v>
      </c>
      <c r="N27" s="31" t="e">
        <f aca="false">ROUNDDOWN(BILINTERP(inputtables!$A$26:$N$44,ABS(I27),D$6),8)</f>
        <v>#VALUE!</v>
      </c>
      <c r="O27" s="31" t="e">
        <f aca="false">AC26</f>
        <v>#VALUE!</v>
      </c>
      <c r="P27" s="52" t="e">
        <f aca="false">N27*G$2</f>
        <v>#VALUE!</v>
      </c>
      <c r="Q27" s="31" t="e">
        <f aca="false">nu(L27,1.4)</f>
        <v>#VALUE!</v>
      </c>
      <c r="R27" s="50" t="e">
        <f aca="false">IF(M27="Expansion",Q27+ABS(J27),IF(M27="Compression",Q27-ABS(J27),Q27))</f>
        <v>#VALUE!</v>
      </c>
      <c r="S27" s="31" t="e">
        <f aca="false">IF(I26&gt;=I27,ROUNDDOWN((newtonmethod(L27,R27)),6),ROUNDDOWN(M2oblique(L27,J27,1.4),6))</f>
        <v>#VALUE!</v>
      </c>
      <c r="T27" s="31" t="e">
        <f aca="false">IF(I26&gt;=I27,p1p2(L27,S27,1.4),p1p2oblique(L27,J27,1.4))</f>
        <v>#VALUE!</v>
      </c>
      <c r="U27" s="53" t="e">
        <f aca="false">ROUNDDOWN((1/T27)*O27,6)</f>
        <v>#VALUE!</v>
      </c>
      <c r="V27" s="31" t="e">
        <f aca="false">(1.4*O27*L27^2)/(2*(L27^2-1))</f>
        <v>#VALUE!</v>
      </c>
      <c r="W27" s="31" t="e">
        <f aca="false">(1.4*U27*S27^2)/(2*(S27^2-1))</f>
        <v>#VALUE!</v>
      </c>
      <c r="X27" s="31" t="e">
        <f aca="false">omega(L27,1.4)</f>
        <v>#VALUE!</v>
      </c>
      <c r="Y27" s="31" t="e">
        <f aca="false">omega(S27,1.4)</f>
        <v>#VALUE!</v>
      </c>
      <c r="Z27" s="7" t="e">
        <f aca="false">AD26</f>
        <v>#VALUE!</v>
      </c>
      <c r="AA27" s="8" t="e">
        <f aca="false">(dpds2(1.4,J27,L27,S27,O27,U27,V27,W27,E26,X27,Y27,G26,G27,Z27))</f>
        <v>#VALUE!</v>
      </c>
      <c r="AB27" s="8" t="e">
        <f aca="false">(eta(AA27,P27,U27,G27,D26,D27))</f>
        <v>#VALUE!</v>
      </c>
      <c r="AC27" s="31" t="e">
        <f aca="false">ROUNDDOWN(Pmainval(P27,U27,AB27),8)</f>
        <v>#VALUE!</v>
      </c>
      <c r="AD27" s="31" t="e">
        <f aca="false">((dpds3(P27,U27,AC27,AA27)))</f>
        <v>#VALUE!</v>
      </c>
      <c r="AE27" s="31" t="e">
        <f aca="false">U27/AC27</f>
        <v>#VALUE!</v>
      </c>
      <c r="AF27" s="31" t="e">
        <f aca="false">ROUNDDOWN((Machfinder(AE27,S27,1.4)),6)</f>
        <v>#VALUE!</v>
      </c>
      <c r="AG27" s="31" t="e">
        <f aca="false">AC27/G$2</f>
        <v>#VALUE!</v>
      </c>
      <c r="AH27" s="31" t="n">
        <f aca="false">D27/D$3</f>
        <v>0.118181818181818</v>
      </c>
      <c r="AI27" s="31" t="e">
        <f aca="false">(2/(1.4*D$6^2))*(AG27-1)</f>
        <v>#VALUE!</v>
      </c>
      <c r="AJ27" s="31" t="e">
        <f aca="false">IF(K27=FALSE(),drag(D26,D27,E26,E27,G27,P27,U27,AB27,AA27),0)</f>
        <v>#VALUE!</v>
      </c>
      <c r="AK27" s="31"/>
      <c r="AL27" s="54"/>
      <c r="AN27" s="0" t="e">
        <f aca="false">ASIN(1/L27)</f>
        <v>#VALUE!</v>
      </c>
      <c r="AO27" s="0" t="e">
        <f aca="false">ASIN(1/S27)</f>
        <v>#VALUE!</v>
      </c>
      <c r="AP27" s="0" t="e">
        <f aca="false">2*1.4*O27/SIN(2*AN27)</f>
        <v>#VALUE!</v>
      </c>
      <c r="AQ27" s="0" t="e">
        <f aca="false">2*1.4*U27/SIN(2*AO27)</f>
        <v>#VALUE!</v>
      </c>
      <c r="AR27" s="0" t="e">
        <f aca="false">ROUNDDOWN(BILINTERP(inputtables!$A$48:$N$66,ABS(I27),D$6),8)</f>
        <v>#VALUE!</v>
      </c>
      <c r="AS27" s="0" t="e">
        <f aca="false">AT26</f>
        <v>#VALUE!</v>
      </c>
      <c r="AT27" s="0" t="e">
        <f aca="false">DeltaL(M$16:M27,U27,O27,J27,M27,L27,1.4,AB27,G27,AR27,AP27,AQ27,AS27)</f>
        <v>#VALUE!</v>
      </c>
      <c r="AU27" s="0" t="e">
        <f aca="false">IF(K27=TRUE(),Segment_Cnalpha(E26,E27,$J$2),cnalpha(D26,D27,E26,E27,G27,P27,U27,AB27,AA27,AP27,AQ27,AS27,AR27,J$3))</f>
        <v>#VALUE!</v>
      </c>
      <c r="AW27" s="0" t="e">
        <f aca="false">IF(K27=TRUE(),Segment_CMalpha(AU27,AX27),cmalpha1(D26,D27,E26,E27,G27,P27,U27,AB27,AA27,AP27,AQ27,AS27,AR27,J$3,D$4))</f>
        <v>#VALUE!</v>
      </c>
      <c r="AX27" s="0" t="e">
        <f aca="false">IF(K27=TRUE(),Segment_CP(D26,D27,E26,E27),-$D$4*AW27/AU27)</f>
        <v>#VALUE!</v>
      </c>
      <c r="BD27" s="31"/>
      <c r="BE27" s="31"/>
      <c r="BI27" s="31"/>
    </row>
    <row r="28" customFormat="false" ht="15" hidden="false" customHeight="false" outlineLevel="0" collapsed="false">
      <c r="B28" s="31"/>
      <c r="C28" s="48" t="n">
        <f aca="false">C27+1</f>
        <v>14</v>
      </c>
      <c r="D28" s="16" t="n">
        <v>7</v>
      </c>
      <c r="E28" s="49" t="n">
        <v>0.923098184</v>
      </c>
      <c r="F28" s="31" t="n">
        <f aca="false">(E28-E27)</f>
        <v>0.033585218</v>
      </c>
      <c r="G28" s="31" t="n">
        <f aca="false">ROUNDDOWN(ATAN(F28/(D28-D27)),6)</f>
        <v>0.067069</v>
      </c>
      <c r="H28" s="31" t="n">
        <f aca="false">IF(G28&gt;0,F28/SIN(G28),D28-D27)</f>
        <v>0.501131824572337</v>
      </c>
      <c r="I28" s="31" t="n">
        <f aca="false">ROUNDDOWN(G28*180/PI(),8)</f>
        <v>3.84277063</v>
      </c>
      <c r="J28" s="7" t="e">
        <f aca="false">ROUNDDOWN(epsilonangle(G27,G28),8)</f>
        <v>#VALUE!</v>
      </c>
      <c r="K28" s="31" t="n">
        <f aca="false">IF(K27=TRUE(),TRUE(),IF(M28="Compression",IF(G28&gt;(0.3208*(L28^2-1)^(3/2)/L28^2),TRUE(),FALSE()),FALSE()))</f>
        <v>0</v>
      </c>
      <c r="L28" s="31" t="e">
        <f aca="false">IF(ISERROR(AF27),L27,AF27)</f>
        <v>#VALUE!</v>
      </c>
      <c r="M28" s="31" t="str">
        <f aca="false">IF(G28&gt;G29,"Expansion",IF(G28=G29,"No Change","Compression"))</f>
        <v>Expansion</v>
      </c>
      <c r="N28" s="31" t="e">
        <f aca="false">ROUNDDOWN(BILINTERP(inputtables!$A$26:$N$44,ABS(I28),D$6),8)</f>
        <v>#VALUE!</v>
      </c>
      <c r="O28" s="31" t="e">
        <f aca="false">AC27</f>
        <v>#VALUE!</v>
      </c>
      <c r="P28" s="52" t="e">
        <f aca="false">N28*G$2</f>
        <v>#VALUE!</v>
      </c>
      <c r="Q28" s="31" t="e">
        <f aca="false">nu(L28,1.4)</f>
        <v>#VALUE!</v>
      </c>
      <c r="R28" s="50" t="e">
        <f aca="false">IF(M28="Expansion",Q28+ABS(J28),IF(M28="Compression",Q28-ABS(J28),Q28))</f>
        <v>#VALUE!</v>
      </c>
      <c r="S28" s="31" t="e">
        <f aca="false">IF(I27&gt;=I28,ROUNDDOWN((newtonmethod(L28,R28)),6),ROUNDDOWN(M2oblique(L28,J28,1.4),6))</f>
        <v>#VALUE!</v>
      </c>
      <c r="T28" s="31" t="e">
        <f aca="false">IF(I27&gt;=I28,p1p2(L28,S28,1.4),p1p2oblique(L28,J28,1.4))</f>
        <v>#VALUE!</v>
      </c>
      <c r="U28" s="53" t="e">
        <f aca="false">ROUNDDOWN((1/T28)*O28,6)</f>
        <v>#VALUE!</v>
      </c>
      <c r="V28" s="31" t="e">
        <f aca="false">(1.4*O28*L28^2)/(2*(L28^2-1))</f>
        <v>#VALUE!</v>
      </c>
      <c r="W28" s="31" t="e">
        <f aca="false">(1.4*U28*S28^2)/(2*(S28^2-1))</f>
        <v>#VALUE!</v>
      </c>
      <c r="X28" s="31" t="e">
        <f aca="false">omega(L28,1.4)</f>
        <v>#VALUE!</v>
      </c>
      <c r="Y28" s="31" t="e">
        <f aca="false">omega(S28,1.4)</f>
        <v>#VALUE!</v>
      </c>
      <c r="Z28" s="7" t="e">
        <f aca="false">AD27</f>
        <v>#VALUE!</v>
      </c>
      <c r="AA28" s="8" t="e">
        <f aca="false">(dpds2(1.4,J28,L28,S28,O28,U28,V28,W28,E27,X28,Y28,G27,G28,Z28))</f>
        <v>#VALUE!</v>
      </c>
      <c r="AB28" s="8" t="e">
        <f aca="false">(eta(AA28,P28,U28,G28,D27,D28))</f>
        <v>#VALUE!</v>
      </c>
      <c r="AC28" s="31" t="e">
        <f aca="false">ROUNDDOWN(Pmainval(P28,U28,AB28),8)</f>
        <v>#VALUE!</v>
      </c>
      <c r="AD28" s="31" t="e">
        <f aca="false">((dpds3(P28,U28,AC28,AA28)))</f>
        <v>#VALUE!</v>
      </c>
      <c r="AE28" s="31" t="e">
        <f aca="false">U28/AC28</f>
        <v>#VALUE!</v>
      </c>
      <c r="AF28" s="31" t="e">
        <f aca="false">ROUNDDOWN((Machfinder(AE28,S28,1.4)),6)</f>
        <v>#VALUE!</v>
      </c>
      <c r="AG28" s="31" t="e">
        <f aca="false">AC28/G$2</f>
        <v>#VALUE!</v>
      </c>
      <c r="AH28" s="31" t="n">
        <f aca="false">D28/D$3</f>
        <v>0.127272727272727</v>
      </c>
      <c r="AI28" s="31" t="e">
        <f aca="false">(2/(1.4*D$6^2))*(AG28-1)</f>
        <v>#VALUE!</v>
      </c>
      <c r="AJ28" s="31" t="e">
        <f aca="false">IF(K28=FALSE(),drag(D27,D28,E27,E28,G28,P28,U28,AB28,AA28),0)</f>
        <v>#VALUE!</v>
      </c>
      <c r="AK28" s="31"/>
      <c r="AL28" s="54"/>
      <c r="AN28" s="0" t="e">
        <f aca="false">ASIN(1/L28)</f>
        <v>#VALUE!</v>
      </c>
      <c r="AO28" s="0" t="e">
        <f aca="false">ASIN(1/S28)</f>
        <v>#VALUE!</v>
      </c>
      <c r="AP28" s="0" t="e">
        <f aca="false">2*1.4*O28/SIN(2*AN28)</f>
        <v>#VALUE!</v>
      </c>
      <c r="AQ28" s="0" t="e">
        <f aca="false">2*1.4*U28/SIN(2*AO28)</f>
        <v>#VALUE!</v>
      </c>
      <c r="AR28" s="0" t="e">
        <f aca="false">ROUNDDOWN(BILINTERP(inputtables!$A$48:$N$66,ABS(I28),D$6),8)</f>
        <v>#VALUE!</v>
      </c>
      <c r="AS28" s="0" t="e">
        <f aca="false">AT27</f>
        <v>#VALUE!</v>
      </c>
      <c r="AT28" s="0" t="e">
        <f aca="false">DeltaL(M$16:M28,U28,O28,J28,M28,L28,1.4,AB28,G28,AR28,AP28,AQ28,AS28)</f>
        <v>#VALUE!</v>
      </c>
      <c r="AU28" s="0" t="e">
        <f aca="false">IF(K28=TRUE(),Segment_Cnalpha(E27,E28,$J$2),cnalpha(D27,D28,E27,E28,G28,P28,U28,AB28,AA28,AP28,AQ28,AS28,AR28,J$3))</f>
        <v>#VALUE!</v>
      </c>
      <c r="AW28" s="0" t="e">
        <f aca="false">IF(K28=TRUE(),Segment_CMalpha(AU28,AX28),cmalpha1(D27,D28,E27,E28,G28,P28,U28,AB28,AA28,AP28,AQ28,AS28,AR28,J$3,D$4))</f>
        <v>#VALUE!</v>
      </c>
      <c r="AX28" s="0" t="e">
        <f aca="false">IF(K28=TRUE(),Segment_CP(D27,D28,E27,E28),-$D$4*AW28/AU28)</f>
        <v>#VALUE!</v>
      </c>
      <c r="BD28" s="31"/>
      <c r="BE28" s="31"/>
      <c r="BI28" s="31"/>
    </row>
    <row r="29" customFormat="false" ht="15" hidden="false" customHeight="false" outlineLevel="0" collapsed="false">
      <c r="B29" s="31"/>
      <c r="C29" s="48" t="n">
        <f aca="false">C28+1</f>
        <v>15</v>
      </c>
      <c r="D29" s="16" t="n">
        <v>7.5</v>
      </c>
      <c r="E29" s="49" t="n">
        <v>0.953836145</v>
      </c>
      <c r="F29" s="31" t="n">
        <f aca="false">(E29-E28)</f>
        <v>0.030737961</v>
      </c>
      <c r="G29" s="31" t="n">
        <f aca="false">ROUNDDOWN(ATAN(F29/(D29-D28)),6)</f>
        <v>0.061398</v>
      </c>
      <c r="H29" s="31" t="n">
        <f aca="false">IF(G29&gt;0,F29/SIN(G29),D29-D28)</f>
        <v>0.500949244589101</v>
      </c>
      <c r="I29" s="31" t="n">
        <f aca="false">ROUNDDOWN(G29*180/PI(),8)</f>
        <v>3.51784627</v>
      </c>
      <c r="J29" s="7" t="e">
        <f aca="false">ROUNDDOWN(epsilonangle(G28,G29),8)</f>
        <v>#VALUE!</v>
      </c>
      <c r="K29" s="31" t="n">
        <f aca="false">IF(K28=TRUE(),TRUE(),IF(M29="Compression",IF(G29&gt;(0.3208*(L29^2-1)^(3/2)/L29^2),TRUE(),FALSE()),FALSE()))</f>
        <v>0</v>
      </c>
      <c r="L29" s="31" t="e">
        <f aca="false">IF(ISERROR(AF28),L28,AF28)</f>
        <v>#VALUE!</v>
      </c>
      <c r="M29" s="31" t="str">
        <f aca="false">IF(G29&gt;G30,"Expansion",IF(G29=G30,"No Change","Compression"))</f>
        <v>Expansion</v>
      </c>
      <c r="N29" s="31" t="e">
        <f aca="false">ROUNDDOWN(BILINTERP(inputtables!$A$26:$N$44,ABS(I29),D$6),8)</f>
        <v>#VALUE!</v>
      </c>
      <c r="O29" s="31" t="e">
        <f aca="false">AC28</f>
        <v>#VALUE!</v>
      </c>
      <c r="P29" s="52" t="e">
        <f aca="false">N29*G$2</f>
        <v>#VALUE!</v>
      </c>
      <c r="Q29" s="31" t="e">
        <f aca="false">nu(L29,1.4)</f>
        <v>#VALUE!</v>
      </c>
      <c r="R29" s="50" t="e">
        <f aca="false">IF(M29="Expansion",Q29+ABS(J29),IF(M29="Compression",Q29-ABS(J29),Q29))</f>
        <v>#VALUE!</v>
      </c>
      <c r="S29" s="31" t="e">
        <f aca="false">IF(I28&gt;=I29,ROUNDDOWN((newtonmethod(L29,R29)),6),ROUNDDOWN(M2oblique(L29,J29,1.4),6))</f>
        <v>#VALUE!</v>
      </c>
      <c r="T29" s="31" t="e">
        <f aca="false">IF(I28&gt;=I29,p1p2(L29,S29,1.4),p1p2oblique(L29,J29,1.4))</f>
        <v>#VALUE!</v>
      </c>
      <c r="U29" s="53" t="e">
        <f aca="false">ROUNDDOWN((1/T29)*O29,6)</f>
        <v>#VALUE!</v>
      </c>
      <c r="V29" s="31" t="e">
        <f aca="false">(1.4*O29*L29^2)/(2*(L29^2-1))</f>
        <v>#VALUE!</v>
      </c>
      <c r="W29" s="31" t="e">
        <f aca="false">(1.4*U29*S29^2)/(2*(S29^2-1))</f>
        <v>#VALUE!</v>
      </c>
      <c r="X29" s="31" t="e">
        <f aca="false">omega(L29,1.4)</f>
        <v>#VALUE!</v>
      </c>
      <c r="Y29" s="31" t="e">
        <f aca="false">omega(S29,1.4)</f>
        <v>#VALUE!</v>
      </c>
      <c r="Z29" s="7" t="e">
        <f aca="false">AD28</f>
        <v>#VALUE!</v>
      </c>
      <c r="AA29" s="8" t="e">
        <f aca="false">(dpds2(1.4,J29,L29,S29,O29,U29,V29,W29,E28,X29,Y29,G28,G29,Z29))</f>
        <v>#VALUE!</v>
      </c>
      <c r="AB29" s="8" t="e">
        <f aca="false">(eta(AA29,P29,U29,G29,D28,D29))</f>
        <v>#VALUE!</v>
      </c>
      <c r="AC29" s="31" t="e">
        <f aca="false">ROUNDDOWN(Pmainval(P29,U29,AB29),8)</f>
        <v>#VALUE!</v>
      </c>
      <c r="AD29" s="31" t="e">
        <f aca="false">((dpds3(P29,U29,AC29,AA29)))</f>
        <v>#VALUE!</v>
      </c>
      <c r="AE29" s="31" t="e">
        <f aca="false">U29/AC29</f>
        <v>#VALUE!</v>
      </c>
      <c r="AF29" s="31" t="e">
        <f aca="false">ROUNDDOWN((Machfinder(AE29,S29,1.4)),6)</f>
        <v>#VALUE!</v>
      </c>
      <c r="AG29" s="31" t="e">
        <f aca="false">AC29/G$2</f>
        <v>#VALUE!</v>
      </c>
      <c r="AH29" s="31" t="n">
        <f aca="false">D29/D$3</f>
        <v>0.136363636363636</v>
      </c>
      <c r="AI29" s="31" t="e">
        <f aca="false">(2/(1.4*D$6^2))*(AG29-1)</f>
        <v>#VALUE!</v>
      </c>
      <c r="AJ29" s="31" t="e">
        <f aca="false">IF(K29=FALSE(),drag(D28,D29,E28,E29,G29,P29,U29,AB29,AA29),0)</f>
        <v>#VALUE!</v>
      </c>
      <c r="AK29" s="31"/>
      <c r="AL29" s="54"/>
      <c r="AN29" s="0" t="e">
        <f aca="false">ASIN(1/L29)</f>
        <v>#VALUE!</v>
      </c>
      <c r="AO29" s="0" t="e">
        <f aca="false">ASIN(1/S29)</f>
        <v>#VALUE!</v>
      </c>
      <c r="AP29" s="0" t="e">
        <f aca="false">2*1.4*O29/SIN(2*AN29)</f>
        <v>#VALUE!</v>
      </c>
      <c r="AQ29" s="0" t="e">
        <f aca="false">2*1.4*U29/SIN(2*AO29)</f>
        <v>#VALUE!</v>
      </c>
      <c r="AR29" s="0" t="e">
        <f aca="false">ROUNDDOWN(BILINTERP(inputtables!$A$48:$N$66,ABS(I29),D$6),8)</f>
        <v>#VALUE!</v>
      </c>
      <c r="AS29" s="0" t="e">
        <f aca="false">AT28</f>
        <v>#VALUE!</v>
      </c>
      <c r="AT29" s="0" t="e">
        <f aca="false">DeltaL(M$16:M29,U29,O29,J29,M29,L29,1.4,AB29,G29,AR29,AP29,AQ29,AS29)</f>
        <v>#VALUE!</v>
      </c>
      <c r="AU29" s="0" t="e">
        <f aca="false">IF(K29=TRUE(),Segment_Cnalpha(E28,E29,$J$2),cnalpha(D28,D29,E28,E29,G29,P29,U29,AB29,AA29,AP29,AQ29,AS29,AR29,J$3))</f>
        <v>#VALUE!</v>
      </c>
      <c r="AW29" s="0" t="e">
        <f aca="false">IF(K29=TRUE(),Segment_CMalpha(AU29,AX29),cmalpha1(D28,D29,E28,E29,G29,P29,U29,AB29,AA29,AP29,AQ29,AS29,AR29,J$3,D$4))</f>
        <v>#VALUE!</v>
      </c>
      <c r="AX29" s="0" t="e">
        <f aca="false">IF(K29=TRUE(),Segment_CP(D28,D29,E28,E29),-$D$4*AW29/AU29)</f>
        <v>#VALUE!</v>
      </c>
      <c r="BD29" s="31"/>
      <c r="BE29" s="31"/>
      <c r="BI29" s="31"/>
    </row>
    <row r="30" customFormat="false" ht="15" hidden="false" customHeight="false" outlineLevel="0" collapsed="false">
      <c r="B30" s="31"/>
      <c r="C30" s="48" t="n">
        <f aca="false">C29+1</f>
        <v>16</v>
      </c>
      <c r="D30" s="16" t="n">
        <v>8</v>
      </c>
      <c r="E30" s="49" t="n">
        <v>0.981826073</v>
      </c>
      <c r="F30" s="31" t="n">
        <f aca="false">(E30-E29)</f>
        <v>0.027989928</v>
      </c>
      <c r="G30" s="31" t="n">
        <f aca="false">ROUNDDOWN(ATAN(F30/(D30-D29)),6)</f>
        <v>0.055921</v>
      </c>
      <c r="H30" s="31" t="n">
        <f aca="false">IF(G30&gt;0,F30/SIN(G30),D30-D29)</f>
        <v>0.50078720837781</v>
      </c>
      <c r="I30" s="31" t="n">
        <f aca="false">ROUNDDOWN(G30*180/PI(),8)</f>
        <v>3.20403728</v>
      </c>
      <c r="J30" s="7" t="e">
        <f aca="false">ROUNDDOWN(epsilonangle(G29,G30),8)</f>
        <v>#VALUE!</v>
      </c>
      <c r="K30" s="31" t="n">
        <f aca="false">IF(K29=TRUE(),TRUE(),IF(M30="Compression",IF(G30&gt;(0.3208*(L30^2-1)^(3/2)/L30^2),TRUE(),FALSE()),FALSE()))</f>
        <v>0</v>
      </c>
      <c r="L30" s="31" t="e">
        <f aca="false">IF(ISERROR(AF29),L29,AF29)</f>
        <v>#VALUE!</v>
      </c>
      <c r="M30" s="31" t="str">
        <f aca="false">IF(G30&gt;G31,"Expansion",IF(G30=G31,"No Change","Compression"))</f>
        <v>Expansion</v>
      </c>
      <c r="N30" s="31" t="e">
        <f aca="false">ROUNDDOWN(BILINTERP(inputtables!$A$26:$N$44,ABS(I30),D$6),8)</f>
        <v>#VALUE!</v>
      </c>
      <c r="O30" s="31" t="e">
        <f aca="false">AC29</f>
        <v>#VALUE!</v>
      </c>
      <c r="P30" s="52" t="e">
        <f aca="false">N30*G$2</f>
        <v>#VALUE!</v>
      </c>
      <c r="Q30" s="31" t="e">
        <f aca="false">nu(L30,1.4)</f>
        <v>#VALUE!</v>
      </c>
      <c r="R30" s="50" t="e">
        <f aca="false">IF(M30="Expansion",Q30+ABS(J30),IF(M30="Compression",Q30-ABS(J30),Q30))</f>
        <v>#VALUE!</v>
      </c>
      <c r="S30" s="31" t="e">
        <f aca="false">IF(I29&gt;=I30,ROUNDDOWN((newtonmethod(L30,R30)),6),ROUNDDOWN(M2oblique(L30,J30,1.4),6))</f>
        <v>#VALUE!</v>
      </c>
      <c r="T30" s="31" t="e">
        <f aca="false">IF(I29&gt;=I30,p1p2(L30,S30,1.4),p1p2oblique(L30,J30,1.4))</f>
        <v>#VALUE!</v>
      </c>
      <c r="U30" s="53" t="e">
        <f aca="false">ROUNDDOWN((1/T30)*O30,6)</f>
        <v>#VALUE!</v>
      </c>
      <c r="V30" s="31" t="e">
        <f aca="false">(1.4*O30*L30^2)/(2*(L30^2-1))</f>
        <v>#VALUE!</v>
      </c>
      <c r="W30" s="31" t="e">
        <f aca="false">(1.4*U30*S30^2)/(2*(S30^2-1))</f>
        <v>#VALUE!</v>
      </c>
      <c r="X30" s="31" t="e">
        <f aca="false">omega(L30,1.4)</f>
        <v>#VALUE!</v>
      </c>
      <c r="Y30" s="31" t="e">
        <f aca="false">omega(S30,1.4)</f>
        <v>#VALUE!</v>
      </c>
      <c r="Z30" s="7" t="e">
        <f aca="false">AD29</f>
        <v>#VALUE!</v>
      </c>
      <c r="AA30" s="8" t="e">
        <f aca="false">(dpds2(1.4,J30,L30,S30,O30,U30,V30,W30,E29,X30,Y30,G29,G30,Z30))</f>
        <v>#VALUE!</v>
      </c>
      <c r="AB30" s="8" t="e">
        <f aca="false">(eta(AA30,P30,U30,G30,D29,D30))</f>
        <v>#VALUE!</v>
      </c>
      <c r="AC30" s="31" t="e">
        <f aca="false">ROUNDDOWN(Pmainval(P30,U30,AB30),8)</f>
        <v>#VALUE!</v>
      </c>
      <c r="AD30" s="31" t="e">
        <f aca="false">((dpds3(P30,U30,AC30,AA30)))</f>
        <v>#VALUE!</v>
      </c>
      <c r="AE30" s="31" t="e">
        <f aca="false">U30/AC30</f>
        <v>#VALUE!</v>
      </c>
      <c r="AF30" s="31" t="e">
        <f aca="false">ROUNDDOWN((Machfinder(AE30,S30,1.4)),6)</f>
        <v>#VALUE!</v>
      </c>
      <c r="AG30" s="31" t="e">
        <f aca="false">AC30/G$2</f>
        <v>#VALUE!</v>
      </c>
      <c r="AH30" s="31" t="n">
        <f aca="false">D30/D$3</f>
        <v>0.145454545454545</v>
      </c>
      <c r="AI30" s="31" t="e">
        <f aca="false">(2/(1.4*D$6^2))*(AG30-1)</f>
        <v>#VALUE!</v>
      </c>
      <c r="AJ30" s="31" t="e">
        <f aca="false">IF(K30=FALSE(),drag(D29,D30,E29,E30,G30,P30,U30,AB30,AA30),0)</f>
        <v>#VALUE!</v>
      </c>
      <c r="AK30" s="31"/>
      <c r="AL30" s="54"/>
      <c r="AN30" s="0" t="e">
        <f aca="false">ASIN(1/L30)</f>
        <v>#VALUE!</v>
      </c>
      <c r="AO30" s="0" t="e">
        <f aca="false">ASIN(1/S30)</f>
        <v>#VALUE!</v>
      </c>
      <c r="AP30" s="0" t="e">
        <f aca="false">2*1.4*O30/SIN(2*AN30)</f>
        <v>#VALUE!</v>
      </c>
      <c r="AQ30" s="0" t="e">
        <f aca="false">2*1.4*U30/SIN(2*AO30)</f>
        <v>#VALUE!</v>
      </c>
      <c r="AR30" s="0" t="e">
        <f aca="false">ROUNDDOWN(BILINTERP(inputtables!$A$48:$N$66,ABS(I30),D$6),8)</f>
        <v>#VALUE!</v>
      </c>
      <c r="AS30" s="0" t="e">
        <f aca="false">AT29</f>
        <v>#VALUE!</v>
      </c>
      <c r="AT30" s="0" t="e">
        <f aca="false">DeltaL(M$16:M30,U30,O30,J30,M30,L30,1.4,AB30,G30,AR30,AP30,AQ30,AS30)</f>
        <v>#VALUE!</v>
      </c>
      <c r="AU30" s="0" t="e">
        <f aca="false">IF(K30=TRUE(),Segment_Cnalpha(E29,E30,$J$2),cnalpha(D29,D30,E29,E30,G30,P30,U30,AB30,AA30,AP30,AQ30,AS30,AR30,J$3))</f>
        <v>#VALUE!</v>
      </c>
      <c r="AW30" s="0" t="e">
        <f aca="false">IF(K30=TRUE(),Segment_CMalpha(AU30,AX30),cmalpha1(D29,D30,E29,E30,G30,P30,U30,AB30,AA30,AP30,AQ30,AS30,AR30,J$3,D$4))</f>
        <v>#VALUE!</v>
      </c>
      <c r="AX30" s="0" t="e">
        <f aca="false">IF(K30=TRUE(),Segment_CP(D29,D30,E29,E30),-$D$4*AW30/AU30)</f>
        <v>#VALUE!</v>
      </c>
      <c r="BD30" s="31"/>
      <c r="BE30" s="31"/>
      <c r="BI30" s="31"/>
    </row>
    <row r="31" customFormat="false" ht="15" hidden="false" customHeight="false" outlineLevel="0" collapsed="false">
      <c r="B31" s="31"/>
      <c r="C31" s="48" t="n">
        <f aca="false">C30+1</f>
        <v>17</v>
      </c>
      <c r="D31" s="16" t="n">
        <v>8.5</v>
      </c>
      <c r="E31" s="49" t="n">
        <v>1.007151631</v>
      </c>
      <c r="F31" s="31" t="n">
        <f aca="false">(E31-E30)</f>
        <v>0.0253255579999999</v>
      </c>
      <c r="G31" s="31" t="n">
        <f aca="false">ROUNDDOWN(ATAN(F31/(D31-D30)),6)</f>
        <v>0.050607</v>
      </c>
      <c r="H31" s="31" t="n">
        <f aca="false">IF(G31&gt;0,F31/SIN(G31),D31-D30)</f>
        <v>0.500649540816264</v>
      </c>
      <c r="I31" s="31" t="n">
        <f aca="false">ROUNDDOWN(G31*180/PI(),8)</f>
        <v>2.89956751</v>
      </c>
      <c r="J31" s="7" t="e">
        <f aca="false">ROUNDDOWN(epsilonangle(G30,G31),8)</f>
        <v>#VALUE!</v>
      </c>
      <c r="K31" s="31" t="n">
        <f aca="false">IF(K30=TRUE(),TRUE(),IF(M31="Compression",IF(G31&gt;(0.3208*(L31^2-1)^(3/2)/L31^2),TRUE(),FALSE()),FALSE()))</f>
        <v>0</v>
      </c>
      <c r="L31" s="31" t="e">
        <f aca="false">IF(ISERROR(AF30),L30,AF30)</f>
        <v>#VALUE!</v>
      </c>
      <c r="M31" s="31" t="str">
        <f aca="false">IF(G31&gt;G32,"Expansion",IF(G31=G32,"No Change","Compression"))</f>
        <v>Expansion</v>
      </c>
      <c r="N31" s="31" t="e">
        <f aca="false">ROUNDDOWN(BILINTERP(inputtables!$A$26:$N$44,ABS(I31),D$6),8)</f>
        <v>#VALUE!</v>
      </c>
      <c r="O31" s="31" t="e">
        <f aca="false">AC30</f>
        <v>#VALUE!</v>
      </c>
      <c r="P31" s="52" t="e">
        <f aca="false">N31*G$2</f>
        <v>#VALUE!</v>
      </c>
      <c r="Q31" s="31" t="e">
        <f aca="false">nu(L31,1.4)</f>
        <v>#VALUE!</v>
      </c>
      <c r="R31" s="50" t="e">
        <f aca="false">IF(M31="Expansion",Q31+ABS(J31),IF(M31="Compression",Q31-ABS(J31),Q31))</f>
        <v>#VALUE!</v>
      </c>
      <c r="S31" s="31" t="e">
        <f aca="false">IF(I30&gt;=I31,ROUNDDOWN((newtonmethod(L31,R31)),6),ROUNDDOWN(M2oblique(L31,J31,1.4),6))</f>
        <v>#VALUE!</v>
      </c>
      <c r="T31" s="31" t="e">
        <f aca="false">IF(I30&gt;=I31,p1p2(L31,S31,1.4),p1p2oblique(L31,J31,1.4))</f>
        <v>#VALUE!</v>
      </c>
      <c r="U31" s="53" t="e">
        <f aca="false">ROUNDDOWN((1/T31)*O31,6)</f>
        <v>#VALUE!</v>
      </c>
      <c r="V31" s="31" t="e">
        <f aca="false">(1.4*O31*L31^2)/(2*(L31^2-1))</f>
        <v>#VALUE!</v>
      </c>
      <c r="W31" s="31" t="e">
        <f aca="false">(1.4*U31*S31^2)/(2*(S31^2-1))</f>
        <v>#VALUE!</v>
      </c>
      <c r="X31" s="31" t="e">
        <f aca="false">omega(L31,1.4)</f>
        <v>#VALUE!</v>
      </c>
      <c r="Y31" s="31" t="e">
        <f aca="false">omega(S31,1.4)</f>
        <v>#VALUE!</v>
      </c>
      <c r="Z31" s="7" t="e">
        <f aca="false">AD30</f>
        <v>#VALUE!</v>
      </c>
      <c r="AA31" s="8" t="e">
        <f aca="false">(dpds2(1.4,J31,L31,S31,O31,U31,V31,W31,E30,X31,Y31,G30,G31,Z31))</f>
        <v>#VALUE!</v>
      </c>
      <c r="AB31" s="8" t="e">
        <f aca="false">(eta(AA31,P31,U31,G31,D30,D31))</f>
        <v>#VALUE!</v>
      </c>
      <c r="AC31" s="31" t="e">
        <f aca="false">ROUNDDOWN(Pmainval(P31,U31,AB31),8)</f>
        <v>#VALUE!</v>
      </c>
      <c r="AD31" s="31" t="e">
        <f aca="false">((dpds3(P31,U31,AC31,AA31)))</f>
        <v>#VALUE!</v>
      </c>
      <c r="AE31" s="31" t="e">
        <f aca="false">U31/AC31</f>
        <v>#VALUE!</v>
      </c>
      <c r="AF31" s="31" t="e">
        <f aca="false">ROUNDDOWN((Machfinder(AE31,S31,1.4)),6)</f>
        <v>#VALUE!</v>
      </c>
      <c r="AG31" s="31" t="e">
        <f aca="false">AC31/G$2</f>
        <v>#VALUE!</v>
      </c>
      <c r="AH31" s="31" t="n">
        <f aca="false">D31/D$3</f>
        <v>0.154545454545455</v>
      </c>
      <c r="AI31" s="31" t="e">
        <f aca="false">(2/(1.4*D$6^2))*(AG31-1)</f>
        <v>#VALUE!</v>
      </c>
      <c r="AJ31" s="31" t="e">
        <f aca="false">IF(K31=FALSE(),drag(D30,D31,E30,E31,G31,P31,U31,AB31,AA31),0)</f>
        <v>#VALUE!</v>
      </c>
      <c r="AK31" s="31"/>
      <c r="AL31" s="54"/>
      <c r="AN31" s="0" t="e">
        <f aca="false">ASIN(1/L31)</f>
        <v>#VALUE!</v>
      </c>
      <c r="AO31" s="0" t="e">
        <f aca="false">ASIN(1/S31)</f>
        <v>#VALUE!</v>
      </c>
      <c r="AP31" s="0" t="e">
        <f aca="false">2*1.4*O31/SIN(2*AN31)</f>
        <v>#VALUE!</v>
      </c>
      <c r="AQ31" s="0" t="e">
        <f aca="false">2*1.4*U31/SIN(2*AO31)</f>
        <v>#VALUE!</v>
      </c>
      <c r="AR31" s="0" t="e">
        <f aca="false">ROUNDDOWN(BILINTERP(inputtables!$A$48:$N$66,ABS(I31),D$6),8)</f>
        <v>#VALUE!</v>
      </c>
      <c r="AS31" s="0" t="e">
        <f aca="false">AT30</f>
        <v>#VALUE!</v>
      </c>
      <c r="AT31" s="0" t="e">
        <f aca="false">DeltaL(M$16:M31,U31,O31,J31,M31,L31,1.4,AB31,G31,AR31,AP31,AQ31,AS31)</f>
        <v>#VALUE!</v>
      </c>
      <c r="AU31" s="0" t="e">
        <f aca="false">IF(K31=TRUE(),Segment_Cnalpha(E30,E31,$J$2),cnalpha(D30,D31,E30,E31,G31,P31,U31,AB31,AA31,AP31,AQ31,AS31,AR31,J$3))</f>
        <v>#VALUE!</v>
      </c>
      <c r="AW31" s="0" t="e">
        <f aca="false">IF(K31=TRUE(),Segment_CMalpha(AU31,AX31),cmalpha1(D30,D31,E30,E31,G31,P31,U31,AB31,AA31,AP31,AQ31,AS31,AR31,J$3,D$4))</f>
        <v>#VALUE!</v>
      </c>
      <c r="AX31" s="0" t="e">
        <f aca="false">IF(K31=TRUE(),Segment_CP(D30,D31,E30,E31),-$D$4*AW31/AU31)</f>
        <v>#VALUE!</v>
      </c>
      <c r="BD31" s="31"/>
      <c r="BE31" s="31"/>
      <c r="BI31" s="31"/>
    </row>
    <row r="32" customFormat="false" ht="15" hidden="false" customHeight="false" outlineLevel="0" collapsed="false">
      <c r="B32" s="31"/>
      <c r="C32" s="48" t="n">
        <f aca="false">C31+1</f>
        <v>18</v>
      </c>
      <c r="D32" s="16" t="n">
        <v>9</v>
      </c>
      <c r="E32" s="49" t="n">
        <v>1.029883572</v>
      </c>
      <c r="F32" s="31" t="n">
        <f aca="false">(E32-E31)</f>
        <v>0.022731941</v>
      </c>
      <c r="G32" s="31" t="n">
        <f aca="false">ROUNDDOWN(ATAN(F32/(D32-D31)),6)</f>
        <v>0.045432</v>
      </c>
      <c r="H32" s="31" t="n">
        <f aca="false">IF(G32&gt;0,F32/SIN(G32),D32-D31)</f>
        <v>0.500523043750128</v>
      </c>
      <c r="I32" s="31" t="n">
        <f aca="false">ROUNDDOWN(G32*180/PI(),8)</f>
        <v>2.60306185</v>
      </c>
      <c r="J32" s="7" t="e">
        <f aca="false">ROUNDDOWN(epsilonangle(G31,G32),8)</f>
        <v>#VALUE!</v>
      </c>
      <c r="K32" s="31" t="n">
        <f aca="false">IF(K31=TRUE(),TRUE(),IF(M32="Compression",IF(G32&gt;(0.3208*(L32^2-1)^(3/2)/L32^2),TRUE(),FALSE()),FALSE()))</f>
        <v>0</v>
      </c>
      <c r="L32" s="31" t="e">
        <f aca="false">IF(ISERROR(AF31),L31,AF31)</f>
        <v>#VALUE!</v>
      </c>
      <c r="M32" s="31" t="str">
        <f aca="false">IF(G32&gt;G33,"Expansion",IF(G32=G33,"No Change","Compression"))</f>
        <v>Expansion</v>
      </c>
      <c r="N32" s="31" t="e">
        <f aca="false">ROUNDDOWN(BILINTERP(inputtables!$A$26:$N$44,ABS(I32),D$6),8)</f>
        <v>#VALUE!</v>
      </c>
      <c r="O32" s="31" t="e">
        <f aca="false">AC31</f>
        <v>#VALUE!</v>
      </c>
      <c r="P32" s="52" t="e">
        <f aca="false">N32*G$2</f>
        <v>#VALUE!</v>
      </c>
      <c r="Q32" s="31" t="e">
        <f aca="false">nu(L32,1.4)</f>
        <v>#VALUE!</v>
      </c>
      <c r="R32" s="50" t="e">
        <f aca="false">IF(M32="Expansion",Q32+ABS(J32),IF(M32="Compression",Q32-ABS(J32),Q32))</f>
        <v>#VALUE!</v>
      </c>
      <c r="S32" s="31" t="e">
        <f aca="false">IF(I31&gt;=I32,ROUNDDOWN((newtonmethod(L32,R32)),6),ROUNDDOWN(M2oblique(L32,J32,1.4),6))</f>
        <v>#VALUE!</v>
      </c>
      <c r="T32" s="31" t="e">
        <f aca="false">IF(I31&gt;=I32,p1p2(L32,S32,1.4),p1p2oblique(L32,J32,1.4))</f>
        <v>#VALUE!</v>
      </c>
      <c r="U32" s="53" t="e">
        <f aca="false">ROUNDDOWN((1/T32)*O32,6)</f>
        <v>#VALUE!</v>
      </c>
      <c r="V32" s="31" t="e">
        <f aca="false">(1.4*O32*L32^2)/(2*(L32^2-1))</f>
        <v>#VALUE!</v>
      </c>
      <c r="W32" s="31" t="e">
        <f aca="false">(1.4*U32*S32^2)/(2*(S32^2-1))</f>
        <v>#VALUE!</v>
      </c>
      <c r="X32" s="31" t="e">
        <f aca="false">omega(L32,1.4)</f>
        <v>#VALUE!</v>
      </c>
      <c r="Y32" s="31" t="e">
        <f aca="false">omega(S32,1.4)</f>
        <v>#VALUE!</v>
      </c>
      <c r="Z32" s="7" t="e">
        <f aca="false">AD31</f>
        <v>#VALUE!</v>
      </c>
      <c r="AA32" s="8" t="e">
        <f aca="false">(dpds2(1.4,J32,L32,S32,O32,U32,V32,W32,E31,X32,Y32,G31,G32,Z32))</f>
        <v>#VALUE!</v>
      </c>
      <c r="AB32" s="8" t="e">
        <f aca="false">(eta(AA32,P32,U32,G32,D31,D32))</f>
        <v>#VALUE!</v>
      </c>
      <c r="AC32" s="31" t="e">
        <f aca="false">ROUNDDOWN(Pmainval(P32,U32,AB32),8)</f>
        <v>#VALUE!</v>
      </c>
      <c r="AD32" s="31" t="e">
        <f aca="false">((dpds3(P32,U32,AC32,AA32)))</f>
        <v>#VALUE!</v>
      </c>
      <c r="AE32" s="31" t="e">
        <f aca="false">U32/AC32</f>
        <v>#VALUE!</v>
      </c>
      <c r="AF32" s="31" t="e">
        <f aca="false">ROUNDDOWN((Machfinder(AE32,S32,1.4)),6)</f>
        <v>#VALUE!</v>
      </c>
      <c r="AG32" s="31" t="e">
        <f aca="false">AC32/G$2</f>
        <v>#VALUE!</v>
      </c>
      <c r="AH32" s="31" t="n">
        <f aca="false">D32/D$3</f>
        <v>0.163636363636364</v>
      </c>
      <c r="AI32" s="31" t="e">
        <f aca="false">(2/(1.4*D$6^2))*(AG32-1)</f>
        <v>#VALUE!</v>
      </c>
      <c r="AJ32" s="31" t="e">
        <f aca="false">IF(K32=FALSE(),drag(D31,D32,E31,E32,G32,P32,U32,AB32,AA32),0)</f>
        <v>#VALUE!</v>
      </c>
      <c r="AK32" s="31"/>
      <c r="AL32" s="54"/>
      <c r="AN32" s="0" t="e">
        <f aca="false">ASIN(1/L32)</f>
        <v>#VALUE!</v>
      </c>
      <c r="AO32" s="0" t="e">
        <f aca="false">ASIN(1/S32)</f>
        <v>#VALUE!</v>
      </c>
      <c r="AP32" s="0" t="e">
        <f aca="false">2*1.4*O32/SIN(2*AN32)</f>
        <v>#VALUE!</v>
      </c>
      <c r="AQ32" s="0" t="e">
        <f aca="false">2*1.4*U32/SIN(2*AO32)</f>
        <v>#VALUE!</v>
      </c>
      <c r="AR32" s="0" t="e">
        <f aca="false">ROUNDDOWN(BILINTERP(inputtables!$A$48:$N$66,ABS(I32),D$6),8)</f>
        <v>#VALUE!</v>
      </c>
      <c r="AS32" s="0" t="e">
        <f aca="false">AT31</f>
        <v>#VALUE!</v>
      </c>
      <c r="AT32" s="0" t="e">
        <f aca="false">DeltaL(M$16:M32,U32,O32,J32,M32,L32,1.4,AB32,G32,AR32,AP32,AQ32,AS32)</f>
        <v>#VALUE!</v>
      </c>
      <c r="AU32" s="0" t="e">
        <f aca="false">IF(K32=TRUE(),Segment_Cnalpha(E31,E32,$J$2),cnalpha(D31,D32,E31,E32,G32,P32,U32,AB32,AA32,AP32,AQ32,AS32,AR32,J$3))</f>
        <v>#VALUE!</v>
      </c>
      <c r="AW32" s="0" t="e">
        <f aca="false">IF(K32=TRUE(),Segment_CMalpha(AU32,AX32),cmalpha1(D31,D32,E31,E32,G32,P32,U32,AB32,AA32,AP32,AQ32,AS32,AR32,J$3,D$4))</f>
        <v>#VALUE!</v>
      </c>
      <c r="AX32" s="0" t="e">
        <f aca="false">IF(K32=TRUE(),Segment_CP(D31,D32,E31,E32),-$D$4*AW32/AU32)</f>
        <v>#VALUE!</v>
      </c>
      <c r="BD32" s="31"/>
      <c r="BE32" s="31"/>
      <c r="BI32" s="31"/>
    </row>
    <row r="33" customFormat="false" ht="15" hidden="false" customHeight="false" outlineLevel="0" collapsed="false">
      <c r="B33" s="31"/>
      <c r="C33" s="48" t="n">
        <f aca="false">C32+1</f>
        <v>19</v>
      </c>
      <c r="D33" s="16" t="n">
        <v>9.5</v>
      </c>
      <c r="E33" s="49" t="n">
        <v>1.050081749</v>
      </c>
      <c r="F33" s="31" t="n">
        <f aca="false">(E33-E32)</f>
        <v>0.0201981770000002</v>
      </c>
      <c r="G33" s="31" t="n">
        <f aca="false">ROUNDDOWN(ATAN(F33/(D33-D32)),6)</f>
        <v>0.040374</v>
      </c>
      <c r="H33" s="31" t="n">
        <f aca="false">IF(G33&gt;0,F33/SIN(G33),D33-D32)</f>
        <v>0.500412775962649</v>
      </c>
      <c r="I33" s="31" t="n">
        <f aca="false">ROUNDDOWN(G33*180/PI(),8)</f>
        <v>2.3132598</v>
      </c>
      <c r="J33" s="7" t="e">
        <f aca="false">ROUNDDOWN(epsilonangle(G32,G33),8)</f>
        <v>#VALUE!</v>
      </c>
      <c r="K33" s="31" t="n">
        <f aca="false">IF(K32=TRUE(),TRUE(),IF(M33="Compression",IF(G33&gt;(0.3208*(L33^2-1)^(3/2)/L33^2),TRUE(),FALSE()),FALSE()))</f>
        <v>0</v>
      </c>
      <c r="L33" s="31" t="e">
        <f aca="false">IF(ISERROR(AF32),L32,AF32)</f>
        <v>#VALUE!</v>
      </c>
      <c r="M33" s="31" t="str">
        <f aca="false">IF(G33&gt;G34,"Expansion",IF(G33=G34,"No Change","Compression"))</f>
        <v>Expansion</v>
      </c>
      <c r="N33" s="31" t="e">
        <f aca="false">ROUNDDOWN(BILINTERP(inputtables!$A$26:$N$44,ABS(I33),D$6),8)</f>
        <v>#VALUE!</v>
      </c>
      <c r="O33" s="31" t="e">
        <f aca="false">AC32</f>
        <v>#VALUE!</v>
      </c>
      <c r="P33" s="52" t="e">
        <f aca="false">N33*G$2</f>
        <v>#VALUE!</v>
      </c>
      <c r="Q33" s="31" t="e">
        <f aca="false">nu(L33,1.4)</f>
        <v>#VALUE!</v>
      </c>
      <c r="R33" s="50" t="e">
        <f aca="false">IF(M33="Expansion",Q33+ABS(J33),IF(M33="Compression",Q33-ABS(J33),Q33))</f>
        <v>#VALUE!</v>
      </c>
      <c r="S33" s="31" t="e">
        <f aca="false">IF(I32&gt;=I33,ROUNDDOWN((newtonmethod(L33,R33)),6),ROUNDDOWN(M2oblique(L33,J33,1.4),6))</f>
        <v>#VALUE!</v>
      </c>
      <c r="T33" s="31" t="e">
        <f aca="false">IF(I32&gt;=I33,p1p2(L33,S33,1.4),p1p2oblique(L33,J33,1.4))</f>
        <v>#VALUE!</v>
      </c>
      <c r="U33" s="53" t="e">
        <f aca="false">ROUNDDOWN((1/T33)*O33,6)</f>
        <v>#VALUE!</v>
      </c>
      <c r="V33" s="31" t="e">
        <f aca="false">(1.4*O33*L33^2)/(2*(L33^2-1))</f>
        <v>#VALUE!</v>
      </c>
      <c r="W33" s="31" t="e">
        <f aca="false">(1.4*U33*S33^2)/(2*(S33^2-1))</f>
        <v>#VALUE!</v>
      </c>
      <c r="X33" s="31" t="e">
        <f aca="false">omega(L33,1.4)</f>
        <v>#VALUE!</v>
      </c>
      <c r="Y33" s="31" t="e">
        <f aca="false">omega(S33,1.4)</f>
        <v>#VALUE!</v>
      </c>
      <c r="Z33" s="7" t="e">
        <f aca="false">AD32</f>
        <v>#VALUE!</v>
      </c>
      <c r="AA33" s="8" t="e">
        <f aca="false">(dpds2(1.4,J33,L33,S33,O33,U33,V33,W33,E32,X33,Y33,G32,G33,Z33))</f>
        <v>#VALUE!</v>
      </c>
      <c r="AB33" s="8" t="e">
        <f aca="false">(eta(AA33,P33,U33,G33,D32,D33))</f>
        <v>#VALUE!</v>
      </c>
      <c r="AC33" s="31" t="e">
        <f aca="false">ROUNDDOWN(Pmainval(P33,U33,AB33),8)</f>
        <v>#VALUE!</v>
      </c>
      <c r="AD33" s="31" t="e">
        <f aca="false">((dpds3(P33,U33,AC33,AA33)))</f>
        <v>#VALUE!</v>
      </c>
      <c r="AE33" s="31" t="e">
        <f aca="false">U33/AC33</f>
        <v>#VALUE!</v>
      </c>
      <c r="AF33" s="31" t="e">
        <f aca="false">ROUNDDOWN((Machfinder(AE33,S33,1.4)),6)</f>
        <v>#VALUE!</v>
      </c>
      <c r="AG33" s="31" t="e">
        <f aca="false">AC33/G$2</f>
        <v>#VALUE!</v>
      </c>
      <c r="AH33" s="31" t="n">
        <f aca="false">D33/D$3</f>
        <v>0.172727272727273</v>
      </c>
      <c r="AI33" s="31" t="e">
        <f aca="false">(2/(1.4*D$6^2))*(AG33-1)</f>
        <v>#VALUE!</v>
      </c>
      <c r="AJ33" s="31" t="e">
        <f aca="false">IF(K33=FALSE(),drag(D32,D33,E32,E33,G33,P33,U33,AB33,AA33),0)</f>
        <v>#VALUE!</v>
      </c>
      <c r="AK33" s="31"/>
      <c r="AL33" s="54"/>
      <c r="AN33" s="0" t="e">
        <f aca="false">ASIN(1/L33)</f>
        <v>#VALUE!</v>
      </c>
      <c r="AO33" s="0" t="e">
        <f aca="false">ASIN(1/S33)</f>
        <v>#VALUE!</v>
      </c>
      <c r="AP33" s="0" t="e">
        <f aca="false">2*1.4*O33/SIN(2*AN33)</f>
        <v>#VALUE!</v>
      </c>
      <c r="AQ33" s="0" t="e">
        <f aca="false">2*1.4*U33/SIN(2*AO33)</f>
        <v>#VALUE!</v>
      </c>
      <c r="AR33" s="0" t="e">
        <f aca="false">ROUNDDOWN(BILINTERP(inputtables!$A$48:$N$66,ABS(I33),D$6),8)</f>
        <v>#VALUE!</v>
      </c>
      <c r="AS33" s="0" t="e">
        <f aca="false">AT32</f>
        <v>#VALUE!</v>
      </c>
      <c r="AT33" s="0" t="e">
        <f aca="false">DeltaL(M$16:M33,U33,O33,J33,M33,L33,1.4,AB33,G33,AR33,AP33,AQ33,AS33)</f>
        <v>#VALUE!</v>
      </c>
      <c r="AU33" s="0" t="e">
        <f aca="false">IF(K33=TRUE(),Segment_Cnalpha(E32,E33,$J$2),cnalpha(D32,D33,E32,E33,G33,P33,U33,AB33,AA33,AP33,AQ33,AS33,AR33,J$3))</f>
        <v>#VALUE!</v>
      </c>
      <c r="AW33" s="0" t="e">
        <f aca="false">IF(K33=TRUE(),Segment_CMalpha(AU33,AX33),cmalpha1(D32,D33,E32,E33,G33,P33,U33,AB33,AA33,AP33,AQ33,AS33,AR33,J$3,D$4))</f>
        <v>#VALUE!</v>
      </c>
      <c r="AX33" s="0" t="e">
        <f aca="false">IF(K33=TRUE(),Segment_CP(D32,D33,E32,E33),-$D$4*AW33/AU33)</f>
        <v>#VALUE!</v>
      </c>
      <c r="BD33" s="31"/>
      <c r="BE33" s="31"/>
      <c r="BI33" s="31"/>
    </row>
    <row r="34" customFormat="false" ht="15" hidden="false" customHeight="false" outlineLevel="0" collapsed="false">
      <c r="B34" s="31"/>
      <c r="C34" s="48" t="n">
        <f aca="false">C33+1</f>
        <v>20</v>
      </c>
      <c r="D34" s="16" t="n">
        <v>10</v>
      </c>
      <c r="E34" s="49" t="n">
        <v>1.067796667</v>
      </c>
      <c r="F34" s="31" t="n">
        <f aca="false">(E34-E33)</f>
        <v>0.017714918</v>
      </c>
      <c r="G34" s="31" t="n">
        <f aca="false">ROUNDDOWN(ATAN(F34/(D34-D33)),6)</f>
        <v>0.035415</v>
      </c>
      <c r="H34" s="31" t="n">
        <f aca="false">IF(G34&gt;0,F34/SIN(G34),D34-D33)</f>
        <v>0.500314036874367</v>
      </c>
      <c r="I34" s="31" t="n">
        <f aca="false">ROUNDDOWN(G34*180/PI(),8)</f>
        <v>2.02913003</v>
      </c>
      <c r="J34" s="7" t="e">
        <f aca="false">ROUNDDOWN(epsilonangle(G33,G34),8)</f>
        <v>#VALUE!</v>
      </c>
      <c r="K34" s="31" t="n">
        <f aca="false">IF(K33=TRUE(),TRUE(),IF(M34="Compression",IF(G34&gt;(0.3208*(L34^2-1)^(3/2)/L34^2),TRUE(),FALSE()),FALSE()))</f>
        <v>0</v>
      </c>
      <c r="L34" s="31" t="e">
        <f aca="false">IF(ISERROR(AF33),L33,AF33)</f>
        <v>#VALUE!</v>
      </c>
      <c r="M34" s="31" t="str">
        <f aca="false">IF(G34&gt;G35,"Expansion",IF(G34=G35,"No Change","Compression"))</f>
        <v>Expansion</v>
      </c>
      <c r="N34" s="31" t="e">
        <f aca="false">ROUNDDOWN(BILINTERP(inputtables!$A$26:$N$44,ABS(I34),D$6),8)</f>
        <v>#VALUE!</v>
      </c>
      <c r="O34" s="31" t="e">
        <f aca="false">AC33</f>
        <v>#VALUE!</v>
      </c>
      <c r="P34" s="52" t="e">
        <f aca="false">N34*G$2</f>
        <v>#VALUE!</v>
      </c>
      <c r="Q34" s="31" t="e">
        <f aca="false">nu(L34,1.4)</f>
        <v>#VALUE!</v>
      </c>
      <c r="R34" s="50" t="e">
        <f aca="false">IF(M34="Expansion",Q34+ABS(J34),IF(M34="Compression",Q34-ABS(J34),Q34))</f>
        <v>#VALUE!</v>
      </c>
      <c r="S34" s="31" t="e">
        <f aca="false">IF(I33&gt;=I34,ROUNDDOWN((newtonmethod(L34,R34)),6),ROUNDDOWN(M2oblique(L34,J34,1.4),6))</f>
        <v>#VALUE!</v>
      </c>
      <c r="T34" s="31" t="e">
        <f aca="false">IF(I33&gt;=I34,p1p2(L34,S34,1.4),p1p2oblique(L34,J34,1.4))</f>
        <v>#VALUE!</v>
      </c>
      <c r="U34" s="53" t="e">
        <f aca="false">ROUNDDOWN((1/T34)*O34,6)</f>
        <v>#VALUE!</v>
      </c>
      <c r="V34" s="31" t="e">
        <f aca="false">(1.4*O34*L34^2)/(2*(L34^2-1))</f>
        <v>#VALUE!</v>
      </c>
      <c r="W34" s="31" t="e">
        <f aca="false">(1.4*U34*S34^2)/(2*(S34^2-1))</f>
        <v>#VALUE!</v>
      </c>
      <c r="X34" s="31" t="e">
        <f aca="false">omega(L34,1.4)</f>
        <v>#VALUE!</v>
      </c>
      <c r="Y34" s="31" t="e">
        <f aca="false">omega(S34,1.4)</f>
        <v>#VALUE!</v>
      </c>
      <c r="Z34" s="7" t="e">
        <f aca="false">AD33</f>
        <v>#VALUE!</v>
      </c>
      <c r="AA34" s="8" t="e">
        <f aca="false">(dpds2(1.4,J34,L34,S34,O34,U34,V34,W34,E33,X34,Y34,G33,G34,Z34))</f>
        <v>#VALUE!</v>
      </c>
      <c r="AB34" s="8" t="e">
        <f aca="false">(eta(AA34,P34,U34,G34,D33,D34))</f>
        <v>#VALUE!</v>
      </c>
      <c r="AC34" s="31" t="e">
        <f aca="false">ROUNDDOWN(Pmainval(P34,U34,AB34),8)</f>
        <v>#VALUE!</v>
      </c>
      <c r="AD34" s="31" t="e">
        <f aca="false">((dpds3(P34,U34,AC34,AA34)))</f>
        <v>#VALUE!</v>
      </c>
      <c r="AE34" s="31" t="e">
        <f aca="false">U34/AC34</f>
        <v>#VALUE!</v>
      </c>
      <c r="AF34" s="31" t="e">
        <f aca="false">ROUNDDOWN((Machfinder(AE34,S34,1.4)),6)</f>
        <v>#VALUE!</v>
      </c>
      <c r="AG34" s="31" t="e">
        <f aca="false">AC34/G$2</f>
        <v>#VALUE!</v>
      </c>
      <c r="AH34" s="31" t="n">
        <f aca="false">D34/D$3</f>
        <v>0.181818181818182</v>
      </c>
      <c r="AI34" s="31" t="e">
        <f aca="false">(2/(1.4*D$6^2))*(AG34-1)</f>
        <v>#VALUE!</v>
      </c>
      <c r="AJ34" s="31" t="e">
        <f aca="false">IF(K34=FALSE(),drag(D33,D34,E33,E34,G34,P34,U34,AB34,AA34),0)</f>
        <v>#VALUE!</v>
      </c>
      <c r="AK34" s="31"/>
      <c r="AL34" s="54"/>
      <c r="AN34" s="0" t="e">
        <f aca="false">ASIN(1/L34)</f>
        <v>#VALUE!</v>
      </c>
      <c r="AO34" s="0" t="e">
        <f aca="false">ASIN(1/S34)</f>
        <v>#VALUE!</v>
      </c>
      <c r="AP34" s="0" t="e">
        <f aca="false">2*1.4*O34/SIN(2*AN34)</f>
        <v>#VALUE!</v>
      </c>
      <c r="AQ34" s="0" t="e">
        <f aca="false">2*1.4*U34/SIN(2*AO34)</f>
        <v>#VALUE!</v>
      </c>
      <c r="AR34" s="0" t="e">
        <f aca="false">ROUNDDOWN(BILINTERP(inputtables!$A$48:$N$66,ABS(I34),D$6),8)</f>
        <v>#VALUE!</v>
      </c>
      <c r="AS34" s="0" t="e">
        <f aca="false">AT33</f>
        <v>#VALUE!</v>
      </c>
      <c r="AT34" s="0" t="e">
        <f aca="false">DeltaL(M$16:M34,U34,O34,J34,M34,L34,1.4,AB34,G34,AR34,AP34,AQ34,AS34)</f>
        <v>#VALUE!</v>
      </c>
      <c r="AU34" s="0" t="e">
        <f aca="false">IF(K34=TRUE(),Segment_Cnalpha(E33,E34,$J$2),cnalpha(D33,D34,E33,E34,G34,P34,U34,AB34,AA34,AP34,AQ34,AS34,AR34,J$3))</f>
        <v>#VALUE!</v>
      </c>
      <c r="AW34" s="0" t="e">
        <f aca="false">IF(K34=TRUE(),Segment_CMalpha(AU34,AX34),cmalpha1(D33,D34,E33,E34,G34,P34,U34,AB34,AA34,AP34,AQ34,AS34,AR34,J$3,D$4))</f>
        <v>#VALUE!</v>
      </c>
      <c r="AX34" s="0" t="e">
        <f aca="false">IF(K34=TRUE(),Segment_CP(D33,D34,E33,E34),-$D$4*AW34/AU34)</f>
        <v>#VALUE!</v>
      </c>
      <c r="BD34" s="31"/>
      <c r="BE34" s="31"/>
      <c r="BI34" s="31"/>
    </row>
    <row r="35" customFormat="false" ht="15" hidden="false" customHeight="false" outlineLevel="0" collapsed="false">
      <c r="B35" s="31"/>
      <c r="C35" s="48" t="n">
        <f aca="false">C34+1</f>
        <v>21</v>
      </c>
      <c r="D35" s="16" t="n">
        <v>10.5</v>
      </c>
      <c r="E35" s="49" t="n">
        <v>1.083070688</v>
      </c>
      <c r="F35" s="31" t="n">
        <f aca="false">(E35-E34)</f>
        <v>0.015274021</v>
      </c>
      <c r="G35" s="31" t="n">
        <f aca="false">ROUNDDOWN(ATAN(F35/(D35-D34)),6)</f>
        <v>0.030538</v>
      </c>
      <c r="H35" s="31" t="n">
        <f aca="false">IF(G35&gt;0,F35/SIN(G35),D35-D34)</f>
        <v>0.500242166236476</v>
      </c>
      <c r="I35" s="31" t="n">
        <f aca="false">ROUNDDOWN(G35*180/PI(),8)</f>
        <v>1.74969851</v>
      </c>
      <c r="J35" s="7" t="e">
        <f aca="false">ROUNDDOWN(epsilonangle(G34,G35),8)</f>
        <v>#VALUE!</v>
      </c>
      <c r="K35" s="31" t="n">
        <f aca="false">IF(K34=TRUE(),TRUE(),IF(M35="Compression",IF(G35&gt;(0.3208*(L35^2-1)^(3/2)/L35^2),TRUE(),FALSE()),FALSE()))</f>
        <v>0</v>
      </c>
      <c r="L35" s="31" t="e">
        <f aca="false">IF(ISERROR(AF34),L34,AF34)</f>
        <v>#VALUE!</v>
      </c>
      <c r="M35" s="31" t="str">
        <f aca="false">IF(G35&gt;G36,"Expansion",IF(G35=G36,"No Change","Compression"))</f>
        <v>Expansion</v>
      </c>
      <c r="N35" s="31" t="e">
        <f aca="false">ROUNDDOWN(BILINTERP(inputtables!$A$26:$N$44,ABS(I35),D$6),8)</f>
        <v>#VALUE!</v>
      </c>
      <c r="O35" s="31" t="e">
        <f aca="false">AC34</f>
        <v>#VALUE!</v>
      </c>
      <c r="P35" s="52" t="e">
        <f aca="false">N35*G$2</f>
        <v>#VALUE!</v>
      </c>
      <c r="Q35" s="31" t="e">
        <f aca="false">nu(L35,1.4)</f>
        <v>#VALUE!</v>
      </c>
      <c r="R35" s="50" t="e">
        <f aca="false">IF(M35="Expansion",Q35+ABS(J35),IF(M35="Compression",Q35-ABS(J35),Q35))</f>
        <v>#VALUE!</v>
      </c>
      <c r="S35" s="31" t="e">
        <f aca="false">IF(I34&gt;=I35,ROUNDDOWN((newtonmethod(L35,R35)),6),ROUNDDOWN(M2oblique(L35,J35,1.4),6))</f>
        <v>#VALUE!</v>
      </c>
      <c r="T35" s="31" t="e">
        <f aca="false">IF(I34&gt;=I35,p1p2(L35,S35,1.4),p1p2oblique(L35,J35,1.4))</f>
        <v>#VALUE!</v>
      </c>
      <c r="U35" s="53" t="e">
        <f aca="false">ROUNDDOWN((1/T35)*O35,6)</f>
        <v>#VALUE!</v>
      </c>
      <c r="V35" s="31" t="e">
        <f aca="false">(1.4*O35*L35^2)/(2*(L35^2-1))</f>
        <v>#VALUE!</v>
      </c>
      <c r="W35" s="31" t="e">
        <f aca="false">(1.4*U35*S35^2)/(2*(S35^2-1))</f>
        <v>#VALUE!</v>
      </c>
      <c r="X35" s="31" t="e">
        <f aca="false">omega(L35,1.4)</f>
        <v>#VALUE!</v>
      </c>
      <c r="Y35" s="31" t="e">
        <f aca="false">omega(S35,1.4)</f>
        <v>#VALUE!</v>
      </c>
      <c r="Z35" s="7" t="e">
        <f aca="false">AD34</f>
        <v>#VALUE!</v>
      </c>
      <c r="AA35" s="8" t="e">
        <f aca="false">(dpds2(1.4,J35,L35,S35,O35,U35,V35,W35,E34,X35,Y35,G34,G35,Z35))</f>
        <v>#VALUE!</v>
      </c>
      <c r="AB35" s="8" t="e">
        <f aca="false">(eta(AA35,P35,U35,G35,D34,D35))</f>
        <v>#VALUE!</v>
      </c>
      <c r="AC35" s="31" t="e">
        <f aca="false">ROUNDDOWN(Pmainval(P35,U35,AB35),8)</f>
        <v>#VALUE!</v>
      </c>
      <c r="AD35" s="31" t="e">
        <f aca="false">((dpds3(P35,U35,AC35,AA35)))</f>
        <v>#VALUE!</v>
      </c>
      <c r="AE35" s="31" t="e">
        <f aca="false">U35/AC35</f>
        <v>#VALUE!</v>
      </c>
      <c r="AF35" s="31" t="e">
        <f aca="false">ROUNDDOWN((Machfinder(AE35,S35,1.4)),6)</f>
        <v>#VALUE!</v>
      </c>
      <c r="AG35" s="31" t="e">
        <f aca="false">AC35/G$2</f>
        <v>#VALUE!</v>
      </c>
      <c r="AH35" s="31" t="n">
        <f aca="false">D35/D$3</f>
        <v>0.190909090909091</v>
      </c>
      <c r="AI35" s="31" t="e">
        <f aca="false">(2/(1.4*D$6^2))*(AG35-1)</f>
        <v>#VALUE!</v>
      </c>
      <c r="AJ35" s="31" t="e">
        <f aca="false">IF(K35=FALSE(),drag(D34,D35,E34,E35,G35,P35,U35,AB35,AA35),0)</f>
        <v>#VALUE!</v>
      </c>
      <c r="AK35" s="31"/>
      <c r="AL35" s="54"/>
      <c r="AN35" s="0" t="e">
        <f aca="false">ASIN(1/L35)</f>
        <v>#VALUE!</v>
      </c>
      <c r="AO35" s="0" t="e">
        <f aca="false">ASIN(1/S35)</f>
        <v>#VALUE!</v>
      </c>
      <c r="AP35" s="0" t="e">
        <f aca="false">2*1.4*O35/SIN(2*AN35)</f>
        <v>#VALUE!</v>
      </c>
      <c r="AQ35" s="0" t="e">
        <f aca="false">2*1.4*U35/SIN(2*AO35)</f>
        <v>#VALUE!</v>
      </c>
      <c r="AR35" s="0" t="e">
        <f aca="false">ROUNDDOWN(BILINTERP(inputtables!$A$48:$N$66,ABS(I35),D$6),8)</f>
        <v>#VALUE!</v>
      </c>
      <c r="AS35" s="0" t="e">
        <f aca="false">AT34</f>
        <v>#VALUE!</v>
      </c>
      <c r="AT35" s="0" t="e">
        <f aca="false">DeltaL(M$16:M35,U35,O35,J35,M35,L35,1.4,AB35,G35,AR35,AP35,AQ35,AS35)</f>
        <v>#VALUE!</v>
      </c>
      <c r="AU35" s="0" t="e">
        <f aca="false">IF(K35=TRUE(),Segment_Cnalpha(E34,E35,$J$2),cnalpha(D34,D35,E34,E35,G35,P35,U35,AB35,AA35,AP35,AQ35,AS35,AR35,J$3))</f>
        <v>#VALUE!</v>
      </c>
      <c r="AW35" s="0" t="e">
        <f aca="false">IF(K35=TRUE(),Segment_CMalpha(AU35,AX35),cmalpha1(D34,D35,E34,E35,G35,P35,U35,AB35,AA35,AP35,AQ35,AS35,AR35,J$3,D$4))</f>
        <v>#VALUE!</v>
      </c>
      <c r="AX35" s="0" t="e">
        <f aca="false">IF(K35=TRUE(),Segment_CP(D34,D35,E34,E35),-$D$4*AW35/AU35)</f>
        <v>#VALUE!</v>
      </c>
      <c r="BD35" s="31"/>
      <c r="BE35" s="31"/>
      <c r="BI35" s="31"/>
    </row>
    <row r="36" customFormat="false" ht="15" hidden="false" customHeight="false" outlineLevel="0" collapsed="false">
      <c r="B36" s="31"/>
      <c r="C36" s="48" t="n">
        <f aca="false">C35+1</f>
        <v>22</v>
      </c>
      <c r="D36" s="16" t="n">
        <v>11</v>
      </c>
      <c r="E36" s="49" t="n">
        <v>1.095938971</v>
      </c>
      <c r="F36" s="31" t="n">
        <f aca="false">(E36-E35)</f>
        <v>0.012868283</v>
      </c>
      <c r="G36" s="31" t="n">
        <f aca="false">ROUNDDOWN(ATAN(F36/(D36-D35)),6)</f>
        <v>0.02573</v>
      </c>
      <c r="H36" s="31" t="n">
        <f aca="false">IF(G36&gt;0,F36/SIN(G36),D36-D35)</f>
        <v>0.500182781997405</v>
      </c>
      <c r="I36" s="31" t="n">
        <f aca="false">ROUNDDOWN(G36*180/PI(),8)</f>
        <v>1.4742204</v>
      </c>
      <c r="J36" s="7" t="e">
        <f aca="false">ROUNDDOWN(epsilonangle(G35,G36),8)</f>
        <v>#VALUE!</v>
      </c>
      <c r="K36" s="31" t="n">
        <f aca="false">IF(K35=TRUE(),TRUE(),IF(M36="Compression",IF(G36&gt;(0.3208*(L36^2-1)^(3/2)/L36^2),TRUE(),FALSE()),FALSE()))</f>
        <v>0</v>
      </c>
      <c r="L36" s="31" t="e">
        <f aca="false">IF(ISERROR(AF35),L35,AF35)</f>
        <v>#VALUE!</v>
      </c>
      <c r="M36" s="31" t="str">
        <f aca="false">IF(G36&gt;G37,"Expansion",IF(G36=G37,"No Change","Compression"))</f>
        <v>Expansion</v>
      </c>
      <c r="N36" s="31" t="e">
        <f aca="false">ROUNDDOWN(BILINTERP(inputtables!$A$26:$N$44,ABS(I36),D$6),8)</f>
        <v>#VALUE!</v>
      </c>
      <c r="O36" s="31" t="e">
        <f aca="false">AC35</f>
        <v>#VALUE!</v>
      </c>
      <c r="P36" s="52" t="e">
        <f aca="false">N36*G$2</f>
        <v>#VALUE!</v>
      </c>
      <c r="Q36" s="31" t="e">
        <f aca="false">nu(L36,1.4)</f>
        <v>#VALUE!</v>
      </c>
      <c r="R36" s="50" t="e">
        <f aca="false">IF(M36="Expansion",Q36+ABS(J36),IF(M36="Compression",Q36-ABS(J36),Q36))</f>
        <v>#VALUE!</v>
      </c>
      <c r="S36" s="31" t="e">
        <f aca="false">IF(I35&gt;=I36,ROUNDDOWN((newtonmethod(L36,R36)),6),ROUNDDOWN(M2oblique(L36,J36,1.4),6))</f>
        <v>#VALUE!</v>
      </c>
      <c r="T36" s="31" t="e">
        <f aca="false">IF(I35&gt;=I36,p1p2(L36,S36,1.4),p1p2oblique(L36,J36,1.4))</f>
        <v>#VALUE!</v>
      </c>
      <c r="U36" s="53" t="e">
        <f aca="false">ROUNDDOWN((1/T36)*O36,6)</f>
        <v>#VALUE!</v>
      </c>
      <c r="V36" s="31" t="e">
        <f aca="false">(1.4*O36*L36^2)/(2*(L36^2-1))</f>
        <v>#VALUE!</v>
      </c>
      <c r="W36" s="31" t="e">
        <f aca="false">(1.4*U36*S36^2)/(2*(S36^2-1))</f>
        <v>#VALUE!</v>
      </c>
      <c r="X36" s="31" t="e">
        <f aca="false">omega(L36,1.4)</f>
        <v>#VALUE!</v>
      </c>
      <c r="Y36" s="31" t="e">
        <f aca="false">omega(S36,1.4)</f>
        <v>#VALUE!</v>
      </c>
      <c r="Z36" s="7" t="e">
        <f aca="false">AD35</f>
        <v>#VALUE!</v>
      </c>
      <c r="AA36" s="8" t="e">
        <f aca="false">(dpds2(1.4,J36,L36,S36,O36,U36,V36,W36,E35,X36,Y36,G35,G36,Z36))</f>
        <v>#VALUE!</v>
      </c>
      <c r="AB36" s="8" t="e">
        <f aca="false">(eta(AA36,P36,U36,G36,D35,D36))</f>
        <v>#VALUE!</v>
      </c>
      <c r="AC36" s="31" t="e">
        <f aca="false">ROUNDDOWN(Pmainval(P36,U36,AB36),8)</f>
        <v>#VALUE!</v>
      </c>
      <c r="AD36" s="31" t="e">
        <f aca="false">((dpds3(P36,U36,AC36,AA36)))</f>
        <v>#VALUE!</v>
      </c>
      <c r="AE36" s="31" t="e">
        <f aca="false">U36/AC36</f>
        <v>#VALUE!</v>
      </c>
      <c r="AF36" s="31" t="e">
        <f aca="false">ROUNDDOWN((Machfinder(AE36,S36,1.4)),6)</f>
        <v>#VALUE!</v>
      </c>
      <c r="AG36" s="31" t="e">
        <f aca="false">AC36/G$2</f>
        <v>#VALUE!</v>
      </c>
      <c r="AH36" s="31" t="n">
        <f aca="false">D36/D$3</f>
        <v>0.2</v>
      </c>
      <c r="AI36" s="31" t="e">
        <f aca="false">(2/(1.4*D$6^2))*(AG36-1)</f>
        <v>#VALUE!</v>
      </c>
      <c r="AJ36" s="31" t="e">
        <f aca="false">IF(K36=FALSE(),drag(D35,D36,E35,E36,G36,P36,U36,AB36,AA36),0)</f>
        <v>#VALUE!</v>
      </c>
      <c r="AK36" s="31"/>
      <c r="AL36" s="54"/>
      <c r="AN36" s="0" t="e">
        <f aca="false">ASIN(1/L36)</f>
        <v>#VALUE!</v>
      </c>
      <c r="AO36" s="0" t="e">
        <f aca="false">ASIN(1/S36)</f>
        <v>#VALUE!</v>
      </c>
      <c r="AP36" s="0" t="e">
        <f aca="false">2*1.4*O36/SIN(2*AN36)</f>
        <v>#VALUE!</v>
      </c>
      <c r="AQ36" s="0" t="e">
        <f aca="false">2*1.4*U36/SIN(2*AO36)</f>
        <v>#VALUE!</v>
      </c>
      <c r="AR36" s="0" t="e">
        <f aca="false">ROUNDDOWN(BILINTERP(inputtables!$A$48:$N$66,ABS(I36),D$6),8)</f>
        <v>#VALUE!</v>
      </c>
      <c r="AS36" s="0" t="e">
        <f aca="false">AT35</f>
        <v>#VALUE!</v>
      </c>
      <c r="AT36" s="0" t="e">
        <f aca="false">DeltaL(M$16:M36,U36,O36,J36,M36,L36,1.4,AB36,G36,AR36,AP36,AQ36,AS36)</f>
        <v>#VALUE!</v>
      </c>
      <c r="AU36" s="0" t="e">
        <f aca="false">IF(K36=TRUE(),Segment_Cnalpha(E35,E36,$J$2),cnalpha(D35,D36,E35,E36,G36,P36,U36,AB36,AA36,AP36,AQ36,AS36,AR36,J$3))</f>
        <v>#VALUE!</v>
      </c>
      <c r="AW36" s="0" t="e">
        <f aca="false">IF(K36=TRUE(),Segment_CMalpha(AU36,AX36),cmalpha1(D35,D36,E35,E36,G36,P36,U36,AB36,AA36,AP36,AQ36,AS36,AR36,J$3,D$4))</f>
        <v>#VALUE!</v>
      </c>
      <c r="AX36" s="0" t="e">
        <f aca="false">IF(K36=TRUE(),Segment_CP(D35,D36,E35,E36),-$D$4*AW36/AU36)</f>
        <v>#VALUE!</v>
      </c>
      <c r="BD36" s="31"/>
      <c r="BE36" s="31"/>
      <c r="BI36" s="31"/>
    </row>
    <row r="37" customFormat="false" ht="15" hidden="false" customHeight="false" outlineLevel="0" collapsed="false">
      <c r="B37" s="31"/>
      <c r="C37" s="48" t="n">
        <f aca="false">C36+1</f>
        <v>23</v>
      </c>
      <c r="D37" s="16" t="n">
        <v>11.5</v>
      </c>
      <c r="E37" s="49" t="n">
        <v>1.106430206</v>
      </c>
      <c r="F37" s="31" t="n">
        <f aca="false">(E37-E36)</f>
        <v>0.0104912349999999</v>
      </c>
      <c r="G37" s="31" t="n">
        <f aca="false">ROUNDDOWN(ATAN(F37/(D37-D36)),6)</f>
        <v>0.020979</v>
      </c>
      <c r="H37" s="31" t="n">
        <f aca="false">IF(G37&gt;0,F37/SIN(G37),D37-D36)</f>
        <v>0.500119386236177</v>
      </c>
      <c r="I37" s="31" t="n">
        <f aca="false">ROUNDDOWN(G37*180/PI(),8)</f>
        <v>1.20200815</v>
      </c>
      <c r="J37" s="7" t="e">
        <f aca="false">ROUNDDOWN(epsilonangle(G36,G37),8)</f>
        <v>#VALUE!</v>
      </c>
      <c r="K37" s="31" t="n">
        <f aca="false">IF(K36=TRUE(),TRUE(),IF(M37="Compression",IF(G37&gt;(0.3208*(L37^2-1)^(3/2)/L37^2),TRUE(),FALSE()),FALSE()))</f>
        <v>0</v>
      </c>
      <c r="L37" s="31" t="e">
        <f aca="false">IF(ISERROR(AF36),L36,AF36)</f>
        <v>#VALUE!</v>
      </c>
      <c r="M37" s="31" t="str">
        <f aca="false">IF(G37&gt;G38,"Expansion",IF(G37=G38,"No Change","Compression"))</f>
        <v>Expansion</v>
      </c>
      <c r="N37" s="31" t="e">
        <f aca="false">ROUNDDOWN(BILINTERP(inputtables!$A$26:$N$44,ABS(I37),D$6),8)</f>
        <v>#VALUE!</v>
      </c>
      <c r="O37" s="31" t="e">
        <f aca="false">AC36</f>
        <v>#VALUE!</v>
      </c>
      <c r="P37" s="52" t="e">
        <f aca="false">N37*G$2</f>
        <v>#VALUE!</v>
      </c>
      <c r="Q37" s="31" t="e">
        <f aca="false">nu(L37,1.4)</f>
        <v>#VALUE!</v>
      </c>
      <c r="R37" s="50" t="e">
        <f aca="false">IF(M37="Expansion",Q37+ABS(J37),IF(M37="Compression",Q37-ABS(J37),Q37))</f>
        <v>#VALUE!</v>
      </c>
      <c r="S37" s="31" t="e">
        <f aca="false">IF(I36&gt;=I37,ROUNDDOWN((newtonmethod(L37,R37)),6),ROUNDDOWN(M2oblique(L37,J37,1.4),6))</f>
        <v>#VALUE!</v>
      </c>
      <c r="T37" s="31" t="e">
        <f aca="false">IF(I36&gt;=I37,p1p2(L37,S37,1.4),p1p2oblique(L37,J37,1.4))</f>
        <v>#VALUE!</v>
      </c>
      <c r="U37" s="53" t="e">
        <f aca="false">ROUNDDOWN((1/T37)*O37,6)</f>
        <v>#VALUE!</v>
      </c>
      <c r="V37" s="31" t="e">
        <f aca="false">(1.4*O37*L37^2)/(2*(L37^2-1))</f>
        <v>#VALUE!</v>
      </c>
      <c r="W37" s="31" t="e">
        <f aca="false">(1.4*U37*S37^2)/(2*(S37^2-1))</f>
        <v>#VALUE!</v>
      </c>
      <c r="X37" s="31" t="e">
        <f aca="false">omega(L37,1.4)</f>
        <v>#VALUE!</v>
      </c>
      <c r="Y37" s="31" t="e">
        <f aca="false">omega(S37,1.4)</f>
        <v>#VALUE!</v>
      </c>
      <c r="Z37" s="7" t="e">
        <f aca="false">AD36</f>
        <v>#VALUE!</v>
      </c>
      <c r="AA37" s="8" t="e">
        <f aca="false">(dpds2(1.4,J37,L37,S37,O37,U37,V37,W37,E36,X37,Y37,G36,G37,Z37))</f>
        <v>#VALUE!</v>
      </c>
      <c r="AB37" s="8" t="e">
        <f aca="false">(eta(AA37,P37,U37,G37,D36,D37))</f>
        <v>#VALUE!</v>
      </c>
      <c r="AC37" s="31" t="e">
        <f aca="false">ROUNDDOWN(Pmainval(P37,U37,AB37),8)</f>
        <v>#VALUE!</v>
      </c>
      <c r="AD37" s="31" t="e">
        <f aca="false">((dpds3(P37,U37,AC37,AA37)))</f>
        <v>#VALUE!</v>
      </c>
      <c r="AE37" s="31" t="e">
        <f aca="false">U37/AC37</f>
        <v>#VALUE!</v>
      </c>
      <c r="AF37" s="31" t="e">
        <f aca="false">ROUNDDOWN((Machfinder(AE37,S37,1.4)),6)</f>
        <v>#VALUE!</v>
      </c>
      <c r="AG37" s="31" t="e">
        <f aca="false">AC37/G$2</f>
        <v>#VALUE!</v>
      </c>
      <c r="AH37" s="31" t="n">
        <f aca="false">D37/D$3</f>
        <v>0.209090909090909</v>
      </c>
      <c r="AI37" s="31" t="e">
        <f aca="false">(2/(1.4*D$6^2))*(AG37-1)</f>
        <v>#VALUE!</v>
      </c>
      <c r="AJ37" s="31" t="e">
        <f aca="false">IF(K37=FALSE(),drag(D36,D37,E36,E37,G37,P37,U37,AB37,AA37),0)</f>
        <v>#VALUE!</v>
      </c>
      <c r="AK37" s="31"/>
      <c r="AL37" s="54"/>
      <c r="AN37" s="0" t="e">
        <f aca="false">ASIN(1/L37)</f>
        <v>#VALUE!</v>
      </c>
      <c r="AO37" s="0" t="e">
        <f aca="false">ASIN(1/S37)</f>
        <v>#VALUE!</v>
      </c>
      <c r="AP37" s="0" t="e">
        <f aca="false">2*1.4*O37/SIN(2*AN37)</f>
        <v>#VALUE!</v>
      </c>
      <c r="AQ37" s="0" t="e">
        <f aca="false">2*1.4*U37/SIN(2*AO37)</f>
        <v>#VALUE!</v>
      </c>
      <c r="AR37" s="0" t="e">
        <f aca="false">ROUNDDOWN(BILINTERP(inputtables!$A$48:$N$66,ABS(I37),D$6),8)</f>
        <v>#VALUE!</v>
      </c>
      <c r="AS37" s="0" t="e">
        <f aca="false">AT36</f>
        <v>#VALUE!</v>
      </c>
      <c r="AT37" s="0" t="e">
        <f aca="false">DeltaL(M$16:M37,U37,O37,J37,M37,L37,1.4,AB37,G37,AR37,AP37,AQ37,AS37)</f>
        <v>#VALUE!</v>
      </c>
      <c r="AU37" s="0" t="e">
        <f aca="false">IF(K37=TRUE(),Segment_Cnalpha(E36,E37,$J$2),cnalpha(D36,D37,E36,E37,G37,P37,U37,AB37,AA37,AP37,AQ37,AS37,AR37,J$3))</f>
        <v>#VALUE!</v>
      </c>
      <c r="AW37" s="0" t="e">
        <f aca="false">IF(K37=TRUE(),Segment_CMalpha(AU37,AX37),cmalpha1(D36,D37,E36,E37,G37,P37,U37,AB37,AA37,AP37,AQ37,AS37,AR37,J$3,D$4))</f>
        <v>#VALUE!</v>
      </c>
      <c r="AX37" s="0" t="e">
        <f aca="false">IF(K37=TRUE(),Segment_CP(D36,D37,E36,E37),-$D$4*AW37/AU37)</f>
        <v>#VALUE!</v>
      </c>
      <c r="BD37" s="31"/>
      <c r="BE37" s="31"/>
      <c r="BI37" s="31"/>
    </row>
    <row r="38" customFormat="false" ht="15" hidden="false" customHeight="false" outlineLevel="0" collapsed="false">
      <c r="B38" s="31"/>
      <c r="C38" s="48" t="n">
        <f aca="false">C37+1</f>
        <v>24</v>
      </c>
      <c r="D38" s="16" t="n">
        <v>12</v>
      </c>
      <c r="E38" s="49" t="n">
        <v>1.114567175</v>
      </c>
      <c r="F38" s="31" t="n">
        <f aca="false">(E38-E37)</f>
        <v>0.00813696899999994</v>
      </c>
      <c r="G38" s="31" t="n">
        <f aca="false">ROUNDDOWN(ATAN(F38/(D38-D37)),6)</f>
        <v>0.016272</v>
      </c>
      <c r="H38" s="31" t="n">
        <f aca="false">IF(G38&gt;0,F38/SIN(G38),D38-D37)</f>
        <v>0.500081618289117</v>
      </c>
      <c r="I38" s="31" t="n">
        <f aca="false">ROUNDDOWN(G38*180/PI(),8)</f>
        <v>0.93231692</v>
      </c>
      <c r="J38" s="7" t="e">
        <f aca="false">ROUNDDOWN(epsilonangle(G37,G38),8)</f>
        <v>#VALUE!</v>
      </c>
      <c r="K38" s="31" t="n">
        <f aca="false">IF(K37=TRUE(),TRUE(),IF(M38="Compression",IF(G38&gt;(0.3208*(L38^2-1)^(3/2)/L38^2),TRUE(),FALSE()),FALSE()))</f>
        <v>0</v>
      </c>
      <c r="L38" s="31" t="e">
        <f aca="false">IF(ISERROR(AF37),L37,AF37)</f>
        <v>#VALUE!</v>
      </c>
      <c r="M38" s="31" t="str">
        <f aca="false">IF(G38&gt;G39,"Expansion",IF(G38=G39,"No Change","Compression"))</f>
        <v>Expansion</v>
      </c>
      <c r="N38" s="31" t="e">
        <f aca="false">ROUNDDOWN(BILINTERP(inputtables!$A$26:$N$44,ABS(I38),D$6),8)</f>
        <v>#VALUE!</v>
      </c>
      <c r="O38" s="31" t="e">
        <f aca="false">AC37</f>
        <v>#VALUE!</v>
      </c>
      <c r="P38" s="52" t="e">
        <f aca="false">N38*G$2</f>
        <v>#VALUE!</v>
      </c>
      <c r="Q38" s="31" t="e">
        <f aca="false">nu(L38,1.4)</f>
        <v>#VALUE!</v>
      </c>
      <c r="R38" s="50" t="e">
        <f aca="false">IF(M38="Expansion",Q38+ABS(J38),IF(M38="Compression",Q38-ABS(J38),Q38))</f>
        <v>#VALUE!</v>
      </c>
      <c r="S38" s="31" t="e">
        <f aca="false">IF(I37&gt;=I38,ROUNDDOWN((newtonmethod(L38,R38)),6),ROUNDDOWN(M2oblique(L38,J38,1.4),6))</f>
        <v>#VALUE!</v>
      </c>
      <c r="T38" s="31" t="e">
        <f aca="false">IF(I37&gt;=I38,p1p2(L38,S38,1.4),p1p2oblique(L38,J38,1.4))</f>
        <v>#VALUE!</v>
      </c>
      <c r="U38" s="53" t="e">
        <f aca="false">ROUNDDOWN((1/T38)*O38,6)</f>
        <v>#VALUE!</v>
      </c>
      <c r="V38" s="31" t="e">
        <f aca="false">(1.4*O38*L38^2)/(2*(L38^2-1))</f>
        <v>#VALUE!</v>
      </c>
      <c r="W38" s="31" t="e">
        <f aca="false">(1.4*U38*S38^2)/(2*(S38^2-1))</f>
        <v>#VALUE!</v>
      </c>
      <c r="X38" s="31" t="e">
        <f aca="false">omega(L38,1.4)</f>
        <v>#VALUE!</v>
      </c>
      <c r="Y38" s="31" t="e">
        <f aca="false">omega(S38,1.4)</f>
        <v>#VALUE!</v>
      </c>
      <c r="Z38" s="7" t="e">
        <f aca="false">AD37</f>
        <v>#VALUE!</v>
      </c>
      <c r="AA38" s="8" t="e">
        <f aca="false">(dpds2(1.4,J38,L38,S38,O38,U38,V38,W38,E37,X38,Y38,G37,G38,Z38))</f>
        <v>#VALUE!</v>
      </c>
      <c r="AB38" s="8" t="e">
        <f aca="false">(eta(AA38,P38,U38,G38,D37,D38))</f>
        <v>#VALUE!</v>
      </c>
      <c r="AC38" s="31" t="e">
        <f aca="false">ROUNDDOWN(Pmainval(P38,U38,AB38),8)</f>
        <v>#VALUE!</v>
      </c>
      <c r="AD38" s="31" t="e">
        <f aca="false">((dpds3(P38,U38,AC38,AA38)))</f>
        <v>#VALUE!</v>
      </c>
      <c r="AE38" s="31" t="e">
        <f aca="false">U38/AC38</f>
        <v>#VALUE!</v>
      </c>
      <c r="AF38" s="31" t="e">
        <f aca="false">ROUNDDOWN((Machfinder(AE38,S38,1.4)),6)</f>
        <v>#VALUE!</v>
      </c>
      <c r="AG38" s="31" t="e">
        <f aca="false">AC38/G$2</f>
        <v>#VALUE!</v>
      </c>
      <c r="AH38" s="31" t="n">
        <f aca="false">D38/D$3</f>
        <v>0.218181818181818</v>
      </c>
      <c r="AI38" s="31" t="e">
        <f aca="false">(2/(1.4*D$6^2))*(AG38-1)</f>
        <v>#VALUE!</v>
      </c>
      <c r="AJ38" s="31" t="e">
        <f aca="false">IF(K38=FALSE(),drag(D37,D38,E37,E38,G38,P38,U38,AB38,AA38),0)</f>
        <v>#VALUE!</v>
      </c>
      <c r="AK38" s="31"/>
      <c r="AL38" s="54"/>
      <c r="AN38" s="0" t="e">
        <f aca="false">ASIN(1/L38)</f>
        <v>#VALUE!</v>
      </c>
      <c r="AO38" s="0" t="e">
        <f aca="false">ASIN(1/S38)</f>
        <v>#VALUE!</v>
      </c>
      <c r="AP38" s="0" t="e">
        <f aca="false">2*1.4*O38/SIN(2*AN38)</f>
        <v>#VALUE!</v>
      </c>
      <c r="AQ38" s="0" t="e">
        <f aca="false">2*1.4*U38/SIN(2*AO38)</f>
        <v>#VALUE!</v>
      </c>
      <c r="AR38" s="0" t="e">
        <f aca="false">ROUNDDOWN(BILINTERP(inputtables!$A$48:$N$66,ABS(I38),D$6),8)</f>
        <v>#VALUE!</v>
      </c>
      <c r="AS38" s="0" t="e">
        <f aca="false">AT37</f>
        <v>#VALUE!</v>
      </c>
      <c r="AT38" s="0" t="e">
        <f aca="false">DeltaL(M$16:M38,U38,O38,J38,M38,L38,1.4,AB38,G38,AR38,AP38,AQ38,AS38)</f>
        <v>#VALUE!</v>
      </c>
      <c r="AU38" s="0" t="e">
        <f aca="false">IF(K38=TRUE(),Segment_Cnalpha(E37,E38,$J$2),cnalpha(D37,D38,E37,E38,G38,P38,U38,AB38,AA38,AP38,AQ38,AS38,AR38,J$3))</f>
        <v>#VALUE!</v>
      </c>
      <c r="AW38" s="0" t="e">
        <f aca="false">IF(K38=TRUE(),Segment_CMalpha(AU38,AX38),cmalpha1(D37,D38,E37,E38,G38,P38,U38,AB38,AA38,AP38,AQ38,AS38,AR38,J$3,D$4))</f>
        <v>#VALUE!</v>
      </c>
      <c r="AX38" s="0" t="e">
        <f aca="false">IF(K38=TRUE(),Segment_CP(D37,D38,E37,E38),-$D$4*AW38/AU38)</f>
        <v>#VALUE!</v>
      </c>
      <c r="BD38" s="31"/>
      <c r="BE38" s="31"/>
      <c r="BI38" s="31"/>
    </row>
    <row r="39" customFormat="false" ht="15" hidden="false" customHeight="false" outlineLevel="0" collapsed="false">
      <c r="B39" s="31"/>
      <c r="C39" s="48" t="n">
        <f aca="false">C38+1</f>
        <v>25</v>
      </c>
      <c r="D39" s="16" t="n">
        <v>12.5</v>
      </c>
      <c r="E39" s="49" t="n">
        <v>1.120367188</v>
      </c>
      <c r="F39" s="31" t="n">
        <f aca="false">(E39-E38)</f>
        <v>0.00580001299999999</v>
      </c>
      <c r="G39" s="31" t="n">
        <f aca="false">ROUNDDOWN(ATAN(F39/(D39-D38)),6)</f>
        <v>0.011599</v>
      </c>
      <c r="H39" s="31" t="n">
        <f aca="false">IF(G39&gt;0,F39/SIN(G39),D39-D38)</f>
        <v>0.500055440518474</v>
      </c>
      <c r="I39" s="31" t="n">
        <f aca="false">ROUNDDOWN(G39*180/PI(),8)</f>
        <v>0.66457374</v>
      </c>
      <c r="J39" s="7" t="e">
        <f aca="false">ROUNDDOWN(epsilonangle(G38,G39),8)</f>
        <v>#VALUE!</v>
      </c>
      <c r="K39" s="31" t="n">
        <f aca="false">IF(K38=TRUE(),TRUE(),IF(M39="Compression",IF(G39&gt;(0.3208*(L39^2-1)^(3/2)/L39^2),TRUE(),FALSE()),FALSE()))</f>
        <v>0</v>
      </c>
      <c r="L39" s="31" t="e">
        <f aca="false">IF(ISERROR(AF38),L38,AF38)</f>
        <v>#VALUE!</v>
      </c>
      <c r="M39" s="31" t="str">
        <f aca="false">IF(G39&gt;G40,"Expansion",IF(G39=G40,"No Change","Compression"))</f>
        <v>Expansion</v>
      </c>
      <c r="N39" s="31" t="e">
        <f aca="false">ROUNDDOWN(BILINTERP(inputtables!$A$26:$N$44,ABS(I39),D$6),8)</f>
        <v>#VALUE!</v>
      </c>
      <c r="O39" s="31" t="e">
        <f aca="false">AC38</f>
        <v>#VALUE!</v>
      </c>
      <c r="P39" s="52" t="e">
        <f aca="false">N39*G$2</f>
        <v>#VALUE!</v>
      </c>
      <c r="Q39" s="31" t="e">
        <f aca="false">nu(L39,1.4)</f>
        <v>#VALUE!</v>
      </c>
      <c r="R39" s="50" t="e">
        <f aca="false">IF(M39="Expansion",Q39+ABS(J39),IF(M39="Compression",Q39-ABS(J39),Q39))</f>
        <v>#VALUE!</v>
      </c>
      <c r="S39" s="31" t="e">
        <f aca="false">IF(I38&gt;=I39,ROUNDDOWN((newtonmethod(L39,R39)),6),ROUNDDOWN(M2oblique(L39,J39,1.4),6))</f>
        <v>#VALUE!</v>
      </c>
      <c r="T39" s="31" t="e">
        <f aca="false">IF(I38&gt;=I39,p1p2(L39,S39,1.4),p1p2oblique(L39,J39,1.4))</f>
        <v>#VALUE!</v>
      </c>
      <c r="U39" s="53" t="e">
        <f aca="false">ROUNDDOWN((1/T39)*O39,6)</f>
        <v>#VALUE!</v>
      </c>
      <c r="V39" s="31" t="e">
        <f aca="false">(1.4*O39*L39^2)/(2*(L39^2-1))</f>
        <v>#VALUE!</v>
      </c>
      <c r="W39" s="31" t="e">
        <f aca="false">(1.4*U39*S39^2)/(2*(S39^2-1))</f>
        <v>#VALUE!</v>
      </c>
      <c r="X39" s="31" t="e">
        <f aca="false">omega(L39,1.4)</f>
        <v>#VALUE!</v>
      </c>
      <c r="Y39" s="31" t="e">
        <f aca="false">omega(S39,1.4)</f>
        <v>#VALUE!</v>
      </c>
      <c r="Z39" s="7" t="e">
        <f aca="false">AD38</f>
        <v>#VALUE!</v>
      </c>
      <c r="AA39" s="8" t="e">
        <f aca="false">(dpds2(1.4,J39,L39,S39,O39,U39,V39,W39,E38,X39,Y39,G38,G39,Z39))</f>
        <v>#VALUE!</v>
      </c>
      <c r="AB39" s="8" t="e">
        <f aca="false">(eta(AA39,P39,U39,G39,D38,D39))</f>
        <v>#VALUE!</v>
      </c>
      <c r="AC39" s="31" t="e">
        <f aca="false">ROUNDDOWN(Pmainval(P39,U39,AB39),8)</f>
        <v>#VALUE!</v>
      </c>
      <c r="AD39" s="31" t="e">
        <f aca="false">((dpds3(P39,U39,AC39,AA39)))</f>
        <v>#VALUE!</v>
      </c>
      <c r="AE39" s="31" t="e">
        <f aca="false">U39/AC39</f>
        <v>#VALUE!</v>
      </c>
      <c r="AF39" s="31" t="e">
        <f aca="false">ROUNDDOWN((Machfinder(AE39,S39,1.4)),6)</f>
        <v>#VALUE!</v>
      </c>
      <c r="AG39" s="31" t="e">
        <f aca="false">AC39/G$2</f>
        <v>#VALUE!</v>
      </c>
      <c r="AH39" s="31" t="n">
        <f aca="false">D39/D$3</f>
        <v>0.227272727272727</v>
      </c>
      <c r="AI39" s="31" t="e">
        <f aca="false">(2/(1.4*D$6^2))*(AG39-1)</f>
        <v>#VALUE!</v>
      </c>
      <c r="AJ39" s="31" t="e">
        <f aca="false">IF(K39=FALSE(),drag(D38,D39,E38,E39,G39,P39,U39,AB39,AA39),0)</f>
        <v>#VALUE!</v>
      </c>
      <c r="AK39" s="31"/>
      <c r="AN39" s="0" t="e">
        <f aca="false">ASIN(1/L39)</f>
        <v>#VALUE!</v>
      </c>
      <c r="AO39" s="0" t="e">
        <f aca="false">ASIN(1/S39)</f>
        <v>#VALUE!</v>
      </c>
      <c r="AP39" s="0" t="e">
        <f aca="false">2*1.4*O39/SIN(2*AN39)</f>
        <v>#VALUE!</v>
      </c>
      <c r="AQ39" s="0" t="e">
        <f aca="false">2*1.4*U39/SIN(2*AO39)</f>
        <v>#VALUE!</v>
      </c>
      <c r="AR39" s="0" t="e">
        <f aca="false">ROUNDDOWN(BILINTERP(inputtables!$A$48:$N$66,ABS(I39),D$6),8)</f>
        <v>#VALUE!</v>
      </c>
      <c r="AS39" s="0" t="e">
        <f aca="false">AT38</f>
        <v>#VALUE!</v>
      </c>
      <c r="AT39" s="0" t="e">
        <f aca="false">DeltaL(M$16:M39,U39,O39,J39,M39,L39,1.4,AB39,G39,AR39,AP39,AQ39,AS39)</f>
        <v>#VALUE!</v>
      </c>
      <c r="AU39" s="0" t="e">
        <f aca="false">IF(K39=TRUE(),Segment_Cnalpha(E38,E39,$J$2),cnalpha(D38,D39,E38,E39,G39,P39,U39,AB39,AA39,AP39,AQ39,AS39,AR39,J$3))</f>
        <v>#VALUE!</v>
      </c>
      <c r="AW39" s="0" t="e">
        <f aca="false">IF(K39=TRUE(),Segment_CMalpha(AU39,AX39),cmalpha1(D38,D39,E38,E39,G39,P39,U39,AB39,AA39,AP39,AQ39,AS39,AR39,J$3,D$4))</f>
        <v>#VALUE!</v>
      </c>
      <c r="AX39" s="0" t="e">
        <f aca="false">IF(K39=TRUE(),Segment_CP(D38,D39,E38,E39),-$D$4*AW39/AU39)</f>
        <v>#VALUE!</v>
      </c>
      <c r="BD39" s="31"/>
      <c r="BE39" s="31"/>
      <c r="BI39" s="31"/>
    </row>
    <row r="40" customFormat="false" ht="15" hidden="false" customHeight="false" outlineLevel="0" collapsed="false">
      <c r="B40" s="31"/>
      <c r="C40" s="48" t="n">
        <f aca="false">C39+1</f>
        <v>26</v>
      </c>
      <c r="D40" s="16" t="n">
        <v>13</v>
      </c>
      <c r="E40" s="49" t="n">
        <v>1.123842394</v>
      </c>
      <c r="F40" s="31" t="n">
        <f aca="false">(E40-E39)</f>
        <v>0.00347520600000006</v>
      </c>
      <c r="G40" s="31" t="n">
        <f aca="false">ROUNDDOWN(ATAN(F40/(D40-D39)),6)</f>
        <v>0.00695</v>
      </c>
      <c r="H40" s="31" t="n">
        <f aca="false">IF(G40&gt;0,F40/SIN(G40),D40-D39)</f>
        <v>0.500033665757414</v>
      </c>
      <c r="I40" s="31" t="n">
        <f aca="false">ROUNDDOWN(G40*180/PI(),8)</f>
        <v>0.39820566</v>
      </c>
      <c r="J40" s="7" t="e">
        <f aca="false">ROUNDDOWN(epsilonangle(G39,G40),8)</f>
        <v>#VALUE!</v>
      </c>
      <c r="K40" s="31" t="n">
        <f aca="false">IF(K39=TRUE(),TRUE(),IF(M40="Compression",IF(G40&gt;(0.3208*(L40^2-1)^(3/2)/L40^2),TRUE(),FALSE()),FALSE()))</f>
        <v>0</v>
      </c>
      <c r="L40" s="31" t="e">
        <f aca="false">IF(ISERROR(AF39),L39,AF39)</f>
        <v>#VALUE!</v>
      </c>
      <c r="M40" s="31" t="str">
        <f aca="false">IF(G40&gt;G41,"Expansion",IF(G40=G41,"No Change","Compression"))</f>
        <v>Expansion</v>
      </c>
      <c r="N40" s="31" t="e">
        <f aca="false">ROUNDDOWN(BILINTERP(inputtables!$A$26:$N$44,ABS(I40),D$6),8)</f>
        <v>#VALUE!</v>
      </c>
      <c r="O40" s="31" t="e">
        <f aca="false">AC39</f>
        <v>#VALUE!</v>
      </c>
      <c r="P40" s="52" t="e">
        <f aca="false">N40*G$2</f>
        <v>#VALUE!</v>
      </c>
      <c r="Q40" s="31" t="e">
        <f aca="false">nu(L40,1.4)</f>
        <v>#VALUE!</v>
      </c>
      <c r="R40" s="50" t="e">
        <f aca="false">IF(M40="Expansion",Q40+ABS(J40),IF(M40="Compression",Q40-ABS(J40),Q40))</f>
        <v>#VALUE!</v>
      </c>
      <c r="S40" s="31" t="e">
        <f aca="false">IF(I39&gt;=I40,ROUNDDOWN((newtonmethod(L40,R40)),6),ROUNDDOWN(M2oblique(L40,J40,1.4),6))</f>
        <v>#VALUE!</v>
      </c>
      <c r="T40" s="31" t="e">
        <f aca="false">IF(I39&gt;=I40,p1p2(L40,S40,1.4),p1p2oblique(L40,J40,1.4))</f>
        <v>#VALUE!</v>
      </c>
      <c r="U40" s="53" t="e">
        <f aca="false">ROUNDDOWN((1/T40)*O40,6)</f>
        <v>#VALUE!</v>
      </c>
      <c r="V40" s="31" t="e">
        <f aca="false">(1.4*O40*L40^2)/(2*(L40^2-1))</f>
        <v>#VALUE!</v>
      </c>
      <c r="W40" s="31" t="e">
        <f aca="false">(1.4*U40*S40^2)/(2*(S40^2-1))</f>
        <v>#VALUE!</v>
      </c>
      <c r="X40" s="31" t="e">
        <f aca="false">omega(L40,1.4)</f>
        <v>#VALUE!</v>
      </c>
      <c r="Y40" s="31" t="e">
        <f aca="false">omega(S40,1.4)</f>
        <v>#VALUE!</v>
      </c>
      <c r="Z40" s="7" t="e">
        <f aca="false">AD39</f>
        <v>#VALUE!</v>
      </c>
      <c r="AA40" s="8" t="e">
        <f aca="false">(dpds2(1.4,J40,L40,S40,O40,U40,V40,W40,E39,X40,Y40,G39,G40,Z40))</f>
        <v>#VALUE!</v>
      </c>
      <c r="AB40" s="8" t="e">
        <f aca="false">(eta(AA40,P40,U40,G40,D39,D40))</f>
        <v>#VALUE!</v>
      </c>
      <c r="AC40" s="31" t="e">
        <f aca="false">ROUNDDOWN(Pmainval(P40,U40,AB40),8)</f>
        <v>#VALUE!</v>
      </c>
      <c r="AD40" s="31" t="e">
        <f aca="false">((dpds3(P40,U40,AC40,AA40)))</f>
        <v>#VALUE!</v>
      </c>
      <c r="AE40" s="31" t="e">
        <f aca="false">U40/AC40</f>
        <v>#VALUE!</v>
      </c>
      <c r="AF40" s="31" t="e">
        <f aca="false">ROUNDDOWN((Machfinder(AE40,S40,1.4)),6)</f>
        <v>#VALUE!</v>
      </c>
      <c r="AG40" s="31" t="e">
        <f aca="false">AC40/G$2</f>
        <v>#VALUE!</v>
      </c>
      <c r="AH40" s="31" t="n">
        <f aca="false">D40/D$3</f>
        <v>0.236363636363636</v>
      </c>
      <c r="AI40" s="31" t="e">
        <f aca="false">(2/(1.4*D$6^2))*(AG40-1)</f>
        <v>#VALUE!</v>
      </c>
      <c r="AJ40" s="31" t="e">
        <f aca="false">IF(K40=FALSE(),drag(D39,D40,E39,E40,G40,P40,U40,AB40,AA40),0)</f>
        <v>#VALUE!</v>
      </c>
      <c r="AK40" s="31"/>
      <c r="AN40" s="0" t="e">
        <f aca="false">ASIN(1/L40)</f>
        <v>#VALUE!</v>
      </c>
      <c r="AO40" s="0" t="e">
        <f aca="false">ASIN(1/S40)</f>
        <v>#VALUE!</v>
      </c>
      <c r="AP40" s="0" t="e">
        <f aca="false">2*1.4*O40/SIN(2*AN40)</f>
        <v>#VALUE!</v>
      </c>
      <c r="AQ40" s="0" t="e">
        <f aca="false">2*1.4*U40/SIN(2*AO40)</f>
        <v>#VALUE!</v>
      </c>
      <c r="AR40" s="0" t="e">
        <f aca="false">ROUNDDOWN(BILINTERP(inputtables!$A$48:$N$66,ABS(I40),D$6),8)</f>
        <v>#VALUE!</v>
      </c>
      <c r="AS40" s="0" t="e">
        <f aca="false">AT39</f>
        <v>#VALUE!</v>
      </c>
      <c r="AT40" s="0" t="e">
        <f aca="false">DeltaL(M$16:M40,U40,O40,J40,M40,L40,1.4,AB40,G40,AR40,AP40,AQ40,AS40)</f>
        <v>#VALUE!</v>
      </c>
      <c r="AU40" s="0" t="e">
        <f aca="false">IF(K40=TRUE(),Segment_Cnalpha(E39,E40,$J$2),cnalpha(D39,D40,E39,E40,G40,P40,U40,AB40,AA40,AP40,AQ40,AS40,AR40,J$3))</f>
        <v>#VALUE!</v>
      </c>
      <c r="AW40" s="0" t="e">
        <f aca="false">IF(K40=TRUE(),Segment_CMalpha(AU40,AX40),cmalpha1(D39,D40,E39,E40,G40,P40,U40,AB40,AA40,AP40,AQ40,AS40,AR40,J$3,D$4))</f>
        <v>#VALUE!</v>
      </c>
      <c r="AX40" s="0" t="e">
        <f aca="false">IF(K40=TRUE(),Segment_CP(D39,D40,E39,E40),-$D$4*AW40/AU40)</f>
        <v>#VALUE!</v>
      </c>
      <c r="BD40" s="31"/>
      <c r="BE40" s="31"/>
      <c r="BI40" s="31"/>
    </row>
    <row r="41" customFormat="false" ht="15" hidden="false" customHeight="false" outlineLevel="0" collapsed="false">
      <c r="B41" s="31"/>
      <c r="C41" s="48" t="n">
        <f aca="false">C40+1</f>
        <v>27</v>
      </c>
      <c r="D41" s="16" t="n">
        <v>13.5</v>
      </c>
      <c r="E41" s="49" t="n">
        <v>1.125</v>
      </c>
      <c r="F41" s="31" t="n">
        <f aca="false">(E41-E40)</f>
        <v>0.00115760600000003</v>
      </c>
      <c r="G41" s="31" t="n">
        <f aca="false">ROUNDDOWN(ATAN(F41/(D41-D40)),6)</f>
        <v>0.002315</v>
      </c>
      <c r="H41" s="31" t="n">
        <f aca="false">IF(G41&gt;0,F41/SIN(G41),D41-D40)</f>
        <v>0.500046234980208</v>
      </c>
      <c r="I41" s="31" t="n">
        <f aca="false">ROUNDDOWN(G41*180/PI(),8)</f>
        <v>0.13263972</v>
      </c>
      <c r="J41" s="7" t="e">
        <f aca="false">ROUNDDOWN(epsilonangle(G40,G41),8)</f>
        <v>#VALUE!</v>
      </c>
      <c r="K41" s="31" t="n">
        <f aca="false">IF(K40=TRUE(),TRUE(),IF(M41="Compression",IF(G41&gt;(0.3208*(L41^2-1)^(3/2)/L41^2),TRUE(),FALSE()),FALSE()))</f>
        <v>0</v>
      </c>
      <c r="L41" s="31" t="e">
        <f aca="false">IF(ISERROR(AF40),L40,AF40)</f>
        <v>#VALUE!</v>
      </c>
      <c r="M41" s="31" t="str">
        <f aca="false">IF(G41&gt;G42,"Expansion",IF(G41=G42,"No Change","Compression"))</f>
        <v>Expansion</v>
      </c>
      <c r="N41" s="31" t="e">
        <f aca="false">ROUNDDOWN(BILINTERP(inputtables!$A$26:$N$44,ABS(I41),D$6),8)</f>
        <v>#VALUE!</v>
      </c>
      <c r="O41" s="31" t="e">
        <f aca="false">AC40</f>
        <v>#VALUE!</v>
      </c>
      <c r="P41" s="52" t="e">
        <f aca="false">N41*G$2</f>
        <v>#VALUE!</v>
      </c>
      <c r="Q41" s="31" t="e">
        <f aca="false">nu(L41,1.4)</f>
        <v>#VALUE!</v>
      </c>
      <c r="R41" s="50" t="e">
        <f aca="false">IF(M41="Expansion",Q41+ABS(J41),IF(M41="Compression",Q41-ABS(J41),Q41))</f>
        <v>#VALUE!</v>
      </c>
      <c r="S41" s="31" t="e">
        <f aca="false">IF(I40&gt;=I41,ROUNDDOWN((newtonmethod(L41,R41)),6),ROUNDDOWN(M2oblique(L41,J41,1.4),6))</f>
        <v>#VALUE!</v>
      </c>
      <c r="T41" s="31" t="e">
        <f aca="false">IF(I40&gt;=I41,p1p2(L41,S41,1.4),p1p2oblique(L41,J41,1.4))</f>
        <v>#VALUE!</v>
      </c>
      <c r="U41" s="53" t="e">
        <f aca="false">ROUNDDOWN((1/T41)*O41,6)</f>
        <v>#VALUE!</v>
      </c>
      <c r="V41" s="31" t="e">
        <f aca="false">(1.4*O41*L41^2)/(2*(L41^2-1))</f>
        <v>#VALUE!</v>
      </c>
      <c r="W41" s="31" t="e">
        <f aca="false">(1.4*U41*S41^2)/(2*(S41^2-1))</f>
        <v>#VALUE!</v>
      </c>
      <c r="X41" s="31" t="e">
        <f aca="false">omega(L41,1.4)</f>
        <v>#VALUE!</v>
      </c>
      <c r="Y41" s="31" t="e">
        <f aca="false">omega(S41,1.4)</f>
        <v>#VALUE!</v>
      </c>
      <c r="Z41" s="7" t="e">
        <f aca="false">AD40</f>
        <v>#VALUE!</v>
      </c>
      <c r="AA41" s="8" t="e">
        <f aca="false">(dpds2(1.4,J41,L41,S41,O41,U41,V41,W41,E40,X41,Y41,G40,G41,Z41))</f>
        <v>#VALUE!</v>
      </c>
      <c r="AB41" s="8" t="e">
        <f aca="false">(eta(AA41,P41,U41,G41,D40,D41))</f>
        <v>#VALUE!</v>
      </c>
      <c r="AC41" s="31" t="e">
        <f aca="false">ROUNDDOWN(Pmainval(P41,U41,AB41),8)</f>
        <v>#VALUE!</v>
      </c>
      <c r="AD41" s="31" t="e">
        <f aca="false">((dpds3(P41,U41,AC41,AA41)))</f>
        <v>#VALUE!</v>
      </c>
      <c r="AE41" s="31" t="e">
        <f aca="false">U41/AC41</f>
        <v>#VALUE!</v>
      </c>
      <c r="AF41" s="31" t="e">
        <f aca="false">ROUNDDOWN((Machfinder(AE41,S41,1.4)),6)</f>
        <v>#VALUE!</v>
      </c>
      <c r="AG41" s="31" t="e">
        <f aca="false">AC41/G$2</f>
        <v>#VALUE!</v>
      </c>
      <c r="AH41" s="31" t="n">
        <f aca="false">D41/D$3</f>
        <v>0.245454545454545</v>
      </c>
      <c r="AI41" s="31" t="e">
        <f aca="false">(2/(1.4*D$6^2))*(AG41-1)</f>
        <v>#VALUE!</v>
      </c>
      <c r="AJ41" s="31" t="e">
        <f aca="false">IF(K41=FALSE(),drag(D40,D41,E40,E41,G41,P41,U41,AB41,AA41),0)</f>
        <v>#VALUE!</v>
      </c>
      <c r="AK41" s="31"/>
      <c r="AN41" s="0" t="e">
        <f aca="false">ASIN(1/L41)</f>
        <v>#VALUE!</v>
      </c>
      <c r="AO41" s="0" t="e">
        <f aca="false">ASIN(1/S41)</f>
        <v>#VALUE!</v>
      </c>
      <c r="AP41" s="0" t="e">
        <f aca="false">2*1.4*O41/SIN(2*AN41)</f>
        <v>#VALUE!</v>
      </c>
      <c r="AQ41" s="0" t="e">
        <f aca="false">2*1.4*U41/SIN(2*AO41)</f>
        <v>#VALUE!</v>
      </c>
      <c r="AR41" s="0" t="e">
        <f aca="false">ROUNDDOWN(BILINTERP(inputtables!$A$48:$N$66,ABS(I41),D$6),8)</f>
        <v>#VALUE!</v>
      </c>
      <c r="AS41" s="0" t="e">
        <f aca="false">AT40</f>
        <v>#VALUE!</v>
      </c>
      <c r="AT41" s="0" t="e">
        <f aca="false">DeltaL(M$16:M41,U41,O41,J41,M41,L41,1.4,AB41,G41,AR41,AP41,AQ41,AS41)</f>
        <v>#VALUE!</v>
      </c>
      <c r="AU41" s="0" t="e">
        <f aca="false">IF(K41=TRUE(),Segment_Cnalpha(E40,E41,$J$2),cnalpha(D40,D41,E40,E41,G41,P41,U41,AB41,AA41,AP41,AQ41,AS41,AR41,J$3))</f>
        <v>#VALUE!</v>
      </c>
      <c r="AW41" s="0" t="e">
        <f aca="false">IF(K41=TRUE(),Segment_CMalpha(AU41,AX41),cmalpha1(D40,D41,E40,E41,G41,P41,U41,AB41,AA41,AP41,AQ41,AS41,AR41,J$3,D$4))</f>
        <v>#VALUE!</v>
      </c>
      <c r="AX41" s="0" t="e">
        <f aca="false">IF(K41=TRUE(),Segment_CP(D40,D41,E40,E41),-$D$4*AW41/AU41)</f>
        <v>#VALUE!</v>
      </c>
      <c r="BD41" s="31"/>
      <c r="BE41" s="31"/>
      <c r="BI41" s="31"/>
    </row>
    <row r="42" customFormat="false" ht="15" hidden="false" customHeight="false" outlineLevel="0" collapsed="false">
      <c r="B42" s="31"/>
      <c r="C42" s="48" t="n">
        <f aca="false">C41+1</f>
        <v>28</v>
      </c>
      <c r="D42" s="16" t="n">
        <v>18</v>
      </c>
      <c r="E42" s="49" t="n">
        <v>1.125</v>
      </c>
      <c r="F42" s="31" t="n">
        <f aca="false">(E42-E41)</f>
        <v>0</v>
      </c>
      <c r="G42" s="31" t="n">
        <f aca="false">ROUNDDOWN(ATAN(F42/(D42-D41)),6)</f>
        <v>0</v>
      </c>
      <c r="H42" s="31" t="n">
        <f aca="false">IF(G42&gt;0,F42/SIN(G42),D42-D41)</f>
        <v>4.5</v>
      </c>
      <c r="I42" s="31" t="n">
        <f aca="false">ROUNDDOWN(G42*180/PI(),8)</f>
        <v>0</v>
      </c>
      <c r="J42" s="7" t="e">
        <f aca="false">ROUNDDOWN(epsilonangle(G41,G42),8)</f>
        <v>#VALUE!</v>
      </c>
      <c r="K42" s="31" t="n">
        <f aca="false">IF(K41=TRUE(),TRUE(),IF(M42="Compression",IF(G42&gt;(0.3208*(L42^2-1)^(3/2)/L42^2),TRUE(),FALSE()),FALSE()))</f>
        <v>0</v>
      </c>
      <c r="L42" s="31" t="e">
        <f aca="false">IF(ISERROR(AF41),L41,AF41)</f>
        <v>#VALUE!</v>
      </c>
      <c r="M42" s="31" t="str">
        <f aca="false">IF(G42&gt;G43,"Expansion",IF(G42=G43,"No Change","Compression"))</f>
        <v>No Change</v>
      </c>
      <c r="N42" s="31" t="e">
        <f aca="false">ROUNDDOWN(BILINTERP(inputtables!$A$26:$N$44,ABS(I42),D$6),8)</f>
        <v>#VALUE!</v>
      </c>
      <c r="O42" s="31" t="e">
        <f aca="false">AC41</f>
        <v>#VALUE!</v>
      </c>
      <c r="P42" s="52" t="e">
        <f aca="false">N42*G$2</f>
        <v>#VALUE!</v>
      </c>
      <c r="Q42" s="31" t="e">
        <f aca="false">nu(L42,1.4)</f>
        <v>#VALUE!</v>
      </c>
      <c r="R42" s="50" t="e">
        <f aca="false">IF(M42="Expansion",Q42+ABS(J42),IF(M42="Compression",Q42-ABS(J42),Q42))</f>
        <v>#VALUE!</v>
      </c>
      <c r="S42" s="31" t="e">
        <f aca="false">IF(I41&gt;=I42,ROUNDDOWN((newtonmethod(L42,R42)),6),ROUNDDOWN(M2oblique(L42,J42,1.4),6))</f>
        <v>#VALUE!</v>
      </c>
      <c r="T42" s="31" t="e">
        <f aca="false">IF(I41&gt;=I42,p1p2(L42,S42,1.4),p1p2oblique(L42,J42,1.4))</f>
        <v>#VALUE!</v>
      </c>
      <c r="U42" s="53" t="e">
        <f aca="false">ROUNDDOWN((1/T42)*O42,6)</f>
        <v>#VALUE!</v>
      </c>
      <c r="V42" s="31" t="e">
        <f aca="false">(1.4*O42*L42^2)/(2*(L42^2-1))</f>
        <v>#VALUE!</v>
      </c>
      <c r="W42" s="31" t="e">
        <f aca="false">(1.4*U42*S42^2)/(2*(S42^2-1))</f>
        <v>#VALUE!</v>
      </c>
      <c r="X42" s="31" t="e">
        <f aca="false">omega(L42,1.4)</f>
        <v>#VALUE!</v>
      </c>
      <c r="Y42" s="31" t="e">
        <f aca="false">omega(S42,1.4)</f>
        <v>#VALUE!</v>
      </c>
      <c r="Z42" s="7" t="e">
        <f aca="false">AD41</f>
        <v>#VALUE!</v>
      </c>
      <c r="AA42" s="8" t="e">
        <f aca="false">(dpds2(1.4,J42,L42,S42,O42,U42,V42,W42,E41,X42,Y42,G41,G42,Z42))</f>
        <v>#VALUE!</v>
      </c>
      <c r="AB42" s="8" t="e">
        <f aca="false">(eta(AA42,P42,U42,G42,D41,D42))</f>
        <v>#VALUE!</v>
      </c>
      <c r="AC42" s="31" t="e">
        <f aca="false">ROUNDDOWN(Pmainval(P42,U42,AB42),8)</f>
        <v>#VALUE!</v>
      </c>
      <c r="AD42" s="31" t="e">
        <f aca="false">((dpds3(P42,U42,AC42,AA42)))</f>
        <v>#VALUE!</v>
      </c>
      <c r="AE42" s="31" t="e">
        <f aca="false">U42/AC42</f>
        <v>#VALUE!</v>
      </c>
      <c r="AF42" s="31" t="e">
        <f aca="false">ROUNDDOWN((Machfinder(AE42,S42,1.4)),6)</f>
        <v>#VALUE!</v>
      </c>
      <c r="AG42" s="31" t="e">
        <f aca="false">AC42/G$2</f>
        <v>#VALUE!</v>
      </c>
      <c r="AH42" s="31" t="n">
        <f aca="false">D42/D$3</f>
        <v>0.327272727272727</v>
      </c>
      <c r="AI42" s="31" t="e">
        <f aca="false">(2/(1.4*D$6^2))*(AG42-1)</f>
        <v>#VALUE!</v>
      </c>
      <c r="AJ42" s="31" t="e">
        <f aca="false">IF(K42=FALSE(),drag(D41,D42,E41,E42,G42,P42,U42,AB42,AA42),0)</f>
        <v>#VALUE!</v>
      </c>
      <c r="AK42" s="31"/>
      <c r="AN42" s="0" t="e">
        <f aca="false">ASIN(1/L42)</f>
        <v>#VALUE!</v>
      </c>
      <c r="AO42" s="0" t="e">
        <f aca="false">ASIN(1/S42)</f>
        <v>#VALUE!</v>
      </c>
      <c r="AP42" s="0" t="e">
        <f aca="false">2*1.4*O42/SIN(2*AN42)</f>
        <v>#VALUE!</v>
      </c>
      <c r="AQ42" s="0" t="e">
        <f aca="false">2*1.4*U42/SIN(2*AO42)</f>
        <v>#VALUE!</v>
      </c>
      <c r="AR42" s="0" t="e">
        <f aca="false">ROUNDDOWN(BILINTERP(inputtables!$A$48:$N$66,ABS(I42),D$6),8)</f>
        <v>#VALUE!</v>
      </c>
      <c r="AS42" s="0" t="e">
        <f aca="false">AT41</f>
        <v>#VALUE!</v>
      </c>
      <c r="AT42" s="0" t="e">
        <f aca="false">DeltaL(M$16:M42,U42,O42,J42,M42,L42,1.4,AB42,G42,AR42,AP42,AQ42,AS42)</f>
        <v>#VALUE!</v>
      </c>
      <c r="AU42" s="0" t="e">
        <f aca="false">IF(K42=TRUE(),Segment_Cnalpha(E41,E42,$J$2),cnalpha(D41,D42,E41,E42,G42,P42,U42,AB42,AA42,AP42,AQ42,AS42,AR42,J$3))</f>
        <v>#VALUE!</v>
      </c>
      <c r="AW42" s="0" t="e">
        <f aca="false">IF(K42=TRUE(),Segment_CMalpha(AU42,AX42),cmalpha1(D41,D42,E41,E42,G42,P42,U42,AB42,AA42,AP42,AQ42,AS42,AR42,J$3,D$4))</f>
        <v>#VALUE!</v>
      </c>
      <c r="AX42" s="0" t="e">
        <f aca="false">IF(K42=TRUE(),Segment_CP(D41,D42,E41,E42),-$D$4*AW42/AU42)</f>
        <v>#VALUE!</v>
      </c>
      <c r="BD42" s="31"/>
      <c r="BE42" s="31"/>
      <c r="BI42" s="31"/>
    </row>
    <row r="43" customFormat="false" ht="15" hidden="false" customHeight="false" outlineLevel="0" collapsed="false">
      <c r="C43" s="48" t="n">
        <f aca="false">C42+1</f>
        <v>29</v>
      </c>
      <c r="D43" s="16" t="n">
        <v>24</v>
      </c>
      <c r="E43" s="49" t="n">
        <v>1.125</v>
      </c>
      <c r="F43" s="31" t="n">
        <f aca="false">(E43-E42)</f>
        <v>0</v>
      </c>
      <c r="G43" s="31" t="n">
        <f aca="false">ROUNDDOWN(ATAN(F43/(D43-D42)),6)</f>
        <v>0</v>
      </c>
      <c r="H43" s="31" t="n">
        <f aca="false">IF(G43&gt;0,F43/SIN(G43),D43-D42)</f>
        <v>6</v>
      </c>
      <c r="I43" s="31" t="n">
        <f aca="false">ROUNDDOWN(G43*180/PI(),8)</f>
        <v>0</v>
      </c>
      <c r="J43" s="7" t="e">
        <f aca="false">ROUNDDOWN(epsilonangle(G42,G43),8)</f>
        <v>#VALUE!</v>
      </c>
      <c r="K43" s="31" t="n">
        <f aca="false">IF(K42=TRUE(),TRUE(),IF(M43="Compression",IF(G43&gt;(0.3208*(L43^2-1)^(3/2)/L43^2),TRUE(),FALSE()),FALSE()))</f>
        <v>0</v>
      </c>
      <c r="L43" s="31" t="e">
        <f aca="false">IF(ISERROR(AF42),L42,AF42)</f>
        <v>#VALUE!</v>
      </c>
      <c r="M43" s="31" t="str">
        <f aca="false">IF(G43&gt;G44,"Expansion",IF(G43=G44,"No Change","Compression"))</f>
        <v>No Change</v>
      </c>
      <c r="N43" s="31" t="e">
        <f aca="false">ROUNDDOWN(BILINTERP(inputtables!$A$26:$N$44,ABS(I43),D$6),8)</f>
        <v>#VALUE!</v>
      </c>
      <c r="O43" s="31" t="e">
        <f aca="false">AC42</f>
        <v>#VALUE!</v>
      </c>
      <c r="P43" s="52" t="e">
        <f aca="false">N43*G$2</f>
        <v>#VALUE!</v>
      </c>
      <c r="Q43" s="31" t="e">
        <f aca="false">nu(L43,1.4)</f>
        <v>#VALUE!</v>
      </c>
      <c r="R43" s="50" t="e">
        <f aca="false">IF(M43="Expansion",Q43+ABS(J43),IF(M43="Compression",Q43-ABS(J43),Q43))</f>
        <v>#VALUE!</v>
      </c>
      <c r="S43" s="31" t="e">
        <f aca="false">IF(I42&gt;=I43,ROUNDDOWN((newtonmethod(L43,R43)),6),ROUNDDOWN(M2oblique(L43,J43,1.4),6))</f>
        <v>#VALUE!</v>
      </c>
      <c r="T43" s="31" t="e">
        <f aca="false">IF(I42&gt;=I43,p1p2(L43,S43,1.4),p1p2oblique(L43,J43,1.4))</f>
        <v>#VALUE!</v>
      </c>
      <c r="U43" s="53" t="e">
        <f aca="false">ROUNDDOWN((1/T43)*O43,6)</f>
        <v>#VALUE!</v>
      </c>
      <c r="V43" s="31" t="e">
        <f aca="false">(1.4*O43*L43^2)/(2*(L43^2-1))</f>
        <v>#VALUE!</v>
      </c>
      <c r="W43" s="31" t="e">
        <f aca="false">(1.4*U43*S43^2)/(2*(S43^2-1))</f>
        <v>#VALUE!</v>
      </c>
      <c r="X43" s="31" t="e">
        <f aca="false">omega(L43,1.4)</f>
        <v>#VALUE!</v>
      </c>
      <c r="Y43" s="31" t="e">
        <f aca="false">omega(S43,1.4)</f>
        <v>#VALUE!</v>
      </c>
      <c r="Z43" s="7" t="e">
        <f aca="false">AD42</f>
        <v>#VALUE!</v>
      </c>
      <c r="AA43" s="8" t="e">
        <f aca="false">(dpds2(1.4,J43,L43,S43,O43,U43,V43,W43,E42,X43,Y43,G42,G43,Z43))</f>
        <v>#VALUE!</v>
      </c>
      <c r="AB43" s="8" t="e">
        <f aca="false">(eta(AA43,P43,U43,G43,D42,D43))</f>
        <v>#VALUE!</v>
      </c>
      <c r="AC43" s="31" t="e">
        <f aca="false">ROUNDDOWN(Pmainval(P43,U43,AB43),8)</f>
        <v>#VALUE!</v>
      </c>
      <c r="AD43" s="31" t="e">
        <f aca="false">((dpds3(P43,U43,AC43,AA43)))</f>
        <v>#VALUE!</v>
      </c>
      <c r="AE43" s="31" t="e">
        <f aca="false">U43/AC43</f>
        <v>#VALUE!</v>
      </c>
      <c r="AF43" s="31" t="e">
        <f aca="false">ROUNDDOWN((Machfinder(AE43,S43,1.4)),6)</f>
        <v>#VALUE!</v>
      </c>
      <c r="AG43" s="31" t="e">
        <f aca="false">AC43/G$2</f>
        <v>#VALUE!</v>
      </c>
      <c r="AH43" s="31" t="n">
        <f aca="false">D43/D$3</f>
        <v>0.436363636363636</v>
      </c>
      <c r="AI43" s="31" t="e">
        <f aca="false">(2/(1.4*D$6^2))*(AG43-1)</f>
        <v>#VALUE!</v>
      </c>
      <c r="AJ43" s="31" t="e">
        <f aca="false">IF(K43=FALSE(),drag(D42,D43,E42,E43,G43,P43,U43,AB43,AA43),0)</f>
        <v>#VALUE!</v>
      </c>
      <c r="AK43" s="31"/>
      <c r="AN43" s="0" t="e">
        <f aca="false">ASIN(1/L43)</f>
        <v>#VALUE!</v>
      </c>
      <c r="AO43" s="0" t="e">
        <f aca="false">ASIN(1/S43)</f>
        <v>#VALUE!</v>
      </c>
      <c r="AP43" s="0" t="e">
        <f aca="false">2*1.4*O43/SIN(2*AN43)</f>
        <v>#VALUE!</v>
      </c>
      <c r="AQ43" s="0" t="e">
        <f aca="false">2*1.4*U43/SIN(2*AO43)</f>
        <v>#VALUE!</v>
      </c>
      <c r="AR43" s="0" t="e">
        <f aca="false">ROUNDDOWN(BILINTERP(inputtables!$A$48:$N$66,ABS(I43),D$6),8)</f>
        <v>#VALUE!</v>
      </c>
      <c r="AS43" s="0" t="e">
        <f aca="false">AT42</f>
        <v>#VALUE!</v>
      </c>
      <c r="AT43" s="0" t="e">
        <f aca="false">DeltaL(M$16:M43,U43,O43,J43,M43,L43,1.4,AB43,G43,AR43,AP43,AQ43,AS43)</f>
        <v>#VALUE!</v>
      </c>
      <c r="AU43" s="0" t="e">
        <f aca="false">IF(K43=TRUE(),Segment_Cnalpha(E42,E43,$J$2),cnalpha(D42,D43,E42,E43,G43,P43,U43,AB43,AA43,AP43,AQ43,AS43,AR43,J$3))</f>
        <v>#VALUE!</v>
      </c>
      <c r="AW43" s="0" t="e">
        <f aca="false">IF(K43=TRUE(),Segment_CMalpha(AU43,AX43),cmalpha1(D42,D43,E42,E43,G43,P43,U43,AB43,AA43,AP43,AQ43,AS43,AR43,J$3,D$4))</f>
        <v>#VALUE!</v>
      </c>
      <c r="AX43" s="0" t="e">
        <f aca="false">IF(K43=TRUE(),Segment_CP(D42,D43,E42,E43),-$D$4*AW43/AU43)</f>
        <v>#VALUE!</v>
      </c>
      <c r="BD43" s="31"/>
      <c r="BE43" s="31"/>
      <c r="BI43" s="31"/>
    </row>
    <row r="44" customFormat="false" ht="15" hidden="false" customHeight="false" outlineLevel="0" collapsed="false">
      <c r="C44" s="48" t="n">
        <f aca="false">C43+1</f>
        <v>30</v>
      </c>
      <c r="D44" s="16" t="n">
        <v>32</v>
      </c>
      <c r="E44" s="49" t="n">
        <v>1.125</v>
      </c>
      <c r="F44" s="31" t="n">
        <f aca="false">(E44-E43)</f>
        <v>0</v>
      </c>
      <c r="G44" s="31" t="n">
        <f aca="false">ROUNDDOWN(ATAN(F44/(D44-D43)),6)</f>
        <v>0</v>
      </c>
      <c r="H44" s="31" t="n">
        <f aca="false">IF(G44&gt;0,F44/SIN(G44),D44-D43)</f>
        <v>8</v>
      </c>
      <c r="I44" s="31" t="n">
        <f aca="false">ROUNDDOWN(G44*180/PI(),8)</f>
        <v>0</v>
      </c>
      <c r="J44" s="7" t="e">
        <f aca="false">ROUNDDOWN(epsilonangle(G43,G44),8)</f>
        <v>#VALUE!</v>
      </c>
      <c r="K44" s="31" t="n">
        <f aca="false">IF(K43=TRUE(),TRUE(),IF(M44="Compression",IF(G44&gt;(0.3208*(L44^2-1)^(3/2)/L44^2),TRUE(),FALSE()),FALSE()))</f>
        <v>0</v>
      </c>
      <c r="L44" s="31" t="e">
        <f aca="false">IF(ISERROR(AF43),L43,AF43)</f>
        <v>#VALUE!</v>
      </c>
      <c r="M44" s="31" t="str">
        <f aca="false">IF(G44&gt;G45,"Expansion",IF(G44=G45,"No Change","Compression"))</f>
        <v>No Change</v>
      </c>
      <c r="N44" s="31" t="e">
        <f aca="false">ROUNDDOWN(BILINTERP(inputtables!$A$26:$N$44,ABS(I44),D$6),8)</f>
        <v>#VALUE!</v>
      </c>
      <c r="O44" s="31" t="e">
        <f aca="false">AC43</f>
        <v>#VALUE!</v>
      </c>
      <c r="P44" s="52" t="e">
        <f aca="false">N44*G$2</f>
        <v>#VALUE!</v>
      </c>
      <c r="Q44" s="31" t="e">
        <f aca="false">nu(L44,1.4)</f>
        <v>#VALUE!</v>
      </c>
      <c r="R44" s="50" t="e">
        <f aca="false">IF(M44="Expansion",Q44+ABS(J44),IF(M44="Compression",Q44-ABS(J44),Q44))</f>
        <v>#VALUE!</v>
      </c>
      <c r="S44" s="31" t="e">
        <f aca="false">IF(I43&gt;=I44,ROUNDDOWN((newtonmethod(L44,R44)),6),ROUNDDOWN(M2oblique(L44,J44,1.4),6))</f>
        <v>#VALUE!</v>
      </c>
      <c r="T44" s="31" t="e">
        <f aca="false">IF(I43&gt;=I44,p1p2(L44,S44,1.4),p1p2oblique(L44,J44,1.4))</f>
        <v>#VALUE!</v>
      </c>
      <c r="U44" s="53" t="e">
        <f aca="false">ROUNDDOWN((1/T44)*O44,6)</f>
        <v>#VALUE!</v>
      </c>
      <c r="V44" s="31" t="e">
        <f aca="false">(1.4*O44*L44^2)/(2*(L44^2-1))</f>
        <v>#VALUE!</v>
      </c>
      <c r="W44" s="31" t="e">
        <f aca="false">(1.4*U44*S44^2)/(2*(S44^2-1))</f>
        <v>#VALUE!</v>
      </c>
      <c r="X44" s="31" t="e">
        <f aca="false">omega(L44,1.4)</f>
        <v>#VALUE!</v>
      </c>
      <c r="Y44" s="31" t="e">
        <f aca="false">omega(S44,1.4)</f>
        <v>#VALUE!</v>
      </c>
      <c r="Z44" s="7" t="e">
        <f aca="false">AD43</f>
        <v>#VALUE!</v>
      </c>
      <c r="AA44" s="8" t="e">
        <f aca="false">(dpds2(1.4,J44,L44,S44,O44,U44,V44,W44,E43,X44,Y44,G43,G44,Z44))</f>
        <v>#VALUE!</v>
      </c>
      <c r="AB44" s="8" t="e">
        <f aca="false">(eta(AA44,P44,U44,G44,D43,D44))</f>
        <v>#VALUE!</v>
      </c>
      <c r="AC44" s="31" t="e">
        <f aca="false">ROUNDDOWN(Pmainval(P44,U44,AB44),8)</f>
        <v>#VALUE!</v>
      </c>
      <c r="AD44" s="31" t="e">
        <f aca="false">((dpds3(P44,U44,AC44,AA44)))</f>
        <v>#VALUE!</v>
      </c>
      <c r="AE44" s="31" t="e">
        <f aca="false">U44/AC44</f>
        <v>#VALUE!</v>
      </c>
      <c r="AF44" s="31" t="e">
        <f aca="false">ROUNDDOWN((Machfinder(AE44,S44,1.4)),6)</f>
        <v>#VALUE!</v>
      </c>
      <c r="AG44" s="31" t="e">
        <f aca="false">AC44/G$2</f>
        <v>#VALUE!</v>
      </c>
      <c r="AH44" s="31" t="n">
        <f aca="false">D44/D$3</f>
        <v>0.581818181818182</v>
      </c>
      <c r="AI44" s="31" t="e">
        <f aca="false">(2/(1.4*D$6^2))*(AG44-1)</f>
        <v>#VALUE!</v>
      </c>
      <c r="AJ44" s="31" t="e">
        <f aca="false">IF(K44=FALSE(),drag(D43,D44,E43,E44,G44,P44,U44,AB44,AA44),0)</f>
        <v>#VALUE!</v>
      </c>
      <c r="AK44" s="31"/>
      <c r="AN44" s="0" t="e">
        <f aca="false">ASIN(1/L44)</f>
        <v>#VALUE!</v>
      </c>
      <c r="AO44" s="0" t="e">
        <f aca="false">ASIN(1/S44)</f>
        <v>#VALUE!</v>
      </c>
      <c r="AP44" s="0" t="e">
        <f aca="false">2*1.4*O44/SIN(2*AN44)</f>
        <v>#VALUE!</v>
      </c>
      <c r="AQ44" s="0" t="e">
        <f aca="false">2*1.4*U44/SIN(2*AO44)</f>
        <v>#VALUE!</v>
      </c>
      <c r="AR44" s="0" t="e">
        <f aca="false">ROUNDDOWN(BILINTERP(inputtables!$A$48:$N$66,ABS(I44),D$6),8)</f>
        <v>#VALUE!</v>
      </c>
      <c r="AS44" s="0" t="e">
        <f aca="false">AT43</f>
        <v>#VALUE!</v>
      </c>
      <c r="AT44" s="0" t="e">
        <f aca="false">DeltaL(M$16:M44,U44,O44,J44,M44,L44,1.4,AB44,G44,AR44,AP44,AQ44,AS44)</f>
        <v>#VALUE!</v>
      </c>
      <c r="AU44" s="0" t="e">
        <f aca="false">IF(K44=TRUE(),Segment_Cnalpha(E43,E44,$J$2),cnalpha(D43,D44,E43,E44,G44,P44,U44,AB44,AA44,AP44,AQ44,AS44,AR44,J$3))</f>
        <v>#VALUE!</v>
      </c>
      <c r="AW44" s="0" t="e">
        <f aca="false">IF(K44=TRUE(),Segment_CMalpha(AU44,AX44),cmalpha1(D43,D44,E43,E44,G44,P44,U44,AB44,AA44,AP44,AQ44,AS44,AR44,J$3,D$4))</f>
        <v>#VALUE!</v>
      </c>
      <c r="AX44" s="0" t="e">
        <f aca="false">IF(K44=TRUE(),Segment_CP(D43,D44,E43,E44),-$D$4*AW44/AU44)</f>
        <v>#VALUE!</v>
      </c>
      <c r="BD44" s="31"/>
      <c r="BE44" s="31"/>
      <c r="BI44" s="31"/>
    </row>
    <row r="45" customFormat="false" ht="15" hidden="false" customHeight="false" outlineLevel="0" collapsed="false">
      <c r="C45" s="48" t="n">
        <f aca="false">C44+1</f>
        <v>31</v>
      </c>
      <c r="D45" s="16" t="n">
        <v>43</v>
      </c>
      <c r="E45" s="49" t="n">
        <v>1.125</v>
      </c>
      <c r="F45" s="31" t="n">
        <f aca="false">(E45-E44)</f>
        <v>0</v>
      </c>
      <c r="G45" s="31" t="n">
        <f aca="false">ROUNDDOWN(ATAN(F45/(D45-D44)),6)</f>
        <v>0</v>
      </c>
      <c r="H45" s="31" t="n">
        <f aca="false">IF(G45&gt;0,F45/SIN(G45),D45-D44)</f>
        <v>11</v>
      </c>
      <c r="I45" s="31" t="n">
        <f aca="false">ROUNDDOWN(G45*180/PI(),8)</f>
        <v>0</v>
      </c>
      <c r="J45" s="7" t="e">
        <f aca="false">ROUNDDOWN(epsilonangle(G44,G45),8)</f>
        <v>#VALUE!</v>
      </c>
      <c r="K45" s="31" t="n">
        <f aca="false">IF(K44=TRUE(),TRUE(),IF(M45="Compression",IF(G45&gt;(0.3208*(L45^2-1)^(3/2)/L45^2),TRUE(),FALSE()),FALSE()))</f>
        <v>0</v>
      </c>
      <c r="L45" s="31" t="e">
        <f aca="false">IF(ISERROR(AF44),L44,AF44)</f>
        <v>#VALUE!</v>
      </c>
      <c r="M45" s="31" t="str">
        <f aca="false">IF(G45&gt;G46,"Expansion",IF(G45=G46,"No Change","Compression"))</f>
        <v>No Change</v>
      </c>
      <c r="N45" s="31" t="e">
        <f aca="false">ROUNDDOWN(BILINTERP(inputtables!$A$26:$N$44,ABS(I45),D$6),8)</f>
        <v>#VALUE!</v>
      </c>
      <c r="O45" s="31" t="e">
        <f aca="false">AC44</f>
        <v>#VALUE!</v>
      </c>
      <c r="P45" s="52" t="e">
        <f aca="false">N45*G$2</f>
        <v>#VALUE!</v>
      </c>
      <c r="Q45" s="31" t="e">
        <f aca="false">nu(L45,1.4)</f>
        <v>#VALUE!</v>
      </c>
      <c r="R45" s="50" t="e">
        <f aca="false">IF(M45="Expansion",Q45+ABS(J45),IF(M45="Compression",Q45-ABS(J45),Q45))</f>
        <v>#VALUE!</v>
      </c>
      <c r="S45" s="31" t="e">
        <f aca="false">IF(I44&gt;=I45,ROUNDDOWN((newtonmethod(L45,R45)),6),ROUNDDOWN(M2oblique(L45,J45,1.4),6))</f>
        <v>#VALUE!</v>
      </c>
      <c r="T45" s="31" t="e">
        <f aca="false">IF(I44&gt;=I45,p1p2(L45,S45,1.4),p1p2oblique(L45,J45,1.4))</f>
        <v>#VALUE!</v>
      </c>
      <c r="U45" s="53" t="e">
        <f aca="false">ROUNDDOWN((1/T45)*O45,6)</f>
        <v>#VALUE!</v>
      </c>
      <c r="V45" s="31" t="e">
        <f aca="false">(1.4*O45*L45^2)/(2*(L45^2-1))</f>
        <v>#VALUE!</v>
      </c>
      <c r="W45" s="31" t="e">
        <f aca="false">(1.4*U45*S45^2)/(2*(S45^2-1))</f>
        <v>#VALUE!</v>
      </c>
      <c r="X45" s="31" t="e">
        <f aca="false">omega(L45,1.4)</f>
        <v>#VALUE!</v>
      </c>
      <c r="Y45" s="31" t="e">
        <f aca="false">omega(S45,1.4)</f>
        <v>#VALUE!</v>
      </c>
      <c r="Z45" s="7" t="e">
        <f aca="false">AD44</f>
        <v>#VALUE!</v>
      </c>
      <c r="AA45" s="8" t="e">
        <f aca="false">(dpds2(1.4,J45,L45,S45,O45,U45,V45,W45,E44,X45,Y45,G44,G45,Z45))</f>
        <v>#VALUE!</v>
      </c>
      <c r="AB45" s="8" t="e">
        <f aca="false">(eta(AA45,P45,U45,G45,D44,D45))</f>
        <v>#VALUE!</v>
      </c>
      <c r="AC45" s="31" t="e">
        <f aca="false">ROUNDDOWN(Pmainval(P45,U45,AB45),8)</f>
        <v>#VALUE!</v>
      </c>
      <c r="AD45" s="31" t="e">
        <f aca="false">((dpds3(P45,U45,AC45,AA45)))</f>
        <v>#VALUE!</v>
      </c>
      <c r="AE45" s="31" t="e">
        <f aca="false">U45/AC45</f>
        <v>#VALUE!</v>
      </c>
      <c r="AF45" s="31" t="e">
        <f aca="false">ROUNDDOWN((Machfinder(AE45,S45,1.4)),6)</f>
        <v>#VALUE!</v>
      </c>
      <c r="AG45" s="31" t="e">
        <f aca="false">AC45/G$2</f>
        <v>#VALUE!</v>
      </c>
      <c r="AH45" s="31" t="n">
        <f aca="false">D45/D$3</f>
        <v>0.781818181818182</v>
      </c>
      <c r="AI45" s="31" t="e">
        <f aca="false">(2/(1.4*D$6^2))*(AG45-1)</f>
        <v>#VALUE!</v>
      </c>
      <c r="AJ45" s="31" t="e">
        <f aca="false">IF(K45=FALSE(),drag(D44,D45,E44,E45,G45,P45,U45,AB45,AA45),0)</f>
        <v>#VALUE!</v>
      </c>
      <c r="AK45" s="31"/>
      <c r="AN45" s="0" t="e">
        <f aca="false">ASIN(1/L45)</f>
        <v>#VALUE!</v>
      </c>
      <c r="AO45" s="0" t="e">
        <f aca="false">ASIN(1/S45)</f>
        <v>#VALUE!</v>
      </c>
      <c r="AP45" s="0" t="e">
        <f aca="false">2*1.4*O45/SIN(2*AN45)</f>
        <v>#VALUE!</v>
      </c>
      <c r="AQ45" s="0" t="e">
        <f aca="false">2*1.4*U45/SIN(2*AO45)</f>
        <v>#VALUE!</v>
      </c>
      <c r="AR45" s="0" t="e">
        <f aca="false">ROUNDDOWN(BILINTERP(inputtables!$A$48:$N$66,ABS(I45),D$6),8)</f>
        <v>#VALUE!</v>
      </c>
      <c r="AS45" s="0" t="e">
        <f aca="false">AT44</f>
        <v>#VALUE!</v>
      </c>
      <c r="AT45" s="0" t="e">
        <f aca="false">DeltaL(M$16:M45,U45,O45,J45,M45,L45,1.4,AB45,G45,AR45,AP45,AQ45,AS45)</f>
        <v>#VALUE!</v>
      </c>
      <c r="AU45" s="0" t="e">
        <f aca="false">IF(K45=TRUE(),Segment_Cnalpha(E44,E45,$J$2),cnalpha(D44,D45,E44,E45,G45,P45,U45,AB45,AA45,AP45,AQ45,AS45,AR45,J$3))</f>
        <v>#VALUE!</v>
      </c>
      <c r="AW45" s="0" t="e">
        <f aca="false">IF(K45=TRUE(),Segment_CMalpha(AU45,AX45),cmalpha1(D44,D45,E44,E45,G45,P45,U45,AB45,AA45,AP45,AQ45,AS45,AR45,J$3,D$4))</f>
        <v>#VALUE!</v>
      </c>
      <c r="AX45" s="0" t="e">
        <f aca="false">IF(K45=TRUE(),Segment_CP(D44,D45,E44,E45),-$D$4*AW45/AU45)</f>
        <v>#VALUE!</v>
      </c>
      <c r="BD45" s="31"/>
      <c r="BE45" s="31"/>
      <c r="BI45" s="31"/>
    </row>
    <row r="46" customFormat="false" ht="15" hidden="false" customHeight="false" outlineLevel="0" collapsed="false">
      <c r="C46" s="48" t="n">
        <f aca="false">C45+1</f>
        <v>32</v>
      </c>
      <c r="D46" s="16" t="n">
        <v>45</v>
      </c>
      <c r="E46" s="49" t="n">
        <v>1.125</v>
      </c>
      <c r="F46" s="31" t="n">
        <f aca="false">(E46-E45)</f>
        <v>0</v>
      </c>
      <c r="G46" s="31" t="n">
        <f aca="false">ROUNDDOWN(ATAN(F46/(D46-D45)),6)</f>
        <v>0</v>
      </c>
      <c r="H46" s="31" t="n">
        <f aca="false">IF(G46&gt;0,F46/SIN(G46),D46-D45)</f>
        <v>2</v>
      </c>
      <c r="I46" s="31" t="n">
        <f aca="false">ROUNDDOWN(G46*180/PI(),8)</f>
        <v>0</v>
      </c>
      <c r="J46" s="7" t="e">
        <f aca="false">ROUNDDOWN(epsilonangle(G45,G46),8)</f>
        <v>#VALUE!</v>
      </c>
      <c r="K46" s="31" t="n">
        <f aca="false">IF(K45=TRUE(),TRUE(),IF(M46="Compression",IF(G46&gt;(0.3208*(L46^2-1)^(3/2)/L46^2),TRUE(),FALSE()),FALSE()))</f>
        <v>0</v>
      </c>
      <c r="L46" s="31" t="e">
        <f aca="false">IF(ISERROR(AF45),L45,AF45)</f>
        <v>#VALUE!</v>
      </c>
      <c r="M46" s="31" t="str">
        <f aca="false">IF(G46&gt;G47,"Expansion",IF(G46=G47,"No Change","Compression"))</f>
        <v>No Change</v>
      </c>
      <c r="N46" s="31" t="e">
        <f aca="false">ROUNDDOWN(BILINTERP(inputtables!$A$26:$N$44,ABS(I46),D$6),8)</f>
        <v>#VALUE!</v>
      </c>
      <c r="O46" s="31" t="e">
        <f aca="false">AC45</f>
        <v>#VALUE!</v>
      </c>
      <c r="P46" s="52" t="e">
        <f aca="false">N46*G$2</f>
        <v>#VALUE!</v>
      </c>
      <c r="Q46" s="31" t="e">
        <f aca="false">nu(L46,1.4)</f>
        <v>#VALUE!</v>
      </c>
      <c r="R46" s="50" t="e">
        <f aca="false">IF(M46="Expansion",Q46+ABS(J46),IF(M46="Compression",Q46-ABS(J46),Q46))</f>
        <v>#VALUE!</v>
      </c>
      <c r="S46" s="31" t="e">
        <f aca="false">IF(I45&gt;=I46,ROUNDDOWN((newtonmethod(L46,R46)),6),ROUNDDOWN(M2oblique(L46,J46,1.4),6))</f>
        <v>#VALUE!</v>
      </c>
      <c r="T46" s="31" t="e">
        <f aca="false">IF(I45&gt;=I46,p1p2(L46,S46,1.4),p1p2oblique(L46,J46,1.4))</f>
        <v>#VALUE!</v>
      </c>
      <c r="U46" s="53" t="e">
        <f aca="false">ROUNDDOWN((1/T46)*O46,6)</f>
        <v>#VALUE!</v>
      </c>
      <c r="V46" s="31" t="e">
        <f aca="false">(1.4*O46*L46^2)/(2*(L46^2-1))</f>
        <v>#VALUE!</v>
      </c>
      <c r="W46" s="31" t="e">
        <f aca="false">(1.4*U46*S46^2)/(2*(S46^2-1))</f>
        <v>#VALUE!</v>
      </c>
      <c r="X46" s="31" t="e">
        <f aca="false">omega(L46,1.4)</f>
        <v>#VALUE!</v>
      </c>
      <c r="Y46" s="31" t="e">
        <f aca="false">omega(S46,1.4)</f>
        <v>#VALUE!</v>
      </c>
      <c r="Z46" s="7" t="e">
        <f aca="false">AD45</f>
        <v>#VALUE!</v>
      </c>
      <c r="AA46" s="8" t="e">
        <f aca="false">(dpds2(1.4,J46,L46,S46,O46,U46,V46,W46,E45,X46,Y46,G45,G46,Z46))</f>
        <v>#VALUE!</v>
      </c>
      <c r="AB46" s="8" t="e">
        <f aca="false">(eta(AA46,P46,U46,G46,D45,D46))</f>
        <v>#VALUE!</v>
      </c>
      <c r="AC46" s="31" t="e">
        <f aca="false">ROUNDDOWN(Pmainval(P46,U46,AB46),8)</f>
        <v>#VALUE!</v>
      </c>
      <c r="AD46" s="31" t="e">
        <f aca="false">((dpds3(P46,U46,AC46,AA46)))</f>
        <v>#VALUE!</v>
      </c>
      <c r="AE46" s="31" t="e">
        <f aca="false">U46/AC46</f>
        <v>#VALUE!</v>
      </c>
      <c r="AF46" s="31" t="e">
        <f aca="false">ROUNDDOWN((Machfinder(AE46,S46,1.4)),6)</f>
        <v>#VALUE!</v>
      </c>
      <c r="AG46" s="31" t="e">
        <f aca="false">AC46/G$2</f>
        <v>#VALUE!</v>
      </c>
      <c r="AH46" s="31" t="n">
        <f aca="false">D46/D$3</f>
        <v>0.818181818181818</v>
      </c>
      <c r="AI46" s="31" t="e">
        <f aca="false">(2/(1.4*D$6^2))*(AG46-1)</f>
        <v>#VALUE!</v>
      </c>
      <c r="AJ46" s="31" t="e">
        <f aca="false">IF(K46=FALSE(),drag(D45,D46,E45,E46,G46,P46,U46,AB46,AA46),0)</f>
        <v>#VALUE!</v>
      </c>
      <c r="AK46" s="31"/>
      <c r="AN46" s="0" t="e">
        <f aca="false">ASIN(1/L46)</f>
        <v>#VALUE!</v>
      </c>
      <c r="AO46" s="0" t="e">
        <f aca="false">ASIN(1/S46)</f>
        <v>#VALUE!</v>
      </c>
      <c r="AP46" s="0" t="e">
        <f aca="false">2*1.4*O46/SIN(2*AN46)</f>
        <v>#VALUE!</v>
      </c>
      <c r="AQ46" s="0" t="e">
        <f aca="false">2*1.4*U46/SIN(2*AO46)</f>
        <v>#VALUE!</v>
      </c>
      <c r="AR46" s="0" t="e">
        <f aca="false">ROUNDDOWN(BILINTERP(inputtables!$A$48:$N$66,ABS(I46),D$6),8)</f>
        <v>#VALUE!</v>
      </c>
      <c r="AS46" s="0" t="e">
        <f aca="false">AT45</f>
        <v>#VALUE!</v>
      </c>
      <c r="AT46" s="0" t="e">
        <f aca="false">DeltaL(M$16:M46,U46,O46,J46,M46,L46,1.4,AB46,G46,AR46,AP46,AQ46,AS46)</f>
        <v>#VALUE!</v>
      </c>
      <c r="AU46" s="0" t="e">
        <f aca="false">IF(K46=TRUE(),Segment_Cnalpha(E45,E46,$J$2),cnalpha(D45,D46,E45,E46,G46,P46,U46,AB46,AA46,AP46,AQ46,AS46,AR46,J$3))</f>
        <v>#VALUE!</v>
      </c>
      <c r="AW46" s="0" t="e">
        <f aca="false">IF(K46=TRUE(),Segment_CMalpha(AU46,AX46),cmalpha1(D45,D46,E45,E46,G46,P46,U46,AB46,AA46,AP46,AQ46,AS46,AR46,J$3,D$4))</f>
        <v>#VALUE!</v>
      </c>
      <c r="AX46" s="0" t="e">
        <f aca="false">IF(K46=TRUE(),Segment_CP(D45,D46,E45,E46),-$D$4*AW46/AU46)</f>
        <v>#VALUE!</v>
      </c>
      <c r="BD46" s="31"/>
      <c r="BE46" s="31"/>
      <c r="BI46" s="31"/>
    </row>
    <row r="47" customFormat="false" ht="15" hidden="false" customHeight="false" outlineLevel="0" collapsed="false">
      <c r="C47" s="48" t="n">
        <f aca="false">C46+1</f>
        <v>33</v>
      </c>
      <c r="D47" s="16" t="n">
        <v>46</v>
      </c>
      <c r="E47" s="49" t="n">
        <v>1.125</v>
      </c>
      <c r="F47" s="31" t="n">
        <f aca="false">(E47-E46)</f>
        <v>0</v>
      </c>
      <c r="G47" s="31" t="n">
        <f aca="false">ROUNDDOWN(ATAN(F47/(D47-D46)),6)</f>
        <v>0</v>
      </c>
      <c r="H47" s="31" t="n">
        <f aca="false">IF(G47&gt;0,F47/SIN(G47),D47-D46)</f>
        <v>1</v>
      </c>
      <c r="I47" s="31" t="n">
        <f aca="false">ROUNDDOWN(G47*180/PI(),8)</f>
        <v>0</v>
      </c>
      <c r="J47" s="7" t="e">
        <f aca="false">ROUNDDOWN(epsilonangle(G46,G47),8)</f>
        <v>#VALUE!</v>
      </c>
      <c r="K47" s="31" t="n">
        <f aca="false">IF(K46=TRUE(),TRUE(),IF(M47="Compression",IF(G47&gt;(0.3208*(L47^2-1)^(3/2)/L47^2),TRUE(),FALSE()),FALSE()))</f>
        <v>0</v>
      </c>
      <c r="L47" s="31" t="e">
        <f aca="false">IF(ISERROR(AF46),L46,AF46)</f>
        <v>#VALUE!</v>
      </c>
      <c r="M47" s="31" t="str">
        <f aca="false">IF(G47&gt;G48,"Expansion",IF(G47=G48,"No Change","Compression"))</f>
        <v>No Change</v>
      </c>
      <c r="N47" s="31" t="e">
        <f aca="false">ROUNDDOWN(BILINTERP(inputtables!$A$26:$N$44,ABS(I47),D$6),8)</f>
        <v>#VALUE!</v>
      </c>
      <c r="O47" s="31" t="e">
        <f aca="false">AC46</f>
        <v>#VALUE!</v>
      </c>
      <c r="P47" s="52" t="e">
        <f aca="false">N47*G$2</f>
        <v>#VALUE!</v>
      </c>
      <c r="Q47" s="31" t="e">
        <f aca="false">nu(L47,1.4)</f>
        <v>#VALUE!</v>
      </c>
      <c r="R47" s="50" t="e">
        <f aca="false">IF(M47="Expansion",Q47+ABS(J47),IF(M47="Compression",Q47-ABS(J47),Q47))</f>
        <v>#VALUE!</v>
      </c>
      <c r="S47" s="31" t="e">
        <f aca="false">IF(I46&gt;=I47,ROUNDDOWN((newtonmethod(L47,R47)),6),ROUNDDOWN(M2oblique(L47,J47,1.4),6))</f>
        <v>#VALUE!</v>
      </c>
      <c r="T47" s="31" t="e">
        <f aca="false">IF(I46&gt;=I47,p1p2(L47,S47,1.4),p1p2oblique(L47,J47,1.4))</f>
        <v>#VALUE!</v>
      </c>
      <c r="U47" s="53" t="e">
        <f aca="false">ROUNDDOWN((1/T47)*O47,6)</f>
        <v>#VALUE!</v>
      </c>
      <c r="V47" s="31" t="e">
        <f aca="false">(1.4*O47*L47^2)/(2*(L47^2-1))</f>
        <v>#VALUE!</v>
      </c>
      <c r="W47" s="31" t="e">
        <f aca="false">(1.4*U47*S47^2)/(2*(S47^2-1))</f>
        <v>#VALUE!</v>
      </c>
      <c r="X47" s="31" t="e">
        <f aca="false">omega(L47,1.4)</f>
        <v>#VALUE!</v>
      </c>
      <c r="Y47" s="31" t="e">
        <f aca="false">omega(S47,1.4)</f>
        <v>#VALUE!</v>
      </c>
      <c r="Z47" s="7" t="e">
        <f aca="false">AD46</f>
        <v>#VALUE!</v>
      </c>
      <c r="AA47" s="8" t="e">
        <f aca="false">(dpds2(1.4,J47,L47,S47,O47,U47,V47,W47,E46,X47,Y47,G46,G47,Z47))</f>
        <v>#VALUE!</v>
      </c>
      <c r="AB47" s="8" t="e">
        <f aca="false">(eta(AA47,P47,U47,G47,D46,D47))</f>
        <v>#VALUE!</v>
      </c>
      <c r="AC47" s="31" t="e">
        <f aca="false">ROUNDDOWN(Pmainval(P47,U47,AB47),8)</f>
        <v>#VALUE!</v>
      </c>
      <c r="AD47" s="31" t="e">
        <f aca="false">((dpds3(P47,U47,AC47,AA47)))</f>
        <v>#VALUE!</v>
      </c>
      <c r="AE47" s="31" t="e">
        <f aca="false">U47/AC47</f>
        <v>#VALUE!</v>
      </c>
      <c r="AF47" s="31" t="e">
        <f aca="false">ROUNDDOWN((Machfinder(AE47,S47,1.4)),6)</f>
        <v>#VALUE!</v>
      </c>
      <c r="AG47" s="31" t="e">
        <f aca="false">AC47/G$2</f>
        <v>#VALUE!</v>
      </c>
      <c r="AH47" s="31" t="n">
        <f aca="false">D47/D$3</f>
        <v>0.836363636363636</v>
      </c>
      <c r="AI47" s="31" t="e">
        <f aca="false">(2/(1.4*D$6^2))*(AG47-1)</f>
        <v>#VALUE!</v>
      </c>
      <c r="AJ47" s="31" t="e">
        <f aca="false">IF(K47=FALSE(),drag(D46,D47,E46,E47,G47,P47,U47,AB47,AA47),0)</f>
        <v>#VALUE!</v>
      </c>
      <c r="AK47" s="31"/>
      <c r="AN47" s="0" t="e">
        <f aca="false">ASIN(1/L47)</f>
        <v>#VALUE!</v>
      </c>
      <c r="AO47" s="0" t="e">
        <f aca="false">ASIN(1/S47)</f>
        <v>#VALUE!</v>
      </c>
      <c r="AP47" s="0" t="e">
        <f aca="false">2*1.4*O47/SIN(2*AN47)</f>
        <v>#VALUE!</v>
      </c>
      <c r="AQ47" s="0" t="e">
        <f aca="false">2*1.4*U47/SIN(2*AO47)</f>
        <v>#VALUE!</v>
      </c>
      <c r="AR47" s="0" t="e">
        <f aca="false">ROUNDDOWN(BILINTERP(inputtables!$A$48:$N$66,ABS(I47),D$6),8)</f>
        <v>#VALUE!</v>
      </c>
      <c r="AS47" s="0" t="e">
        <f aca="false">AT46</f>
        <v>#VALUE!</v>
      </c>
      <c r="AT47" s="0" t="e">
        <f aca="false">DeltaL(M$16:M47,U47,O47,J47,M47,L47,1.4,AB47,G47,AR47,AP47,AQ47,AS47)</f>
        <v>#VALUE!</v>
      </c>
      <c r="AU47" s="0" t="e">
        <f aca="false">IF(K47=TRUE(),Segment_Cnalpha(E46,E47,$J$2),cnalpha(D46,D47,E46,E47,G47,P47,U47,AB47,AA47,AP47,AQ47,AS47,AR47,J$3))</f>
        <v>#VALUE!</v>
      </c>
      <c r="AW47" s="0" t="e">
        <f aca="false">IF(K47=TRUE(),Segment_CMalpha(AU47,AX47),cmalpha1(D46,D47,E46,E47,G47,P47,U47,AB47,AA47,AP47,AQ47,AS47,AR47,J$3,D$4))</f>
        <v>#VALUE!</v>
      </c>
      <c r="AX47" s="0" t="e">
        <f aca="false">IF(K47=TRUE(),Segment_CP(D46,D47,E46,E47),-$D$4*AW47/AU47)</f>
        <v>#VALUE!</v>
      </c>
      <c r="BD47" s="31"/>
      <c r="BE47" s="31"/>
      <c r="BI47" s="31"/>
    </row>
    <row r="48" customFormat="false" ht="15" hidden="false" customHeight="false" outlineLevel="0" collapsed="false">
      <c r="C48" s="48" t="n">
        <f aca="false">C47+1</f>
        <v>34</v>
      </c>
      <c r="D48" s="16" t="n">
        <v>50</v>
      </c>
      <c r="E48" s="49" t="n">
        <v>1.125</v>
      </c>
      <c r="F48" s="31" t="n">
        <f aca="false">(E48-E47)</f>
        <v>0</v>
      </c>
      <c r="G48" s="31" t="n">
        <f aca="false">ROUNDDOWN(ATAN(F48/(D48-D47)),6)</f>
        <v>0</v>
      </c>
      <c r="H48" s="31" t="n">
        <f aca="false">IF(G48&gt;0,F48/SIN(G48),D48-D47)</f>
        <v>4</v>
      </c>
      <c r="I48" s="31" t="n">
        <f aca="false">ROUNDDOWN(G48*180/PI(),8)</f>
        <v>0</v>
      </c>
      <c r="J48" s="7" t="e">
        <f aca="false">ROUNDDOWN(epsilonangle(G47,G48),8)</f>
        <v>#VALUE!</v>
      </c>
      <c r="K48" s="31" t="n">
        <f aca="false">IF(K47=TRUE(),TRUE(),IF(M48="Compression",IF(G48&gt;(0.3208*(L48^2-1)^(3/2)/L48^2),TRUE(),FALSE()),FALSE()))</f>
        <v>0</v>
      </c>
      <c r="L48" s="31" t="e">
        <f aca="false">IF(ISERROR(AF47),L47,AF47)</f>
        <v>#VALUE!</v>
      </c>
      <c r="M48" s="31" t="str">
        <f aca="false">IF(G48&gt;G49,"Expansion",IF(G48=G49,"No Change","Compression"))</f>
        <v>No Change</v>
      </c>
      <c r="N48" s="31" t="e">
        <f aca="false">ROUNDDOWN(BILINTERP(inputtables!$A$26:$N$44,ABS(I48),D$6),8)</f>
        <v>#VALUE!</v>
      </c>
      <c r="O48" s="31" t="e">
        <f aca="false">AC47</f>
        <v>#VALUE!</v>
      </c>
      <c r="P48" s="52" t="e">
        <f aca="false">N48*G$2</f>
        <v>#VALUE!</v>
      </c>
      <c r="Q48" s="31" t="e">
        <f aca="false">nu(L48,1.4)</f>
        <v>#VALUE!</v>
      </c>
      <c r="R48" s="50" t="e">
        <f aca="false">IF(M48="Expansion",Q48+ABS(J48),IF(M48="Compression",Q48-ABS(J48),Q48))</f>
        <v>#VALUE!</v>
      </c>
      <c r="S48" s="31" t="e">
        <f aca="false">IF(I47&gt;=I48,ROUNDDOWN((newtonmethod(L48,R48)),6),ROUNDDOWN(M2oblique(L48,J48,1.4),6))</f>
        <v>#VALUE!</v>
      </c>
      <c r="T48" s="31" t="e">
        <f aca="false">IF(I47&gt;=I48,p1p2(L48,S48,1.4),p1p2oblique(L48,J48,1.4))</f>
        <v>#VALUE!</v>
      </c>
      <c r="U48" s="53" t="e">
        <f aca="false">ROUNDDOWN((1/T48)*O48,6)</f>
        <v>#VALUE!</v>
      </c>
      <c r="V48" s="31" t="e">
        <f aca="false">(1.4*O48*L48^2)/(2*(L48^2-1))</f>
        <v>#VALUE!</v>
      </c>
      <c r="W48" s="31" t="e">
        <f aca="false">(1.4*U48*S48^2)/(2*(S48^2-1))</f>
        <v>#VALUE!</v>
      </c>
      <c r="X48" s="31" t="e">
        <f aca="false">omega(L48,1.4)</f>
        <v>#VALUE!</v>
      </c>
      <c r="Y48" s="31" t="e">
        <f aca="false">omega(S48,1.4)</f>
        <v>#VALUE!</v>
      </c>
      <c r="Z48" s="7" t="e">
        <f aca="false">AD47</f>
        <v>#VALUE!</v>
      </c>
      <c r="AA48" s="8" t="e">
        <f aca="false">(dpds2(1.4,J48,L48,S48,O48,U48,V48,W48,E47,X48,Y48,G47,G48,Z48))</f>
        <v>#VALUE!</v>
      </c>
      <c r="AB48" s="8" t="e">
        <f aca="false">(eta(AA48,P48,U48,G48,D47,D48))</f>
        <v>#VALUE!</v>
      </c>
      <c r="AC48" s="31" t="e">
        <f aca="false">ROUNDDOWN(Pmainval(P48,U48,AB48),8)</f>
        <v>#VALUE!</v>
      </c>
      <c r="AD48" s="31" t="e">
        <f aca="false">((dpds3(P48,U48,AC48,AA48)))</f>
        <v>#VALUE!</v>
      </c>
      <c r="AE48" s="31" t="e">
        <f aca="false">U48/AC48</f>
        <v>#VALUE!</v>
      </c>
      <c r="AF48" s="31" t="e">
        <f aca="false">ROUNDDOWN((Machfinder(AE48,S48,1.4)),6)</f>
        <v>#VALUE!</v>
      </c>
      <c r="AG48" s="31" t="e">
        <f aca="false">AC48/G$2</f>
        <v>#VALUE!</v>
      </c>
      <c r="AH48" s="31" t="n">
        <f aca="false">D48/D$3</f>
        <v>0.909090909090909</v>
      </c>
      <c r="AI48" s="31" t="e">
        <f aca="false">(2/(1.4*D$6^2))*(AG48-1)</f>
        <v>#VALUE!</v>
      </c>
      <c r="AJ48" s="31" t="e">
        <f aca="false">IF(K48=FALSE(),drag(D47,D48,E47,E48,G48,P48,U48,AB48,AA48),0)</f>
        <v>#VALUE!</v>
      </c>
      <c r="AK48" s="31"/>
      <c r="AL48" s="31"/>
      <c r="AM48" s="31"/>
      <c r="AN48" s="0" t="e">
        <f aca="false">ASIN(1/L48)</f>
        <v>#VALUE!</v>
      </c>
      <c r="AO48" s="0" t="e">
        <f aca="false">ASIN(1/S48)</f>
        <v>#VALUE!</v>
      </c>
      <c r="AP48" s="0" t="e">
        <f aca="false">2*1.4*O48/SIN(2*AN48)</f>
        <v>#VALUE!</v>
      </c>
      <c r="AQ48" s="0" t="e">
        <f aca="false">2*1.4*U48/SIN(2*AO48)</f>
        <v>#VALUE!</v>
      </c>
      <c r="AR48" s="0" t="e">
        <f aca="false">ROUNDDOWN(BILINTERP(inputtables!$A$48:$N$66,ABS(I48),D$6),8)</f>
        <v>#VALUE!</v>
      </c>
      <c r="AS48" s="0" t="e">
        <f aca="false">AT47</f>
        <v>#VALUE!</v>
      </c>
      <c r="AT48" s="0" t="e">
        <f aca="false">DeltaL(M$16:M48,U48,O48,J48,M48,L48,1.4,AB48,G48,AR48,AP48,AQ48,AS48)</f>
        <v>#VALUE!</v>
      </c>
      <c r="AU48" s="0" t="e">
        <f aca="false">IF(K48=TRUE(),Segment_Cnalpha(E47,E48,$J$2),cnalpha(D47,D48,E47,E48,G48,P48,U48,AB48,AA48,AP48,AQ48,AS48,AR48,J$3))</f>
        <v>#VALUE!</v>
      </c>
      <c r="AV48" s="31"/>
      <c r="AW48" s="0" t="e">
        <f aca="false">IF(K48=TRUE(),Segment_CMalpha(AU48,AX48),cmalpha1(D47,D48,E47,E48,G48,P48,U48,AB48,AA48,AP48,AQ48,AS48,AR48,J$3,D$4))</f>
        <v>#VALUE!</v>
      </c>
      <c r="AX48" s="0" t="e">
        <f aca="false">IF(K48=TRUE(),Segment_CP(D47,D48,E47,E48),-$D$4*AW48/AU48)</f>
        <v>#VALUE!</v>
      </c>
      <c r="BD48" s="31"/>
      <c r="BE48" s="31"/>
      <c r="BI48" s="31"/>
    </row>
    <row r="49" customFormat="false" ht="15" hidden="false" customHeight="false" outlineLevel="0" collapsed="false">
      <c r="C49" s="48" t="n">
        <f aca="false">C48+1</f>
        <v>35</v>
      </c>
      <c r="D49" s="16" t="n">
        <v>55</v>
      </c>
      <c r="E49" s="49" t="n">
        <v>1.125</v>
      </c>
      <c r="F49" s="31" t="n">
        <f aca="false">(E49-E48)</f>
        <v>0</v>
      </c>
      <c r="G49" s="31" t="n">
        <f aca="false">ROUNDDOWN(ATAN(F49/(D49-D48)),6)</f>
        <v>0</v>
      </c>
      <c r="H49" s="31" t="n">
        <f aca="false">IF(G49&gt;0,F49/SIN(G49),D49-D48)</f>
        <v>5</v>
      </c>
      <c r="I49" s="31" t="n">
        <f aca="false">ROUNDDOWN(G49*180/PI(),8)</f>
        <v>0</v>
      </c>
      <c r="J49" s="7" t="e">
        <f aca="false">ROUNDDOWN(epsilonangle(G48,G49),8)</f>
        <v>#VALUE!</v>
      </c>
      <c r="K49" s="31" t="n">
        <f aca="false">IF(K48=TRUE(),TRUE(),IF(M49="Compression",IF(G49&gt;(0.3208*(L49^2-1)^(3/2)/L49^2),TRUE(),FALSE()),FALSE()))</f>
        <v>0</v>
      </c>
      <c r="L49" s="31" t="e">
        <f aca="false">IF(ISERROR(AF48),L48,AF48)</f>
        <v>#VALUE!</v>
      </c>
      <c r="M49" s="31" t="str">
        <f aca="false">IF(G49&gt;G50,"Expansion",IF(G49=G50,"No Change","Compression"))</f>
        <v>No Change</v>
      </c>
      <c r="N49" s="31" t="e">
        <f aca="false">ROUNDDOWN(BILINTERP(inputtables!$A$26:$N$44,ABS(I49),D$6),8)</f>
        <v>#VALUE!</v>
      </c>
      <c r="O49" s="31" t="e">
        <f aca="false">AC48</f>
        <v>#VALUE!</v>
      </c>
      <c r="P49" s="52" t="e">
        <f aca="false">N49*G$2</f>
        <v>#VALUE!</v>
      </c>
      <c r="Q49" s="31" t="e">
        <f aca="false">nu(L49,1.4)</f>
        <v>#VALUE!</v>
      </c>
      <c r="R49" s="50" t="e">
        <f aca="false">IF(M49="Expansion",Q49+ABS(J49),IF(M49="Compression",Q49-ABS(J49),Q49))</f>
        <v>#VALUE!</v>
      </c>
      <c r="S49" s="31" t="e">
        <f aca="false">IF(I48&gt;=I49,ROUNDDOWN((newtonmethod(L49,R49)),6),ROUNDDOWN(M2oblique(L49,J49,1.4),6))</f>
        <v>#VALUE!</v>
      </c>
      <c r="T49" s="31" t="e">
        <f aca="false">IF(I48&gt;=I49,p1p2(L49,S49,1.4),p1p2oblique(L49,J49,1.4))</f>
        <v>#VALUE!</v>
      </c>
      <c r="U49" s="53" t="e">
        <f aca="false">ROUNDDOWN((1/T49)*O49,6)</f>
        <v>#VALUE!</v>
      </c>
      <c r="V49" s="31" t="e">
        <f aca="false">(1.4*O49*L49^2)/(2*(L49^2-1))</f>
        <v>#VALUE!</v>
      </c>
      <c r="W49" s="31" t="e">
        <f aca="false">(1.4*U49*S49^2)/(2*(S49^2-1))</f>
        <v>#VALUE!</v>
      </c>
      <c r="X49" s="31" t="e">
        <f aca="false">omega(L49,1.4)</f>
        <v>#VALUE!</v>
      </c>
      <c r="Y49" s="31" t="e">
        <f aca="false">omega(S49,1.4)</f>
        <v>#VALUE!</v>
      </c>
      <c r="Z49" s="7" t="e">
        <f aca="false">AD48</f>
        <v>#VALUE!</v>
      </c>
      <c r="AA49" s="8" t="e">
        <f aca="false">(dpds2(1.4,J49,L49,S49,O49,U49,V49,W49,E48,X49,Y49,G48,G49,Z49))</f>
        <v>#VALUE!</v>
      </c>
      <c r="AB49" s="8" t="e">
        <f aca="false">(eta(AA49,P49,U49,G49,D48,D49))</f>
        <v>#VALUE!</v>
      </c>
      <c r="AC49" s="31" t="e">
        <f aca="false">ROUNDDOWN(Pmainval(P49,U49,AB49),8)</f>
        <v>#VALUE!</v>
      </c>
      <c r="AD49" s="31" t="e">
        <f aca="false">((dpds3(P49,U49,AC49,AA49)))</f>
        <v>#VALUE!</v>
      </c>
      <c r="AE49" s="31" t="e">
        <f aca="false">U49/AC49</f>
        <v>#VALUE!</v>
      </c>
      <c r="AF49" s="31" t="e">
        <f aca="false">ROUNDDOWN((Machfinder(AE49,S49,1.4)),6)</f>
        <v>#VALUE!</v>
      </c>
      <c r="AG49" s="31" t="e">
        <f aca="false">AC49/G$2</f>
        <v>#VALUE!</v>
      </c>
      <c r="AH49" s="31" t="n">
        <f aca="false">D49/D$3</f>
        <v>1</v>
      </c>
      <c r="AI49" s="31" t="e">
        <f aca="false">(2/(1.4*D$6^2))*(AG49-1)</f>
        <v>#VALUE!</v>
      </c>
      <c r="AJ49" s="31" t="e">
        <f aca="false">IF(K49=FALSE(),drag(D48,D49,E48,E49,G49,P49,U49,AB49,AA49),0)</f>
        <v>#VALUE!</v>
      </c>
      <c r="AK49" s="31"/>
      <c r="AL49" s="31"/>
      <c r="AM49" s="31"/>
      <c r="AN49" s="0" t="e">
        <f aca="false">ASIN(1/L49)</f>
        <v>#VALUE!</v>
      </c>
      <c r="AO49" s="0" t="e">
        <f aca="false">ASIN(1/S49)</f>
        <v>#VALUE!</v>
      </c>
      <c r="AP49" s="0" t="e">
        <f aca="false">2*1.4*O49/SIN(2*AN49)</f>
        <v>#VALUE!</v>
      </c>
      <c r="AQ49" s="0" t="e">
        <f aca="false">2*1.4*U49/SIN(2*AO49)</f>
        <v>#VALUE!</v>
      </c>
      <c r="AR49" s="0" t="e">
        <f aca="false">ROUNDDOWN(BILINTERP(inputtables!$A$48:$N$66,ABS(I49),D$6),8)</f>
        <v>#VALUE!</v>
      </c>
      <c r="AS49" s="0" t="e">
        <f aca="false">AT48</f>
        <v>#VALUE!</v>
      </c>
      <c r="AT49" s="0" t="e">
        <f aca="false">DeltaL(M$16:M49,U49,O49,J49,M49,L49,1.4,AB49,G49,AR49,AP49,AQ49,AS49)</f>
        <v>#VALUE!</v>
      </c>
      <c r="AU49" s="0" t="e">
        <f aca="false">IF(K49=TRUE(),Segment_Cnalpha(E48,E49,$J$2),cnalpha(D48,D49,E48,E49,G49,P49,U49,AB49,AA49,AP49,AQ49,AS49,AR49,J$3))</f>
        <v>#VALUE!</v>
      </c>
      <c r="AV49" s="31"/>
      <c r="AW49" s="0" t="e">
        <f aca="false">IF(K49=TRUE(),Segment_CMalpha(AU49,AX49),cmalpha1(D48,D49,E48,E49,G49,P49,U49,AB49,AA49,AP49,AQ49,AS49,AR49,J$3,D$4))</f>
        <v>#VALUE!</v>
      </c>
      <c r="AX49" s="0" t="e">
        <f aca="false">IF(K49=TRUE(),Segment_CP(D48,D49,E48,E49),-$D$4*AW49/AU49)</f>
        <v>#VALUE!</v>
      </c>
      <c r="BD49" s="31"/>
      <c r="BE49" s="31"/>
      <c r="BI49" s="31"/>
    </row>
    <row r="50" customFormat="false" ht="15" hidden="false" customHeight="false" outlineLevel="0" collapsed="false">
      <c r="C50" s="48" t="n">
        <f aca="false">C49+1</f>
        <v>36</v>
      </c>
      <c r="D50" s="16"/>
      <c r="E50" s="49"/>
      <c r="F50" s="31"/>
      <c r="G50" s="31"/>
      <c r="H50" s="31"/>
      <c r="I50" s="31"/>
      <c r="J50" s="7"/>
      <c r="K50" s="7"/>
      <c r="L50" s="31"/>
      <c r="M50" s="31"/>
      <c r="N50" s="31"/>
      <c r="O50" s="31"/>
      <c r="P50" s="52"/>
      <c r="Q50" s="31"/>
      <c r="R50" s="50"/>
      <c r="S50" s="31"/>
      <c r="T50" s="31"/>
      <c r="U50" s="53"/>
      <c r="V50" s="31"/>
      <c r="W50" s="31"/>
      <c r="X50" s="31"/>
      <c r="Y50" s="31"/>
      <c r="Z50" s="7"/>
      <c r="AA50" s="8"/>
      <c r="AB50" s="8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V50" s="31"/>
      <c r="BD50" s="31"/>
      <c r="BE50" s="31"/>
      <c r="BI50" s="31"/>
    </row>
    <row r="51" customFormat="false" ht="15" hidden="false" customHeight="false" outlineLevel="0" collapsed="false">
      <c r="C51" s="48" t="n">
        <f aca="false">C50+1</f>
        <v>37</v>
      </c>
      <c r="D51" s="16"/>
      <c r="E51" s="49"/>
      <c r="F51" s="31"/>
      <c r="G51" s="31"/>
      <c r="H51" s="31"/>
      <c r="I51" s="31"/>
      <c r="J51" s="7"/>
      <c r="K51" s="7"/>
      <c r="L51" s="31"/>
      <c r="M51" s="31"/>
      <c r="N51" s="31"/>
      <c r="O51" s="31"/>
      <c r="P51" s="52"/>
      <c r="Q51" s="31"/>
      <c r="R51" s="50"/>
      <c r="S51" s="31"/>
      <c r="T51" s="31"/>
      <c r="U51" s="53"/>
      <c r="V51" s="31"/>
      <c r="W51" s="31"/>
      <c r="X51" s="31"/>
      <c r="Y51" s="31"/>
      <c r="Z51" s="7"/>
      <c r="AA51" s="8"/>
      <c r="AB51" s="8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V51" s="31"/>
      <c r="BD51" s="31"/>
      <c r="BE51" s="31"/>
      <c r="BI51" s="31"/>
    </row>
    <row r="52" customFormat="false" ht="15" hidden="false" customHeight="false" outlineLevel="0" collapsed="false">
      <c r="C52" s="48" t="n">
        <f aca="false">C51+1</f>
        <v>38</v>
      </c>
      <c r="D52" s="16"/>
      <c r="E52" s="49"/>
      <c r="F52" s="31"/>
      <c r="G52" s="31"/>
      <c r="H52" s="31"/>
      <c r="I52" s="31"/>
      <c r="J52" s="7"/>
      <c r="K52" s="7"/>
      <c r="L52" s="31"/>
      <c r="M52" s="31"/>
      <c r="N52" s="31"/>
      <c r="O52" s="31"/>
      <c r="P52" s="52"/>
      <c r="Q52" s="31"/>
      <c r="R52" s="50"/>
      <c r="S52" s="31"/>
      <c r="T52" s="31"/>
      <c r="U52" s="53"/>
      <c r="V52" s="31"/>
      <c r="W52" s="31"/>
      <c r="X52" s="31"/>
      <c r="Y52" s="31"/>
      <c r="Z52" s="7"/>
      <c r="AA52" s="8"/>
      <c r="AB52" s="8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V52" s="31"/>
      <c r="BD52" s="31"/>
      <c r="BE52" s="31"/>
      <c r="BI52" s="31"/>
    </row>
    <row r="53" customFormat="false" ht="15" hidden="false" customHeight="false" outlineLevel="0" collapsed="false">
      <c r="C53" s="48" t="n">
        <f aca="false">C52+1</f>
        <v>39</v>
      </c>
      <c r="D53" s="16"/>
      <c r="E53" s="49"/>
      <c r="F53" s="31"/>
      <c r="G53" s="31"/>
      <c r="H53" s="31"/>
      <c r="I53" s="31"/>
      <c r="J53" s="7"/>
      <c r="K53" s="7"/>
      <c r="L53" s="31"/>
      <c r="M53" s="31"/>
      <c r="N53" s="31"/>
      <c r="O53" s="31"/>
      <c r="P53" s="52"/>
      <c r="Q53" s="31"/>
      <c r="R53" s="50"/>
      <c r="S53" s="31"/>
      <c r="T53" s="31"/>
      <c r="U53" s="53"/>
      <c r="V53" s="31"/>
      <c r="W53" s="31"/>
      <c r="X53" s="31"/>
      <c r="Y53" s="31"/>
      <c r="Z53" s="7"/>
      <c r="AA53" s="8"/>
      <c r="AB53" s="8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V53" s="31"/>
      <c r="BD53" s="31"/>
      <c r="BE53" s="31"/>
    </row>
    <row r="54" customFormat="false" ht="15" hidden="false" customHeight="false" outlineLevel="0" collapsed="false">
      <c r="C54" s="48" t="n">
        <f aca="false">C53+1</f>
        <v>40</v>
      </c>
      <c r="D54" s="16"/>
      <c r="E54" s="49"/>
      <c r="F54" s="31"/>
      <c r="G54" s="31"/>
      <c r="H54" s="31"/>
      <c r="I54" s="31"/>
      <c r="J54" s="7"/>
      <c r="K54" s="7"/>
      <c r="L54" s="31"/>
      <c r="M54" s="31"/>
      <c r="N54" s="31"/>
      <c r="O54" s="31"/>
      <c r="P54" s="52"/>
      <c r="Q54" s="31"/>
      <c r="R54" s="50"/>
      <c r="S54" s="31"/>
      <c r="T54" s="31"/>
      <c r="U54" s="53"/>
      <c r="V54" s="31"/>
      <c r="W54" s="31"/>
      <c r="X54" s="31"/>
      <c r="Y54" s="31"/>
      <c r="Z54" s="7"/>
      <c r="AA54" s="8"/>
      <c r="AB54" s="8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V54" s="31"/>
      <c r="BD54" s="31"/>
      <c r="BE54" s="31"/>
    </row>
    <row r="55" customFormat="false" ht="15" hidden="false" customHeight="false" outlineLevel="0" collapsed="false">
      <c r="C55" s="48" t="n">
        <f aca="false">C54+1</f>
        <v>41</v>
      </c>
      <c r="D55" s="16"/>
      <c r="E55" s="49"/>
      <c r="F55" s="31"/>
      <c r="G55" s="31"/>
      <c r="H55" s="31"/>
      <c r="I55" s="31"/>
      <c r="J55" s="7"/>
      <c r="K55" s="7"/>
      <c r="L55" s="31"/>
      <c r="M55" s="31"/>
      <c r="N55" s="31"/>
      <c r="O55" s="31"/>
      <c r="P55" s="52"/>
      <c r="Q55" s="31"/>
      <c r="R55" s="50"/>
      <c r="S55" s="31"/>
      <c r="T55" s="31"/>
      <c r="U55" s="53"/>
      <c r="V55" s="31"/>
      <c r="W55" s="31"/>
      <c r="X55" s="31"/>
      <c r="Y55" s="31"/>
      <c r="Z55" s="7"/>
      <c r="AA55" s="8"/>
      <c r="AB55" s="8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V55" s="31"/>
      <c r="BD55" s="31"/>
      <c r="BE55" s="31"/>
    </row>
    <row r="56" customFormat="false" ht="15" hidden="false" customHeight="false" outlineLevel="0" collapsed="false">
      <c r="C56" s="48" t="n">
        <f aca="false">C55+1</f>
        <v>42</v>
      </c>
      <c r="D56" s="16"/>
      <c r="E56" s="49"/>
      <c r="F56" s="31"/>
      <c r="G56" s="31"/>
      <c r="H56" s="31"/>
      <c r="I56" s="31"/>
      <c r="J56" s="7"/>
      <c r="K56" s="7"/>
      <c r="L56" s="31"/>
      <c r="M56" s="31"/>
      <c r="N56" s="31"/>
      <c r="O56" s="31"/>
      <c r="P56" s="52"/>
      <c r="Q56" s="31"/>
      <c r="R56" s="50"/>
      <c r="S56" s="31"/>
      <c r="T56" s="31"/>
      <c r="U56" s="53"/>
      <c r="V56" s="31"/>
      <c r="W56" s="31"/>
      <c r="X56" s="31"/>
      <c r="Y56" s="31"/>
      <c r="Z56" s="7"/>
      <c r="AA56" s="8"/>
      <c r="AB56" s="8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V56" s="31"/>
      <c r="BD56" s="31"/>
      <c r="BE56" s="31"/>
    </row>
    <row r="57" customFormat="false" ht="15" hidden="false" customHeight="false" outlineLevel="0" collapsed="false">
      <c r="C57" s="48" t="n">
        <f aca="false">C56+1</f>
        <v>43</v>
      </c>
      <c r="D57" s="16"/>
      <c r="E57" s="49"/>
      <c r="F57" s="31"/>
      <c r="G57" s="31"/>
      <c r="H57" s="31"/>
      <c r="I57" s="31"/>
      <c r="J57" s="7"/>
      <c r="K57" s="7"/>
      <c r="L57" s="31"/>
      <c r="M57" s="31"/>
      <c r="N57" s="31"/>
      <c r="O57" s="31"/>
      <c r="P57" s="52"/>
      <c r="Q57" s="31"/>
      <c r="R57" s="50"/>
      <c r="S57" s="31"/>
      <c r="T57" s="31"/>
      <c r="U57" s="53"/>
      <c r="V57" s="31"/>
      <c r="W57" s="31"/>
      <c r="X57" s="31"/>
      <c r="Y57" s="31"/>
      <c r="Z57" s="7"/>
      <c r="AA57" s="8"/>
      <c r="AB57" s="8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V57" s="31"/>
      <c r="BD57" s="31"/>
      <c r="BE57" s="31"/>
    </row>
    <row r="58" customFormat="false" ht="15" hidden="false" customHeight="false" outlineLevel="0" collapsed="false">
      <c r="C58" s="48" t="n">
        <f aca="false">C57+1</f>
        <v>44</v>
      </c>
      <c r="D58" s="16"/>
      <c r="E58" s="49"/>
      <c r="F58" s="31"/>
      <c r="G58" s="31"/>
      <c r="H58" s="31"/>
      <c r="I58" s="31"/>
      <c r="J58" s="7"/>
      <c r="K58" s="7"/>
      <c r="L58" s="31"/>
      <c r="M58" s="31"/>
      <c r="N58" s="31"/>
      <c r="O58" s="31"/>
      <c r="P58" s="52"/>
      <c r="Q58" s="31"/>
      <c r="R58" s="50"/>
      <c r="S58" s="31"/>
      <c r="T58" s="31"/>
      <c r="U58" s="53"/>
      <c r="V58" s="31"/>
      <c r="W58" s="31"/>
      <c r="X58" s="31"/>
      <c r="Y58" s="31"/>
      <c r="Z58" s="7"/>
      <c r="AA58" s="8"/>
      <c r="AB58" s="8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V58" s="31"/>
      <c r="BD58" s="31"/>
      <c r="BE58" s="31"/>
    </row>
    <row r="59" customFormat="false" ht="15" hidden="false" customHeight="false" outlineLevel="0" collapsed="false">
      <c r="C59" s="48" t="n">
        <f aca="false">C58+1</f>
        <v>45</v>
      </c>
      <c r="D59" s="16"/>
      <c r="E59" s="49"/>
      <c r="F59" s="31"/>
      <c r="G59" s="31"/>
      <c r="H59" s="31"/>
      <c r="I59" s="31"/>
      <c r="J59" s="7"/>
      <c r="K59" s="7"/>
      <c r="L59" s="31"/>
      <c r="M59" s="31"/>
      <c r="N59" s="31"/>
      <c r="O59" s="31"/>
      <c r="P59" s="52"/>
      <c r="Q59" s="31"/>
      <c r="R59" s="50"/>
      <c r="S59" s="31"/>
      <c r="T59" s="31"/>
      <c r="U59" s="53"/>
      <c r="V59" s="31"/>
      <c r="W59" s="31"/>
      <c r="X59" s="31"/>
      <c r="Y59" s="31"/>
      <c r="Z59" s="7"/>
      <c r="AA59" s="8"/>
      <c r="AB59" s="8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V59" s="31"/>
      <c r="BD59" s="31"/>
      <c r="BE59" s="31"/>
    </row>
    <row r="60" customFormat="false" ht="15" hidden="false" customHeight="false" outlineLevel="0" collapsed="false">
      <c r="C60" s="48" t="n">
        <f aca="false">C59+1</f>
        <v>46</v>
      </c>
      <c r="D60" s="16"/>
      <c r="E60" s="49"/>
      <c r="F60" s="31"/>
      <c r="G60" s="31"/>
      <c r="H60" s="31"/>
      <c r="I60" s="31"/>
      <c r="J60" s="7"/>
      <c r="K60" s="7"/>
      <c r="L60" s="31"/>
      <c r="M60" s="31"/>
      <c r="N60" s="31"/>
      <c r="O60" s="31"/>
      <c r="P60" s="52"/>
      <c r="Q60" s="31"/>
      <c r="R60" s="31"/>
      <c r="S60" s="56"/>
      <c r="T60" s="31"/>
      <c r="U60" s="53"/>
      <c r="V60" s="31"/>
      <c r="W60" s="31"/>
      <c r="Y60" s="31"/>
      <c r="Z60" s="7"/>
      <c r="AA60" s="8"/>
      <c r="AB60" s="8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V60" s="31"/>
      <c r="BD60" s="31"/>
      <c r="BE60" s="31"/>
    </row>
    <row r="61" customFormat="false" ht="15" hidden="false" customHeight="true" outlineLevel="0" collapsed="false">
      <c r="C61" s="57"/>
      <c r="D61" s="46"/>
      <c r="E61" s="54"/>
      <c r="F61" s="31"/>
      <c r="G61" s="31"/>
      <c r="H61" s="31"/>
      <c r="I61" s="31"/>
      <c r="J61" s="7"/>
      <c r="K61" s="7"/>
      <c r="L61" s="31"/>
      <c r="M61" s="31"/>
      <c r="N61" s="31"/>
      <c r="O61" s="31"/>
      <c r="P61" s="52"/>
      <c r="Q61" s="31"/>
      <c r="R61" s="31"/>
      <c r="S61" s="56"/>
      <c r="T61" s="31"/>
      <c r="U61" s="53"/>
      <c r="V61" s="31"/>
      <c r="W61" s="31"/>
      <c r="X61" s="31"/>
      <c r="Y61" s="31"/>
      <c r="Z61" s="7"/>
      <c r="AA61" s="8"/>
      <c r="AB61" s="8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N61" s="58" t="s">
        <v>108</v>
      </c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</row>
    <row r="62" customFormat="false" ht="15" hidden="false" customHeight="false" outlineLevel="0" collapsed="false">
      <c r="C62" s="59"/>
      <c r="D62" s="60"/>
      <c r="E62" s="60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N62" s="61"/>
      <c r="BB62" s="62"/>
    </row>
    <row r="63" customFormat="false" ht="81.75" hidden="false" customHeight="true" outlineLevel="0" collapsed="false">
      <c r="A63" s="63" t="s">
        <v>109</v>
      </c>
      <c r="B63" s="64" t="s">
        <v>110</v>
      </c>
      <c r="C63" s="25" t="s">
        <v>111</v>
      </c>
      <c r="D63" s="25" t="s">
        <v>112</v>
      </c>
      <c r="E63" s="25" t="s">
        <v>113</v>
      </c>
      <c r="F63" s="25" t="s">
        <v>114</v>
      </c>
      <c r="G63" s="25" t="s">
        <v>115</v>
      </c>
      <c r="H63" s="25" t="s">
        <v>116</v>
      </c>
      <c r="I63" s="25" t="s">
        <v>117</v>
      </c>
      <c r="J63" s="25" t="s">
        <v>118</v>
      </c>
      <c r="K63" s="25" t="s">
        <v>119</v>
      </c>
      <c r="L63" s="25" t="s">
        <v>120</v>
      </c>
      <c r="M63" s="25" t="s">
        <v>121</v>
      </c>
      <c r="N63" s="65"/>
      <c r="O63" s="66" t="s">
        <v>122</v>
      </c>
      <c r="P63" s="25" t="s">
        <v>123</v>
      </c>
      <c r="Q63" s="25" t="s">
        <v>124</v>
      </c>
      <c r="S63" s="25" t="s">
        <v>125</v>
      </c>
      <c r="T63" s="25" t="s">
        <v>126</v>
      </c>
      <c r="U63" s="25" t="s">
        <v>127</v>
      </c>
      <c r="V63" s="25" t="s">
        <v>128</v>
      </c>
      <c r="W63" s="25" t="s">
        <v>129</v>
      </c>
      <c r="X63" s="25" t="s">
        <v>130</v>
      </c>
      <c r="Y63" s="25" t="s">
        <v>131</v>
      </c>
      <c r="Z63" s="25" t="s">
        <v>132</v>
      </c>
      <c r="AA63" s="25" t="s">
        <v>133</v>
      </c>
      <c r="AB63" s="25" t="s">
        <v>134</v>
      </c>
      <c r="AC63" s="25" t="s">
        <v>135</v>
      </c>
      <c r="AD63" s="25" t="s">
        <v>136</v>
      </c>
      <c r="AE63" s="25" t="s">
        <v>137</v>
      </c>
      <c r="AF63" s="67"/>
      <c r="AG63" s="25" t="s">
        <v>138</v>
      </c>
      <c r="AH63" s="25" t="s">
        <v>139</v>
      </c>
      <c r="AI63" s="25" t="s">
        <v>140</v>
      </c>
      <c r="AJ63" s="25" t="s">
        <v>141</v>
      </c>
      <c r="AK63" s="25" t="s">
        <v>142</v>
      </c>
      <c r="AL63" s="25" t="s">
        <v>143</v>
      </c>
      <c r="AM63" s="37"/>
      <c r="AN63" s="25" t="s">
        <v>144</v>
      </c>
      <c r="AO63" s="25" t="s">
        <v>145</v>
      </c>
      <c r="AP63" s="25" t="s">
        <v>146</v>
      </c>
      <c r="AQ63" s="25" t="s">
        <v>147</v>
      </c>
      <c r="AR63" s="25" t="s">
        <v>148</v>
      </c>
      <c r="AS63" s="25" t="s">
        <v>149</v>
      </c>
      <c r="AT63" s="25" t="s">
        <v>150</v>
      </c>
      <c r="AU63" s="26" t="s">
        <v>151</v>
      </c>
      <c r="AV63" s="25" t="s">
        <v>152</v>
      </c>
      <c r="AW63" s="25" t="s">
        <v>153</v>
      </c>
      <c r="AX63" s="25" t="s">
        <v>154</v>
      </c>
      <c r="AY63" s="68" t="s">
        <v>155</v>
      </c>
      <c r="AZ63" s="25" t="s">
        <v>156</v>
      </c>
      <c r="BA63" s="25" t="s">
        <v>157</v>
      </c>
      <c r="BB63" s="25" t="s">
        <v>158</v>
      </c>
    </row>
    <row r="64" customFormat="false" ht="15" hidden="false" customHeight="false" outlineLevel="0" collapsed="false">
      <c r="B64" s="16" t="n">
        <v>1</v>
      </c>
      <c r="C64" s="69" t="n">
        <v>4</v>
      </c>
      <c r="D64" s="69" t="n">
        <v>50</v>
      </c>
      <c r="E64" s="69" t="n">
        <v>1.125</v>
      </c>
      <c r="F64" s="69" t="n">
        <v>4</v>
      </c>
      <c r="G64" s="69" t="n">
        <v>2</v>
      </c>
      <c r="H64" s="69" t="n">
        <v>1.5</v>
      </c>
      <c r="I64" s="69" t="n">
        <v>0</v>
      </c>
      <c r="J64" s="31" t="n">
        <f aca="false">I64*PI()/180</f>
        <v>0</v>
      </c>
      <c r="K64" s="31" t="n">
        <f aca="false">H64+E64</f>
        <v>2.625</v>
      </c>
      <c r="L64" s="31" t="n">
        <f aca="false">G64/F64</f>
        <v>0.5</v>
      </c>
      <c r="M64" s="31" t="n">
        <f aca="false">H64/(F64-G64)</f>
        <v>0.75</v>
      </c>
      <c r="N64" s="70"/>
      <c r="O64" s="31" t="n">
        <f aca="false">SQRT(D6^2-1)</f>
        <v>1.24899959967968</v>
      </c>
      <c r="P64" s="31" t="n">
        <f aca="false">(F64+G64)*H64</f>
        <v>9</v>
      </c>
      <c r="Q64" s="31" t="n">
        <f aca="false">4*H64^2/P64</f>
        <v>1</v>
      </c>
      <c r="S64" s="0" t="e">
        <f aca="false">Wedge_multiplier(D6,J64,F64,G64,H64)</f>
        <v>#VALUE!</v>
      </c>
      <c r="T64" s="31" t="n">
        <f aca="false">G64/(O64*H64)</f>
        <v>1.06752102536725</v>
      </c>
      <c r="U64" s="31" t="n">
        <f aca="false">O64*M64</f>
        <v>0.93674969975976</v>
      </c>
      <c r="V64" s="31" t="e">
        <f aca="false">BILINTERP(inputtables!$A$69:$G$82,SupersonicCalculations!T64,SupersonicCalculations!U64)</f>
        <v>#VALUE!</v>
      </c>
      <c r="W64" s="32" t="e">
        <f aca="false">Cnalpha_WingAlone(C10,D10,E10,F64,G64,H64,Q64,S64,V64)</f>
        <v>#VALUE!</v>
      </c>
      <c r="X64" s="0" t="e">
        <f aca="false">HC_FinCP_aft(C10,D10,E10,F64,G64,H64,inputtables!$A$85:$G$98,T64,U64,W64)</f>
        <v>#VALUE!</v>
      </c>
      <c r="Y64" s="31" t="n">
        <f aca="false">2*((1+(E64/K64)^4)*(ATAN((K64/E64-E64/K64)/2)/2+PI()/4)-((E64/K64)^2)*((K64/E64-E64/K64)+2*ATAN(E64/K64)))/(PI()*(1-E64/K64)^2)</f>
        <v>1.37771381407452</v>
      </c>
      <c r="Z64" s="31" t="e">
        <f aca="false">C64*W64*P64/(2*J2)</f>
        <v>#VALUE!</v>
      </c>
      <c r="AA64" s="31" t="n">
        <f aca="false">(((1-(E64/K64)^2)^2)-(2/PI())*((1+(E64/K64)^4)*(ATAN((K64/E64-E64/K64)/2)/2+PI()/4)-((E64/K64)^2)*(K64/E64-E64/K64+2*ATAN(E64/K64))))/(1-E64/K64)^2</f>
        <v>0.663102512456089</v>
      </c>
      <c r="AB64" s="71" t="e">
        <f aca="false">Y64*Z64</f>
        <v>#VALUE!</v>
      </c>
      <c r="AC64" s="51" t="e">
        <f aca="false">D64+X64*F64</f>
        <v>#VALUE!</v>
      </c>
      <c r="AD64" s="31" t="e">
        <f aca="false">AB64*AC64</f>
        <v>#VALUE!</v>
      </c>
      <c r="AE64" s="72" t="e">
        <f aca="false">AB64+AA64*Z64</f>
        <v>#VALUE!</v>
      </c>
      <c r="AF64" s="73"/>
      <c r="AG64" s="55" t="n">
        <f aca="false">IF((K64&gt;2*E64),D64+F64/24+(K64-E64)*((F64-G64)/(2*H64))*((E64/(E64-K64))+(SQRT(K64*(K64-2*E64))*ACOSH((K64-E64)/E64)-K64+E64+PI()*E64/2)/(((K64-E64)*E64/SQRT(K64*(K64-2*E64)))*ACOSH((K64-E64)/E64)+(K64-E64)^2/E64-PI()*(K64-E64)/2)),AC64)</f>
        <v>50.4765486335367</v>
      </c>
      <c r="AH64" s="31" t="e">
        <f aca="false">Z64*AA64*AG64</f>
        <v>#VALUE!</v>
      </c>
      <c r="AI64" s="31" t="n">
        <f aca="false">(PI()^2*(K64/E64+1)^2/(4*(K64/E64)^2)+PI()*((K64/E64)^2+1)^2/((K64/E64)^2*(K64/E64-1)^2)*ASIN(((K64/E64)^2-1)/((K64/E64)^2+1))-2*PI()*(K64/E64+1)/((K64/E64)*(K64/E64-1))+((K64/E64)^2+1)^2/((K64/E64)^2*(K64/E64-1)^2)*(ASIN(((K64/E64)^2-1)/((K64/E64)^2+1)))^2-(4*(K64/E64+1)/((K64/E64)*(K64/E64-1)))*ASIN(((K64/E64)^2-1)/((K64/E64)^2+1))+(8/(K64/E64-1)^2)*LN(((K64/E64)^2+1)/(2*K64/E64)))/PI()^2</f>
        <v>0.936001045860519</v>
      </c>
      <c r="AJ64" s="51" t="e">
        <f aca="false">(AD64+AH64)/AE64</f>
        <v>#VALUE!</v>
      </c>
      <c r="AK64" s="51" t="e">
        <f aca="false">W64*AI64*P64/(2*J2)</f>
        <v>#VALUE!</v>
      </c>
      <c r="AL64" s="32" t="e">
        <f aca="false">Wedge_wavedrageCoef(D6,J64,F64,G64,H64)</f>
        <v>#VALUE!</v>
      </c>
      <c r="AM64" s="31"/>
      <c r="AN64" s="74" t="n">
        <f aca="false">SQRT(AN67^2+E64^2-E67^2)</f>
        <v>1.47614244279638</v>
      </c>
      <c r="AO64" s="0" t="n">
        <f aca="false">E64^2/AN64</f>
        <v>0.8573867692622</v>
      </c>
      <c r="AP64" s="0" t="e">
        <f aca="false">W67*Y67*C67/(16*PI()*(AN67-E67)*H64)</f>
        <v>#VALUE!</v>
      </c>
      <c r="AQ64" s="0" t="n">
        <f aca="false">F64*K64-G64*E64</f>
        <v>8.25</v>
      </c>
      <c r="AR64" s="0" t="n">
        <f aca="false">F64-G64</f>
        <v>2</v>
      </c>
      <c r="AS64" s="0" t="n">
        <f aca="false">AQ64*LN((K64-AN64)/(AN64-E64))-AR64*(H64+AN64*LN((K64-AN64)/(AN64-E64)))</f>
        <v>3.27954774482694</v>
      </c>
      <c r="AT64" s="0" t="n">
        <f aca="false">-(AQ64+AN64*AR64)*LN((K64+AN64)/(AN64+E64))-AR64*H64</f>
        <v>-8.10056643701783</v>
      </c>
      <c r="AU64" s="0" t="n">
        <f aca="false">-(AQ64-AR64*AO64)*LN((K64-AO64)/(E64-AO64))-AR64*H64</f>
        <v>-15.3374794970416</v>
      </c>
      <c r="AV64" s="0" t="n">
        <f aca="false">(AQ64+AR64*AO64)*LN((K64+AO64)/(E64+AO64))-AR64*H64</f>
        <v>2.61431637713856</v>
      </c>
      <c r="AW64" s="32" t="e">
        <f aca="false">AP64*(AS64+AT64+AU64+AV64)</f>
        <v>#VALUE!</v>
      </c>
      <c r="AX64" s="32" t="e">
        <f aca="false">-4*AO67*((AN67^2-E67^2)/AN67-AN64+E64^2/AN64)/J2</f>
        <v>#VALUE!</v>
      </c>
      <c r="AY64" s="51" t="e">
        <f aca="false">AE64+AW64+AX64</f>
        <v>#VALUE!</v>
      </c>
      <c r="AZ64" s="56" t="n">
        <f aca="false">(PI()^2*(K64/E64+1)^2/(4*(K64/E64)^2)+PI()*((K64/E64)^2+1)^2/((K64/E64)^2*(K64/E64-1)^2)*ASIN(((K64/E64)^2-1)/((K64/E64)^2+1))-2*PI()*(K64/E64+1)/((K64/E64)*(K64/E64-1))+((K64/E64)^2+1)^2/((K64/E64)^2*(K64/E64-1)^2)*(ASIN(((K64/E64)^2-1)/((K64/E64)^2+1)))^2-(4*(K64/E64+1)/((K64/E64)*(K64/E64-1)))*ASIN(((K64/E64)^2-1)/((K64/E64)^2+1))+(8/(K64/E64-1)^2)*LN(((K64/E64)^2+1)/(2*K64/E64)))/PI()^2</f>
        <v>0.936001045860519</v>
      </c>
      <c r="BA64" s="56" t="n">
        <f aca="false">Y64-AZ64</f>
        <v>0.441712768214004</v>
      </c>
      <c r="BB64" s="32" t="e">
        <f aca="false">(AZ64+BA64)*AK64</f>
        <v>#VALUE!</v>
      </c>
    </row>
    <row r="65" customFormat="false" ht="15" hidden="false" customHeight="false" outlineLevel="0" collapsed="false">
      <c r="C65" s="60"/>
      <c r="D65" s="37"/>
      <c r="E65" s="37"/>
      <c r="F65" s="31"/>
      <c r="G65" s="31"/>
      <c r="H65" s="31"/>
      <c r="I65" s="31"/>
      <c r="J65" s="31"/>
      <c r="K65" s="31"/>
      <c r="L65" s="31"/>
      <c r="M65" s="31"/>
      <c r="N65" s="70"/>
      <c r="O65" s="31"/>
      <c r="P65" s="31"/>
      <c r="Q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M65" s="31"/>
      <c r="AN65" s="75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Z65" s="31"/>
      <c r="BA65" s="31"/>
      <c r="BB65" s="62"/>
    </row>
    <row r="66" customFormat="false" ht="80.25" hidden="false" customHeight="true" outlineLevel="0" collapsed="false">
      <c r="A66" s="76" t="s">
        <v>159</v>
      </c>
      <c r="B66" s="77"/>
      <c r="C66" s="25" t="s">
        <v>111</v>
      </c>
      <c r="D66" s="25" t="s">
        <v>112</v>
      </c>
      <c r="E66" s="25" t="s">
        <v>113</v>
      </c>
      <c r="F66" s="25" t="s">
        <v>114</v>
      </c>
      <c r="G66" s="25" t="s">
        <v>115</v>
      </c>
      <c r="H66" s="25" t="s">
        <v>116</v>
      </c>
      <c r="I66" s="25" t="s">
        <v>117</v>
      </c>
      <c r="J66" s="25" t="s">
        <v>118</v>
      </c>
      <c r="K66" s="25" t="s">
        <v>119</v>
      </c>
      <c r="L66" s="25" t="s">
        <v>120</v>
      </c>
      <c r="M66" s="25" t="s">
        <v>121</v>
      </c>
      <c r="N66" s="65"/>
      <c r="O66" s="25" t="s">
        <v>160</v>
      </c>
      <c r="P66" s="25" t="s">
        <v>123</v>
      </c>
      <c r="Q66" s="25" t="s">
        <v>124</v>
      </c>
      <c r="S66" s="25" t="s">
        <v>125</v>
      </c>
      <c r="T66" s="25" t="s">
        <v>126</v>
      </c>
      <c r="U66" s="66" t="s">
        <v>127</v>
      </c>
      <c r="V66" s="78" t="s">
        <v>161</v>
      </c>
      <c r="W66" s="25" t="s">
        <v>129</v>
      </c>
      <c r="X66" s="25" t="s">
        <v>130</v>
      </c>
      <c r="Y66" s="25" t="s">
        <v>162</v>
      </c>
      <c r="Z66" s="25" t="s">
        <v>132</v>
      </c>
      <c r="AA66" s="25" t="s">
        <v>163</v>
      </c>
      <c r="AB66" s="25" t="s">
        <v>134</v>
      </c>
      <c r="AC66" s="25" t="s">
        <v>135</v>
      </c>
      <c r="AD66" s="25" t="s">
        <v>136</v>
      </c>
      <c r="AE66" s="25" t="s">
        <v>137</v>
      </c>
      <c r="AF66" s="67"/>
      <c r="AG66" s="25" t="s">
        <v>138</v>
      </c>
      <c r="AH66" s="25" t="s">
        <v>139</v>
      </c>
      <c r="AI66" s="25" t="s">
        <v>140</v>
      </c>
      <c r="AJ66" s="25" t="s">
        <v>141</v>
      </c>
      <c r="AK66" s="25" t="s">
        <v>142</v>
      </c>
      <c r="AL66" s="25" t="s">
        <v>143</v>
      </c>
      <c r="AM66" s="31"/>
      <c r="AN66" s="79" t="s">
        <v>164</v>
      </c>
      <c r="AO66" s="79" t="s">
        <v>165</v>
      </c>
      <c r="AP66" s="31"/>
      <c r="AQ66" s="31"/>
      <c r="AR66" s="31"/>
      <c r="AS66" s="31"/>
      <c r="AT66" s="31"/>
      <c r="AU66" s="31"/>
      <c r="AV66" s="31"/>
      <c r="AW66" s="31"/>
      <c r="AX66" s="31"/>
      <c r="AZ66" s="25" t="s">
        <v>156</v>
      </c>
      <c r="BA66" s="25" t="s">
        <v>157</v>
      </c>
      <c r="BB66" s="25" t="s">
        <v>158</v>
      </c>
    </row>
    <row r="67" customFormat="false" ht="15" hidden="false" customHeight="false" outlineLevel="0" collapsed="false">
      <c r="C67" s="69" t="n">
        <v>4</v>
      </c>
      <c r="D67" s="69" t="n">
        <v>25</v>
      </c>
      <c r="E67" s="69" t="n">
        <v>1</v>
      </c>
      <c r="F67" s="69" t="n">
        <v>4</v>
      </c>
      <c r="G67" s="69" t="n">
        <v>1.5</v>
      </c>
      <c r="H67" s="69" t="n">
        <v>1.5</v>
      </c>
      <c r="I67" s="69" t="n">
        <v>0</v>
      </c>
      <c r="J67" s="31" t="n">
        <f aca="false">I67*PI()/180</f>
        <v>0</v>
      </c>
      <c r="K67" s="31" t="n">
        <f aca="false">H67+E67</f>
        <v>2.5</v>
      </c>
      <c r="L67" s="31" t="n">
        <f aca="false">G67/F67</f>
        <v>0.375</v>
      </c>
      <c r="M67" s="31" t="n">
        <f aca="false">H67/(F67-G67)</f>
        <v>0.6</v>
      </c>
      <c r="N67" s="31"/>
      <c r="O67" s="31" t="n">
        <f aca="false">SQRT(D6^2-1)</f>
        <v>1.24899959967968</v>
      </c>
      <c r="P67" s="31" t="n">
        <f aca="false">(F67+G67)*H67</f>
        <v>8.25</v>
      </c>
      <c r="Q67" s="31" t="n">
        <f aca="false">4*H67^2/P67</f>
        <v>1.09090909090909</v>
      </c>
      <c r="S67" s="0" t="e">
        <f aca="false">Wedge_multiplier(D6,J67,F67,G67,H67)</f>
        <v>#VALUE!</v>
      </c>
      <c r="T67" s="31" t="n">
        <f aca="false">G67/(O67*H67)</f>
        <v>0.800640769025436</v>
      </c>
      <c r="U67" s="31" t="n">
        <f aca="false">O67*M67</f>
        <v>0.749399759807808</v>
      </c>
      <c r="V67" s="31" t="e">
        <f aca="false">BILINTERP(inputtables!$A$69:$G$82,SupersonicCalculations!T67,SupersonicCalculations!U67)</f>
        <v>#VALUE!</v>
      </c>
      <c r="W67" s="32" t="e">
        <f aca="false">Cnalpha_WingAlone(F10,G10,H10,F67,G67,H67,Q67,S67,V67)</f>
        <v>#VALUE!</v>
      </c>
      <c r="X67" s="0" t="e">
        <f aca="false">HC_FinCP_aft(F10,G10,H10,F67,G67,H67,inputtables!$A$85:$G$98,T67,U67,W67)</f>
        <v>#VALUE!</v>
      </c>
      <c r="Y67" s="31" t="n">
        <f aca="false">2*((1+(E67/K67)^4)*(ATAN((K67/E67-E67/K67)/2)/2+PI()/4)-((E67/K67)^2)*((K67/E67-E67/K67)+2*ATAN(E67/K67)))/(PI()*(1-E67/K67)^2)</f>
        <v>1.34927905798671</v>
      </c>
      <c r="Z67" s="31" t="e">
        <f aca="false">C67*W67*P67/(2*J2)</f>
        <v>#VALUE!</v>
      </c>
      <c r="AA67" s="31" t="n">
        <f aca="false">(((1-(E67/K67)^2)^2)-(2/PI())*((1+(E67/K67)^4)*(ATAN((K67/E67-E67/K67)/2)/2+PI()/4)-((E67/K67)^2)*(K67/E67-E67/K67+2*ATAN(E67/K67))))/(1-E67/K67)^2</f>
        <v>0.610720942013292</v>
      </c>
      <c r="AB67" s="71" t="e">
        <f aca="false">Y67*Z67</f>
        <v>#VALUE!</v>
      </c>
      <c r="AC67" s="51" t="e">
        <f aca="false">D67+X67*F67</f>
        <v>#VALUE!</v>
      </c>
      <c r="AD67" s="31" t="e">
        <f aca="false">AB67*AC67</f>
        <v>#VALUE!</v>
      </c>
      <c r="AE67" s="72" t="e">
        <f aca="false">AB67+AA67*Z67</f>
        <v>#VALUE!</v>
      </c>
      <c r="AF67" s="73"/>
      <c r="AG67" s="55" t="n">
        <f aca="false">IF((K67&gt;2*E67),D67+F67/2+(K67-E67)*((F67-G67)/(2*H67))*((E67/(E67-K67))+(SQRT(K67*(K67-2*E67))*ACOSH((K67-E67)/E67)-K67+E67+PI()*E67/2)/(((K67-E67)*E67/SQRT(K67*(K67-2*E67)))*ACOSH((K67-E67)/E67)+(K67-E67)^2/E67-PI()*(K67-E67)/2)),AC67)</f>
        <v>27.3763580054172</v>
      </c>
      <c r="AH67" s="31" t="e">
        <f aca="false">Z67*AA67*AG67</f>
        <v>#VALUE!</v>
      </c>
      <c r="AI67" s="31" t="n">
        <f aca="false">(PI()^2*(K67/E67+1)^2/(4*(K67/E67)^2)+PI()*((K67/E67)^2+1)^2/((K67/E67)^2*(K67/E67-1)^2)*ASIN(((K67/E67)^2-1)/((K67/E67)^2+1))-2*PI()*(K67/E67+1)/((K67/E67)*(K67/E67-1))+((K67/E67)^2+1)^2/((K67/E67)^2*(K67/E67-1)^2)*(ASIN(((K67/E67)^2-1)/((K67/E67)^2+1)))^2-(4*(K67/E67+1)/((K67/E67)*(K67/E67-1)))*ASIN(((K67/E67)^2-1)/((K67/E67)^2+1))+(8/(K67/E67-1)^2)*LN(((K67/E67)^2+1)/(2*K67/E67)))/PI()^2</f>
        <v>0.935165435628994</v>
      </c>
      <c r="AJ67" s="51" t="e">
        <f aca="false">(AD67+AH67)/AE67</f>
        <v>#VALUE!</v>
      </c>
      <c r="AK67" s="51" t="e">
        <f aca="false">W67*AI67*P67/(2*J2)</f>
        <v>#VALUE!</v>
      </c>
      <c r="AL67" s="32" t="e">
        <f aca="false">Wedge_wavedrageCoef(D6,J67,F67,G67,H67)</f>
        <v>#VALUE!</v>
      </c>
      <c r="AM67" s="31"/>
      <c r="AN67" s="31" t="n">
        <f aca="false">E67+(H67-E67)*(((PI()/4-PI()*(E67/H67)^2/4-(E67/H67))+((1+(E67/H67)^2)^2/(2*(1-(E67/H67)^2)))*(ASIN((1-(E67/H67)^2)/(1+(E67/H67)^2))))/(2*(1-(E67/H67))))</f>
        <v>1.3832467283261</v>
      </c>
      <c r="AO67" s="31" t="e">
        <f aca="false">Y67*Z67*0.5*P67/(2*(AN67-E67))</f>
        <v>#VALUE!</v>
      </c>
      <c r="AP67" s="31"/>
      <c r="AQ67" s="31"/>
      <c r="AR67" s="31"/>
      <c r="AS67" s="31"/>
      <c r="AT67" s="31"/>
      <c r="AU67" s="31"/>
      <c r="AV67" s="31"/>
      <c r="AW67" s="31"/>
      <c r="AX67" s="31"/>
      <c r="AZ67" s="4" t="n">
        <f aca="false">(PI()^2*(K67/E67+1)^2/(4*(K67/E67)^2)+PI()*((K67/E67)^2+1)^2/((K67/E67)^2*(K67/E67-1)^2)*ASIN(((K67/E67)^2-1)/((K67/E67)^2+1))-2*PI()*(K67/E67+1)/((K67/E67)*(K67/E67-1))+((K67/E67)^2+1)^2/((K67/E67)^2*(K67/E67-1)^2)*(ASIN(((K67/E67)^2-1)/((K67/E67)^2+1)))^2-(4*(K67/E67+1)/((K67/E67)*(K67/E67-1)))*ASIN(((K67/E67)^2-1)/((K67/E67)^2+1))+(8/(K67/E67-1)^2)*LN(((K67/E67)^2+1)/(2*K67/E67)))/PI()^2</f>
        <v>0.935165435628994</v>
      </c>
      <c r="BA67" s="4" t="n">
        <f aca="false">Y67-AZ67</f>
        <v>0.414113622357714</v>
      </c>
      <c r="BB67" s="32" t="e">
        <f aca="false">(AZ67+BA67)*AK67</f>
        <v>#VALUE!</v>
      </c>
    </row>
    <row r="68" customFormat="false" ht="15" hidden="false" customHeight="false" outlineLevel="0" collapsed="false">
      <c r="AV68" s="31"/>
      <c r="AW68" s="31"/>
    </row>
    <row r="69" customFormat="false" ht="15" hidden="false" customHeight="false" outlineLevel="0" collapsed="false">
      <c r="C69" s="37"/>
      <c r="D69" s="37"/>
      <c r="E69" s="37"/>
      <c r="F69" s="31"/>
      <c r="G69" s="31"/>
      <c r="H69" s="31"/>
      <c r="I69" s="31"/>
      <c r="J69" s="31"/>
      <c r="K69" s="31"/>
      <c r="L69" s="31"/>
      <c r="M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</row>
    <row r="70" customFormat="false" ht="15" hidden="false" customHeight="false" outlineLevel="0" collapsed="false">
      <c r="C70" s="37"/>
      <c r="D70" s="37"/>
      <c r="E70" s="80"/>
      <c r="F70" s="31"/>
      <c r="G70" s="31"/>
      <c r="H70" s="31"/>
      <c r="I70" s="31"/>
      <c r="J70" s="31"/>
      <c r="K70" s="31"/>
      <c r="L70" s="31"/>
      <c r="M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</row>
    <row r="71" customFormat="false" ht="15" hidden="false" customHeight="true" outlineLevel="0" collapsed="false">
      <c r="A71" s="81" t="s">
        <v>166</v>
      </c>
      <c r="B71" s="81"/>
      <c r="C71" s="81"/>
      <c r="D71" s="81"/>
      <c r="E71" s="81"/>
      <c r="F71" s="81"/>
      <c r="G71" s="81"/>
      <c r="H71" s="81"/>
      <c r="I71" s="81"/>
      <c r="J71" s="81"/>
      <c r="K71" s="31"/>
      <c r="L71" s="31"/>
      <c r="M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</row>
    <row r="72" customFormat="false" ht="47.25" hidden="false" customHeight="false" outlineLevel="0" collapsed="false">
      <c r="A72" s="25" t="s">
        <v>167</v>
      </c>
      <c r="B72" s="78" t="s">
        <v>168</v>
      </c>
      <c r="C72" s="78" t="s">
        <v>169</v>
      </c>
      <c r="D72" s="25" t="s">
        <v>101</v>
      </c>
      <c r="E72" s="25" t="s">
        <v>103</v>
      </c>
      <c r="F72" s="25" t="s">
        <v>104</v>
      </c>
      <c r="G72" s="42"/>
      <c r="H72" s="25" t="s">
        <v>170</v>
      </c>
      <c r="I72" s="25" t="s">
        <v>171</v>
      </c>
      <c r="J72" s="25" t="s">
        <v>106</v>
      </c>
      <c r="K72" s="31"/>
      <c r="L72" s="31"/>
      <c r="M72" s="31"/>
      <c r="R72" s="31"/>
      <c r="S72" s="31"/>
      <c r="T72" s="31"/>
      <c r="U72" s="31"/>
      <c r="AE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customFormat="false" ht="15" hidden="false" customHeight="false" outlineLevel="0" collapsed="false">
      <c r="A73" s="51" t="e">
        <f aca="false">AL64</f>
        <v>#VALUE!</v>
      </c>
      <c r="B73" s="51" t="str">
        <f aca="false">IF(B64=2,AL67,"No 2nd Stage")</f>
        <v>No 2nd Stage</v>
      </c>
      <c r="C73" s="51" t="e">
        <f aca="false">AK14</f>
        <v>#VALUE!</v>
      </c>
      <c r="D73" s="32" t="e">
        <f aca="false">AV14</f>
        <v>#VALUE!</v>
      </c>
      <c r="E73" s="51" t="e">
        <f aca="false">AY14</f>
        <v>#VALUE!</v>
      </c>
      <c r="F73" s="51" t="e">
        <f aca="false">AZ14</f>
        <v>#VALUE!</v>
      </c>
      <c r="H73" s="82" t="e">
        <f aca="false">IF(ISNUMBER(A73),A73+IF(ISNUMBER(B73),B73+C73,C73),C73)</f>
        <v>#VALUE!</v>
      </c>
      <c r="I73" s="51" t="e">
        <f aca="false">BB14</f>
        <v>#VALUE!</v>
      </c>
      <c r="J73" s="51" t="e">
        <f aca="false">BC14</f>
        <v>#VALUE!</v>
      </c>
      <c r="K73" s="31"/>
      <c r="L73" s="31"/>
      <c r="M73" s="31"/>
      <c r="N73" s="31"/>
      <c r="O73" s="31"/>
      <c r="P73" s="31"/>
      <c r="Q73" s="31"/>
      <c r="T73" s="31"/>
      <c r="U73" s="31"/>
      <c r="V73" s="31"/>
      <c r="X73" s="83"/>
      <c r="Y73" s="83"/>
      <c r="Z73" s="83"/>
      <c r="AA73" s="83"/>
      <c r="AB73" s="83"/>
      <c r="AC73" s="83"/>
      <c r="AD73" s="83"/>
      <c r="AE73" s="83"/>
      <c r="AG73" s="31"/>
      <c r="AH73" s="31"/>
      <c r="AI73" s="31"/>
      <c r="AJ73" s="31"/>
    </row>
    <row r="74" customFormat="false" ht="15" hidden="false" customHeight="false" outlineLevel="0" collapsed="false">
      <c r="E74" s="37"/>
      <c r="F74" s="31"/>
      <c r="G74" s="31"/>
      <c r="H74" s="31"/>
      <c r="I74" s="31"/>
      <c r="J74" s="31"/>
      <c r="K74" s="31"/>
      <c r="L74" s="31"/>
      <c r="M74" s="31"/>
      <c r="T74" s="31"/>
      <c r="U74" s="31"/>
      <c r="X74" s="83"/>
      <c r="Y74" s="83"/>
      <c r="Z74" s="83"/>
      <c r="AA74" s="83"/>
      <c r="AB74" s="83"/>
      <c r="AC74" s="83"/>
      <c r="AD74" s="83"/>
      <c r="AE74" s="83"/>
      <c r="AG74" s="31"/>
      <c r="AH74" s="31"/>
      <c r="AI74" s="31"/>
      <c r="AJ74" s="31"/>
    </row>
    <row r="75" customFormat="false" ht="15" hidden="false" customHeight="false" outlineLevel="0" collapsed="false">
      <c r="C75" s="84"/>
      <c r="D75" s="37"/>
      <c r="E75" s="85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T75" s="31"/>
      <c r="V75" s="31"/>
      <c r="X75" s="83"/>
      <c r="Y75" s="83"/>
      <c r="Z75" s="83"/>
      <c r="AA75" s="83"/>
      <c r="AB75" s="83"/>
      <c r="AC75" s="83"/>
      <c r="AD75" s="83"/>
      <c r="AE75" s="83"/>
      <c r="AG75" s="31"/>
      <c r="AH75" s="31"/>
      <c r="AI75" s="31"/>
      <c r="AJ75" s="31"/>
    </row>
    <row r="76" customFormat="false" ht="15" hidden="false" customHeight="false" outlineLevel="0" collapsed="false">
      <c r="C76" s="84"/>
      <c r="D76" s="2"/>
      <c r="E76" s="85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U76" s="31"/>
      <c r="W76" s="31"/>
      <c r="AA76" s="31"/>
      <c r="AE76" s="31"/>
      <c r="AG76" s="31"/>
      <c r="AH76" s="31"/>
      <c r="AI76" s="31"/>
      <c r="AJ76" s="31"/>
    </row>
    <row r="77" customFormat="false" ht="15" hidden="false" customHeight="false" outlineLevel="0" collapsed="false">
      <c r="C77" s="84"/>
      <c r="D77" s="2"/>
      <c r="E77" s="85"/>
      <c r="F77" s="31"/>
      <c r="G77" s="31"/>
      <c r="H77" s="31"/>
      <c r="I77" s="31"/>
      <c r="J77" s="31"/>
      <c r="K77" s="31"/>
      <c r="L77" s="31"/>
      <c r="M77" s="31"/>
      <c r="N77" s="31"/>
      <c r="O77" s="85"/>
      <c r="P77" s="31"/>
      <c r="Q77" s="31"/>
      <c r="T77" s="31"/>
      <c r="U77" s="31"/>
      <c r="V77" s="31"/>
      <c r="W77" s="86"/>
      <c r="AA77" s="31"/>
      <c r="AE77" s="31"/>
      <c r="AG77" s="31"/>
      <c r="AH77" s="31"/>
      <c r="AI77" s="31"/>
      <c r="AJ77" s="31"/>
    </row>
    <row r="78" customFormat="false" ht="15" hidden="false" customHeight="false" outlineLevel="0" collapsed="false">
      <c r="C78" s="84"/>
      <c r="D78" s="2"/>
      <c r="E78" s="85"/>
      <c r="F78" s="31"/>
      <c r="G78" s="31"/>
      <c r="H78" s="31"/>
      <c r="I78" s="31"/>
      <c r="J78" s="31"/>
      <c r="K78" s="31"/>
      <c r="L78" s="31"/>
      <c r="M78" s="31"/>
      <c r="T78" s="31"/>
      <c r="U78" s="31"/>
      <c r="AA78" s="85"/>
      <c r="AE78" s="85"/>
      <c r="AG78" s="31"/>
      <c r="AH78" s="31"/>
      <c r="AI78" s="31"/>
      <c r="AJ78" s="31"/>
    </row>
    <row r="79" customFormat="false" ht="15" hidden="false" customHeight="false" outlineLevel="0" collapsed="false">
      <c r="C79" s="84"/>
      <c r="D79" s="2"/>
      <c r="E79" s="85"/>
      <c r="F79" s="31"/>
      <c r="G79" s="31"/>
      <c r="H79" s="31"/>
      <c r="I79" s="31"/>
      <c r="J79" s="31"/>
      <c r="K79" s="31"/>
      <c r="L79" s="31"/>
      <c r="M79" s="31"/>
      <c r="N79" s="31"/>
      <c r="O79" s="85"/>
      <c r="P79" s="31"/>
      <c r="Q79" s="31"/>
      <c r="T79" s="31"/>
      <c r="U79" s="31"/>
      <c r="W79" s="31"/>
      <c r="AA79" s="85"/>
      <c r="AE79" s="85"/>
      <c r="AG79" s="31"/>
      <c r="AH79" s="31"/>
      <c r="AI79" s="31"/>
      <c r="AJ79" s="31"/>
    </row>
    <row r="80" customFormat="false" ht="15" hidden="false" customHeight="false" outlineLevel="0" collapsed="false">
      <c r="C80" s="84"/>
      <c r="D80" s="2"/>
      <c r="F80" s="31"/>
      <c r="G80" s="31"/>
      <c r="H80" s="31"/>
      <c r="I80" s="31"/>
      <c r="J80" s="31"/>
      <c r="K80" s="31"/>
      <c r="L80" s="31"/>
      <c r="M80" s="31"/>
      <c r="N80" s="31"/>
      <c r="O80" s="85"/>
      <c r="P80" s="31"/>
      <c r="Q80" s="31"/>
      <c r="T80" s="31"/>
      <c r="U80" s="31"/>
      <c r="AA80" s="85"/>
      <c r="AE80" s="85"/>
      <c r="AG80" s="31"/>
      <c r="AH80" s="31"/>
      <c r="AI80" s="31"/>
      <c r="AJ80" s="31"/>
    </row>
    <row r="81" customFormat="false" ht="15" hidden="false" customHeight="false" outlineLevel="0" collapsed="false">
      <c r="T81" s="31"/>
      <c r="U81" s="31"/>
      <c r="W81" s="31"/>
      <c r="AA81" s="85"/>
      <c r="AE81" s="85"/>
      <c r="AG81" s="31"/>
      <c r="AH81" s="31"/>
      <c r="AI81" s="31"/>
      <c r="AJ81" s="31"/>
    </row>
    <row r="82" customFormat="false" ht="15" hidden="false" customHeight="false" outlineLevel="0" collapsed="false">
      <c r="T82" s="31"/>
      <c r="U82" s="31"/>
      <c r="AA82" s="85"/>
      <c r="AE82" s="85"/>
      <c r="AG82" s="31"/>
      <c r="AH82" s="31"/>
      <c r="AI82" s="31"/>
      <c r="AJ82" s="31"/>
    </row>
    <row r="83" customFormat="false" ht="15" hidden="false" customHeight="false" outlineLevel="0" collapsed="false">
      <c r="T83" s="31"/>
      <c r="U83" s="31"/>
      <c r="W83" s="31"/>
      <c r="AA83" s="85"/>
      <c r="AE83" s="85"/>
      <c r="AG83" s="31"/>
      <c r="AH83" s="31"/>
      <c r="AI83" s="31"/>
      <c r="AJ83" s="31"/>
    </row>
    <row r="84" customFormat="false" ht="15" hidden="false" customHeight="false" outlineLevel="0" collapsed="false">
      <c r="S84" s="2"/>
      <c r="T84" s="31"/>
      <c r="U84" s="31"/>
      <c r="AA84" s="85"/>
      <c r="AE84" s="85"/>
      <c r="AG84" s="31"/>
      <c r="AH84" s="31"/>
      <c r="AI84" s="31"/>
      <c r="AJ84" s="31"/>
    </row>
    <row r="85" customFormat="false" ht="15" hidden="false" customHeight="false" outlineLevel="0" collapsed="false">
      <c r="E85" s="85"/>
      <c r="S85" s="2"/>
      <c r="T85" s="31"/>
      <c r="U85" s="31"/>
      <c r="W85" s="31"/>
      <c r="AA85" s="85"/>
      <c r="AE85" s="85"/>
      <c r="AG85" s="31"/>
      <c r="AH85" s="31"/>
      <c r="AI85" s="31"/>
      <c r="AJ85" s="31"/>
    </row>
    <row r="86" customFormat="false" ht="15" hidden="false" customHeight="false" outlineLevel="0" collapsed="false">
      <c r="C86" s="87"/>
      <c r="E86" s="88"/>
      <c r="F86" s="31"/>
      <c r="G86" s="31"/>
      <c r="H86" s="7"/>
      <c r="I86" s="31"/>
      <c r="J86" s="31"/>
      <c r="K86" s="31"/>
      <c r="L86" s="31"/>
      <c r="M86" s="31"/>
      <c r="N86" s="31"/>
      <c r="O86" s="31"/>
      <c r="P86" s="31"/>
      <c r="Q86" s="31"/>
      <c r="S86" s="85"/>
      <c r="T86" s="31"/>
      <c r="U86" s="31"/>
      <c r="AA86" s="85"/>
      <c r="AE86" s="85"/>
      <c r="AG86" s="31"/>
      <c r="AH86" s="31"/>
      <c r="AI86" s="31"/>
      <c r="AJ86" s="31"/>
    </row>
    <row r="87" customFormat="false" ht="15" hidden="false" customHeight="false" outlineLevel="0" collapsed="false">
      <c r="C87" s="89"/>
      <c r="D87" s="88"/>
      <c r="F87" s="88"/>
      <c r="G87" s="47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90"/>
      <c r="U87" s="90"/>
      <c r="W87" s="31"/>
      <c r="AA87" s="85"/>
      <c r="AE87" s="85"/>
      <c r="AG87" s="31"/>
      <c r="AH87" s="31"/>
      <c r="AI87" s="31"/>
      <c r="AJ87" s="31"/>
    </row>
    <row r="88" customFormat="false" ht="15" hidden="false" customHeight="false" outlineLevel="0" collapsed="false">
      <c r="W88" s="2"/>
      <c r="X88" s="2"/>
      <c r="Y88" s="2"/>
      <c r="Z88" s="2"/>
      <c r="AA88" s="2"/>
      <c r="AB88" s="2"/>
      <c r="AC88" s="2"/>
      <c r="AD88" s="2"/>
      <c r="AE88" s="90"/>
      <c r="AF88" s="2"/>
      <c r="AG88" s="31"/>
      <c r="AH88" s="31"/>
      <c r="AI88" s="31"/>
      <c r="AJ88" s="31"/>
    </row>
    <row r="89" customFormat="false" ht="15" hidden="false" customHeight="false" outlineLevel="0" collapsed="false">
      <c r="W89" s="2"/>
      <c r="X89" s="2"/>
      <c r="Y89" s="2"/>
      <c r="Z89" s="2"/>
      <c r="AA89" s="2"/>
      <c r="AB89" s="2"/>
      <c r="AC89" s="2"/>
      <c r="AD89" s="2"/>
      <c r="AE89" s="90"/>
      <c r="AF89" s="2"/>
      <c r="AG89" s="31"/>
      <c r="AH89" s="31"/>
    </row>
    <row r="90" customFormat="false" ht="15" hidden="false" customHeight="false" outlineLevel="0" collapsed="false">
      <c r="W90" s="2"/>
      <c r="X90" s="2"/>
      <c r="Y90" s="2"/>
      <c r="Z90" s="2"/>
      <c r="AA90" s="2"/>
      <c r="AB90" s="2"/>
      <c r="AC90" s="2"/>
      <c r="AD90" s="2"/>
      <c r="AE90" s="90"/>
      <c r="AF90" s="2"/>
      <c r="AG90" s="31"/>
      <c r="AH90" s="31"/>
    </row>
    <row r="91" customFormat="false" ht="15" hidden="false" customHeight="false" outlineLevel="0" collapsed="false">
      <c r="W91" s="2"/>
      <c r="X91" s="2"/>
      <c r="Y91" s="2"/>
      <c r="Z91" s="2"/>
      <c r="AA91" s="2"/>
      <c r="AB91" s="2"/>
      <c r="AC91" s="2"/>
      <c r="AD91" s="2"/>
      <c r="AE91" s="90"/>
      <c r="AF91" s="2"/>
      <c r="AG91" s="31"/>
      <c r="AH91" s="31"/>
    </row>
    <row r="92" customFormat="false" ht="15" hidden="false" customHeight="false" outlineLevel="0" collapsed="false">
      <c r="AE92" s="88"/>
      <c r="AG92" s="31"/>
      <c r="AH92" s="31"/>
    </row>
    <row r="93" customFormat="false" ht="15" hidden="false" customHeight="false" outlineLevel="0" collapsed="false">
      <c r="AE93" s="88"/>
    </row>
    <row r="94" customFormat="false" ht="15" hidden="false" customHeight="false" outlineLevel="0" collapsed="false">
      <c r="AE94" s="88"/>
    </row>
    <row r="95" customFormat="false" ht="15" hidden="false" customHeight="false" outlineLevel="0" collapsed="false">
      <c r="AE95" s="88"/>
    </row>
    <row r="96" customFormat="false" ht="15" hidden="false" customHeight="false" outlineLevel="0" collapsed="false">
      <c r="AE96" s="88"/>
    </row>
    <row r="97" customFormat="false" ht="15" hidden="false" customHeight="false" outlineLevel="0" collapsed="false">
      <c r="AE97" s="88"/>
    </row>
    <row r="98" customFormat="false" ht="15" hidden="false" customHeight="false" outlineLevel="0" collapsed="false">
      <c r="AE98" s="88"/>
    </row>
    <row r="99" customFormat="false" ht="15" hidden="false" customHeight="false" outlineLevel="0" collapsed="false">
      <c r="AE99" s="88"/>
    </row>
    <row r="100" customFormat="false" ht="15" hidden="false" customHeight="false" outlineLevel="0" collapsed="false">
      <c r="AE100" s="88"/>
    </row>
    <row r="101" customFormat="false" ht="15" hidden="false" customHeight="false" outlineLevel="0" collapsed="false">
      <c r="AE101" s="88"/>
    </row>
    <row r="102" customFormat="false" ht="15" hidden="false" customHeight="false" outlineLevel="0" collapsed="false">
      <c r="AE102" s="88"/>
    </row>
    <row r="103" customFormat="false" ht="15" hidden="false" customHeight="false" outlineLevel="0" collapsed="false">
      <c r="AE103" s="88"/>
    </row>
    <row r="104" customFormat="false" ht="15" hidden="false" customHeight="false" outlineLevel="0" collapsed="false">
      <c r="AE104" s="88"/>
    </row>
    <row r="105" customFormat="false" ht="15" hidden="false" customHeight="false" outlineLevel="0" collapsed="false">
      <c r="AE105" s="88"/>
    </row>
    <row r="106" customFormat="false" ht="15" hidden="false" customHeight="false" outlineLevel="0" collapsed="false">
      <c r="AE106" s="88"/>
    </row>
    <row r="107" customFormat="false" ht="15" hidden="false" customHeight="false" outlineLevel="0" collapsed="false">
      <c r="AE107" s="88"/>
    </row>
  </sheetData>
  <mergeCells count="4">
    <mergeCell ref="AN61:BB61"/>
    <mergeCell ref="A71:J71"/>
    <mergeCell ref="X73:AA75"/>
    <mergeCell ref="AB73:AE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3" activeCellId="0" sqref="A13"/>
    </sheetView>
  </sheetViews>
  <sheetFormatPr defaultColWidth="8.96484375" defaultRowHeight="15" customHeight="false" zeroHeight="false" outlineLevelRow="0" outlineLevelCol="0"/>
  <cols>
    <col collapsed="false" customWidth="true" hidden="false" outlineLevel="0" max="2" min="1" style="0" width="11.42"/>
    <col collapsed="false" customWidth="true" hidden="false" outlineLevel="0" max="3" min="3" style="0" width="17.56"/>
    <col collapsed="false" customWidth="true" hidden="false" outlineLevel="0" max="4" min="4" style="0" width="11.42"/>
    <col collapsed="false" customWidth="true" hidden="false" outlineLevel="0" max="5" min="5" style="0" width="14.28"/>
    <col collapsed="false" customWidth="true" hidden="false" outlineLevel="0" max="6" min="6" style="0" width="14.56"/>
    <col collapsed="false" customWidth="true" hidden="false" outlineLevel="0" max="7" min="7" style="0" width="13.28"/>
    <col collapsed="false" customWidth="true" hidden="false" outlineLevel="0" max="8" min="8" style="0" width="14.14"/>
    <col collapsed="false" customWidth="true" hidden="false" outlineLevel="0" max="9" min="9" style="0" width="11.99"/>
    <col collapsed="false" customWidth="true" hidden="false" outlineLevel="0" max="10" min="10" style="0" width="13.41"/>
    <col collapsed="false" customWidth="true" hidden="false" outlineLevel="0" max="11" min="11" style="0" width="19.14"/>
    <col collapsed="false" customWidth="true" hidden="false" outlineLevel="0" max="13" min="12" style="0" width="13.14"/>
    <col collapsed="false" customWidth="true" hidden="false" outlineLevel="0" max="14" min="14" style="0" width="14.99"/>
  </cols>
  <sheetData>
    <row r="1" customFormat="false" ht="15" hidden="false" customHeight="false" outlineLevel="0" collapsed="false">
      <c r="A1" s="0" t="s">
        <v>172</v>
      </c>
    </row>
    <row r="2" customFormat="false" ht="15" hidden="false" customHeight="false" outlineLevel="0" collapsed="false">
      <c r="A2" s="0" t="n">
        <v>1.1</v>
      </c>
      <c r="B2" s="91" t="n">
        <f aca="false">(PI()*(A2^2-1)^1.5/(3.24*A2^3*(1-EXP(-5.5*(A2-1)))))*180/PI()</f>
        <v>9.49481456829075</v>
      </c>
    </row>
    <row r="3" customFormat="false" ht="15" hidden="false" customHeight="false" outlineLevel="0" collapsed="false">
      <c r="A3" s="0" t="n">
        <v>1.2</v>
      </c>
      <c r="B3" s="91" t="n">
        <f aca="false">(PI()*(A3^2-1)^1.5/(3.24*A3^3*(1-EXP(-5.5*(A3-1)))))*180/PI()</f>
        <v>14.0654297568152</v>
      </c>
    </row>
    <row r="4" customFormat="false" ht="15" hidden="false" customHeight="false" outlineLevel="0" collapsed="false">
      <c r="A4" s="0" t="n">
        <v>1.3</v>
      </c>
      <c r="B4" s="91" t="n">
        <f aca="false">(PI()*(A4^2-1)^1.5/(3.24*A4^3*(1-EXP(-5.5*(A4-1)))))*180/PI()</f>
        <v>17.938517130669</v>
      </c>
    </row>
    <row r="5" customFormat="false" ht="15" hidden="false" customHeight="false" outlineLevel="0" collapsed="false">
      <c r="A5" s="0" t="n">
        <v>1.4</v>
      </c>
      <c r="B5" s="91" t="n">
        <f aca="false">(PI()*(A5^2-1)^1.5/(3.24*A5^3*(1-EXP(-5.5*(A5-1)))))*180/PI()</f>
        <v>21.4166887932557</v>
      </c>
    </row>
    <row r="6" customFormat="false" ht="15" hidden="false" customHeight="false" outlineLevel="0" collapsed="false">
      <c r="A6" s="0" t="n">
        <v>1.5</v>
      </c>
      <c r="B6" s="91" t="n">
        <f aca="false">(PI()*(A6^2-1)^1.5/(3.24*A6^3*(1-EXP(-5.5*(A6-1)))))*180/PI()</f>
        <v>24.5758992602719</v>
      </c>
    </row>
    <row r="7" customFormat="false" ht="15" hidden="false" customHeight="false" outlineLevel="0" collapsed="false">
      <c r="A7" s="0" t="n">
        <v>1.6</v>
      </c>
      <c r="B7" s="91" t="n">
        <f aca="false">(PI()*(A7^2-1)^1.5/(3.24*A7^3*(1-EXP(-5.5*(A7-1)))))*180/PI()</f>
        <v>27.4394543728811</v>
      </c>
    </row>
    <row r="8" customFormat="false" ht="15" hidden="false" customHeight="false" outlineLevel="0" collapsed="false">
      <c r="A8" s="0" t="n">
        <v>1.7</v>
      </c>
      <c r="B8" s="91" t="n">
        <f aca="false">(PI()*(A8^2-1)^1.5/(3.24*A8^3*(1-EXP(-5.5*(A8-1)))))*180/PI()</f>
        <v>30.02028817829</v>
      </c>
    </row>
    <row r="9" customFormat="false" ht="15" hidden="false" customHeight="false" outlineLevel="0" collapsed="false">
      <c r="A9" s="0" t="n">
        <v>1.8</v>
      </c>
      <c r="B9" s="91" t="n">
        <f aca="false">(PI()*(A9^2-1)^1.5/(3.24*A9^3*(1-EXP(-5.5*(A9-1)))))*180/PI()</f>
        <v>32.3330735162859</v>
      </c>
    </row>
    <row r="10" customFormat="false" ht="15" hidden="false" customHeight="false" outlineLevel="0" collapsed="false">
      <c r="A10" s="0" t="n">
        <v>1.9</v>
      </c>
      <c r="B10" s="91" t="n">
        <f aca="false">(PI()*(A10^2-1)^1.5/(3.24*A10^3*(1-EXP(-5.5*(A10-1)))))*180/PI()</f>
        <v>34.3965342219886</v>
      </c>
    </row>
    <row r="11" customFormat="false" ht="15" hidden="false" customHeight="false" outlineLevel="0" collapsed="false">
      <c r="A11" s="0" t="n">
        <v>2</v>
      </c>
      <c r="B11" s="91" t="n">
        <f aca="false">(PI()*(A11^2-1)^1.5/(3.24*A11^3*(1-EXP(-5.5*(A11-1)))))*180/PI()</f>
        <v>36.2324656300336</v>
      </c>
    </row>
    <row r="12" customFormat="false" ht="15" hidden="false" customHeight="false" outlineLevel="0" collapsed="false">
      <c r="A12" s="0" t="n">
        <v>2.5</v>
      </c>
      <c r="B12" s="91" t="n">
        <f aca="false">(PI()*(A12^2-1)^1.5/(3.24*A12^3*(1-EXP(-5.5*(A12-1)))))*180/PI()</f>
        <v>42.7818836194476</v>
      </c>
    </row>
    <row r="13" customFormat="false" ht="15" hidden="false" customHeight="false" outlineLevel="0" collapsed="false">
      <c r="A13" s="0" t="n">
        <v>3</v>
      </c>
      <c r="B13" s="91" t="n">
        <f aca="false">(PI()*(A13^2-1)^1.5/(3.24*A13^3*(1-EXP(-5.5*(A13-1)))))*180/PI()</f>
        <v>46.5592488078803</v>
      </c>
    </row>
    <row r="14" customFormat="false" ht="15" hidden="false" customHeight="false" outlineLevel="0" collapsed="false">
      <c r="A14" s="0" t="n">
        <v>3.5</v>
      </c>
      <c r="B14" s="91" t="n">
        <f aca="false">(PI()*(A14^2-1)^1.5/(3.24*A14^3*(1-EXP(-5.5*(A14-1)))))*180/PI()</f>
        <v>48.8936668723269</v>
      </c>
    </row>
    <row r="15" customFormat="false" ht="15" hidden="false" customHeight="false" outlineLevel="0" collapsed="false">
      <c r="A15" s="0" t="n">
        <v>4</v>
      </c>
      <c r="B15" s="91" t="n">
        <f aca="false">(PI()*(A15^2-1)^1.5/(3.24*A15^3*(1-EXP(-5.5*(A15-1)))))*180/PI()</f>
        <v>50.4294740958583</v>
      </c>
    </row>
    <row r="16" customFormat="false" ht="15" hidden="false" customHeight="false" outlineLevel="0" collapsed="false">
      <c r="A16" s="0" t="n">
        <v>4.5</v>
      </c>
      <c r="B16" s="91" t="n">
        <f aca="false">(PI()*(A16^2-1)^1.5/(3.24*A16^3*(1-EXP(-5.5*(A16-1)))))*180/PI()</f>
        <v>51.4915607969413</v>
      </c>
    </row>
    <row r="17" customFormat="false" ht="15" hidden="false" customHeight="false" outlineLevel="0" collapsed="false">
      <c r="A17" s="0" t="n">
        <v>5</v>
      </c>
      <c r="B17" s="91" t="n">
        <f aca="false">(PI()*(A17^2-1)^1.5/(3.24*A17^3*(1-EXP(-5.5*(A17-1)))))*180/PI()</f>
        <v>52.2557811939511</v>
      </c>
    </row>
    <row r="22" customFormat="false" ht="15" hidden="false" customHeight="false" outlineLevel="0" collapsed="false">
      <c r="P22" s="0" t="s">
        <v>173</v>
      </c>
      <c r="S22" s="0" t="s">
        <v>174</v>
      </c>
    </row>
    <row r="23" customFormat="false" ht="89.25" hidden="false" customHeight="true" outlineLevel="0" collapsed="false">
      <c r="A23" s="92" t="s">
        <v>175</v>
      </c>
      <c r="B23" s="92" t="s">
        <v>176</v>
      </c>
      <c r="C23" s="92" t="s">
        <v>116</v>
      </c>
      <c r="D23" s="92" t="s">
        <v>117</v>
      </c>
      <c r="E23" s="92" t="s">
        <v>118</v>
      </c>
      <c r="F23" s="92" t="s">
        <v>177</v>
      </c>
      <c r="H23" s="92" t="s">
        <v>52</v>
      </c>
      <c r="I23" s="92" t="s">
        <v>53</v>
      </c>
      <c r="J23" s="92" t="s">
        <v>54</v>
      </c>
      <c r="N23" s="92" t="s">
        <v>175</v>
      </c>
      <c r="O23" s="92" t="s">
        <v>176</v>
      </c>
      <c r="P23" s="92" t="s">
        <v>116</v>
      </c>
      <c r="Q23" s="92" t="s">
        <v>177</v>
      </c>
      <c r="S23" s="92" t="s">
        <v>175</v>
      </c>
      <c r="T23" s="92" t="s">
        <v>176</v>
      </c>
      <c r="U23" s="92" t="s">
        <v>116</v>
      </c>
      <c r="V23" s="92" t="s">
        <v>177</v>
      </c>
      <c r="Y23" s="92" t="s">
        <v>175</v>
      </c>
      <c r="Z23" s="92" t="s">
        <v>176</v>
      </c>
      <c r="AA23" s="92" t="s">
        <v>116</v>
      </c>
      <c r="AB23" s="92" t="s">
        <v>177</v>
      </c>
      <c r="AD23" s="92" t="s">
        <v>52</v>
      </c>
      <c r="AE23" s="92" t="s">
        <v>53</v>
      </c>
      <c r="AF23" s="92" t="s">
        <v>54</v>
      </c>
    </row>
    <row r="24" customFormat="false" ht="15" hidden="false" customHeight="false" outlineLevel="0" collapsed="false">
      <c r="A24" s="69" t="n">
        <v>4</v>
      </c>
      <c r="B24" s="69" t="n">
        <v>2</v>
      </c>
      <c r="C24" s="69" t="n">
        <v>1.5</v>
      </c>
      <c r="D24" s="69" t="n">
        <v>5</v>
      </c>
      <c r="E24" s="93" t="n">
        <f aca="false">D24*PI()/180</f>
        <v>0.0872664625997165</v>
      </c>
      <c r="F24" s="94" t="e">
        <f aca="false">LEsweepangle(A24,B24,C24)</f>
        <v>#VALUE!</v>
      </c>
      <c r="H24" s="40" t="n">
        <f aca="false">SQRT(1+B24/(2*C24))</f>
        <v>1.29099444873581</v>
      </c>
      <c r="I24" s="40" t="e">
        <f aca="false">SQRT(1+1/((1/TAN(F24))^2))</f>
        <v>#VALUE!</v>
      </c>
      <c r="J24" s="34" t="n">
        <f aca="false">SQRT((A24/B24)^2+1)</f>
        <v>2.23606797749979</v>
      </c>
      <c r="N24" s="69" t="n">
        <v>4</v>
      </c>
      <c r="O24" s="69" t="n">
        <v>3</v>
      </c>
      <c r="P24" s="69" t="n">
        <v>1.5</v>
      </c>
      <c r="Q24" s="94" t="e">
        <f aca="false">LEsweepangle(N24,O24,P24)</f>
        <v>#VALUE!</v>
      </c>
      <c r="S24" s="69" t="n">
        <v>4</v>
      </c>
      <c r="T24" s="69" t="n">
        <v>3</v>
      </c>
      <c r="U24" s="69" t="n">
        <v>1.5</v>
      </c>
      <c r="V24" s="94" t="e">
        <f aca="false">LEsweepangle(S24,T24,U24)</f>
        <v>#VALUE!</v>
      </c>
      <c r="Y24" s="69" t="n">
        <v>4</v>
      </c>
      <c r="Z24" s="69" t="n">
        <v>2</v>
      </c>
      <c r="AA24" s="69" t="n">
        <v>1.5</v>
      </c>
      <c r="AB24" s="0" t="e">
        <f aca="false">LEsweepangle(Y24,Z24,AA24)</f>
        <v>#VALUE!</v>
      </c>
      <c r="AD24" s="40" t="n">
        <f aca="false">SQRT(1+Z24/(2*AA24))</f>
        <v>1.29099444873581</v>
      </c>
      <c r="AE24" s="40" t="e">
        <f aca="false">SQRT(1+1/((1/TAN(AB24))^2))</f>
        <v>#VALUE!</v>
      </c>
      <c r="AF24" s="34" t="n">
        <f aca="false">SQRT((Y24/Z24)^2+1)</f>
        <v>2.23606797749979</v>
      </c>
    </row>
    <row r="25" customFormat="false" ht="15" hidden="false" customHeight="false" outlineLevel="0" collapsed="false">
      <c r="D25" s="31"/>
      <c r="E25" s="31"/>
      <c r="Y25" s="69" t="n">
        <v>4</v>
      </c>
      <c r="Z25" s="69" t="n">
        <v>4</v>
      </c>
      <c r="AA25" s="69" t="n">
        <v>1.5</v>
      </c>
      <c r="AB25" s="0" t="e">
        <f aca="false">LEsweepangle(Y25,Z25,AA25)</f>
        <v>#VALUE!</v>
      </c>
      <c r="AD25" s="40" t="n">
        <f aca="false">SQRT(1+Z25/(2*AA25))</f>
        <v>1.52752523165195</v>
      </c>
      <c r="AE25" s="40" t="e">
        <f aca="false">SQRT(1+1/((1/TAN(AB25))^2))</f>
        <v>#VALUE!</v>
      </c>
      <c r="AF25" s="34" t="n">
        <f aca="false">SQRT((Y25/Z25)^2+1)</f>
        <v>1.4142135623731</v>
      </c>
    </row>
    <row r="26" customFormat="false" ht="15" hidden="false" customHeight="false" outlineLevel="0" collapsed="false">
      <c r="E26" s="0" t="s">
        <v>178</v>
      </c>
      <c r="H26" s="0" t="s">
        <v>179</v>
      </c>
      <c r="Y26" s="69" t="n">
        <v>4</v>
      </c>
      <c r="Z26" s="69" t="n">
        <v>2.6</v>
      </c>
      <c r="AA26" s="69" t="n">
        <v>1.5</v>
      </c>
      <c r="AB26" s="0" t="e">
        <f aca="false">LEsweepangle(Y26,Z26,AA26)</f>
        <v>#VALUE!</v>
      </c>
      <c r="AD26" s="40" t="n">
        <f aca="false">SQRT(1+Z26/(2*AA26))</f>
        <v>1.36626010212795</v>
      </c>
      <c r="AE26" s="40" t="e">
        <f aca="false">SQRT(1+1/((1/TAN(AB26))^2))</f>
        <v>#VALUE!</v>
      </c>
      <c r="AF26" s="34" t="n">
        <f aca="false">SQRT((Y26/Z26)^2+1)</f>
        <v>1.83490160644255</v>
      </c>
    </row>
    <row r="27" customFormat="false" ht="78.75" hidden="false" customHeight="false" outlineLevel="0" collapsed="false">
      <c r="A27" s="92" t="s">
        <v>38</v>
      </c>
      <c r="B27" s="92" t="s">
        <v>180</v>
      </c>
      <c r="C27" s="95" t="s">
        <v>181</v>
      </c>
      <c r="E27" s="92" t="s">
        <v>125</v>
      </c>
      <c r="F27" s="95" t="s">
        <v>143</v>
      </c>
      <c r="H27" s="92" t="s">
        <v>125</v>
      </c>
      <c r="I27" s="95" t="s">
        <v>143</v>
      </c>
      <c r="K27" s="31" t="s">
        <v>172</v>
      </c>
      <c r="L27" s="0" t="s">
        <v>38</v>
      </c>
      <c r="M27" s="31" t="s">
        <v>182</v>
      </c>
      <c r="O27" s="92" t="s">
        <v>180</v>
      </c>
      <c r="P27" s="92" t="s">
        <v>125</v>
      </c>
      <c r="Q27" s="95" t="s">
        <v>143</v>
      </c>
      <c r="S27" s="92" t="s">
        <v>180</v>
      </c>
      <c r="T27" s="92" t="s">
        <v>125</v>
      </c>
      <c r="U27" s="95" t="s">
        <v>143</v>
      </c>
      <c r="Y27" s="69" t="n">
        <v>4</v>
      </c>
      <c r="Z27" s="69" t="n">
        <v>2</v>
      </c>
      <c r="AA27" s="69" t="n">
        <v>3</v>
      </c>
      <c r="AB27" s="0" t="e">
        <f aca="false">LEsweepangle(Y27,Z27,AA27)</f>
        <v>#VALUE!</v>
      </c>
      <c r="AD27" s="40" t="n">
        <f aca="false">SQRT(1+Z27/(2*AA27))</f>
        <v>1.15470053837925</v>
      </c>
      <c r="AE27" s="40" t="e">
        <f aca="false">SQRT(1+1/((1/TAN(AB27))^2))</f>
        <v>#VALUE!</v>
      </c>
      <c r="AF27" s="34" t="n">
        <f aca="false">SQRT((Y27/Z27)^2+1)</f>
        <v>2.23606797749979</v>
      </c>
    </row>
    <row r="28" customFormat="false" ht="15" hidden="false" customHeight="false" outlineLevel="0" collapsed="false">
      <c r="A28" s="94" t="n">
        <v>1.02</v>
      </c>
      <c r="B28" s="94" t="e">
        <f aca="false">A28*COS($F$24)</f>
        <v>#VALUE!</v>
      </c>
      <c r="C28" s="94" t="e">
        <f aca="false">Wedge_HalfAngle(A28,$A$24,$B$24,$C$24)</f>
        <v>#VALUE!</v>
      </c>
      <c r="E28" s="94" t="e">
        <f aca="false">Wedge_multiplier(A28/COS($F$24),$E$24,$A$24,$B$24,$C$24)</f>
        <v>#VALUE!</v>
      </c>
      <c r="F28" s="94" t="e">
        <f aca="false">Wedge_wavedrageCoef(A28/COS($F$24),$E$24,$A$24,$B$24,$C$24)</f>
        <v>#VALUE!</v>
      </c>
      <c r="H28" s="94" t="e">
        <f aca="false">Wedge_multiplier(A28,$E$24,$A$24,$B$24,$C$24)</f>
        <v>#VALUE!</v>
      </c>
      <c r="I28" s="94" t="e">
        <f aca="false">Wedge_wavedrageCoef(A28,$E$24,$A$24,$B$24,$C$24)</f>
        <v>#VALUE!</v>
      </c>
      <c r="K28" s="31" t="n">
        <v>1.1</v>
      </c>
      <c r="L28" s="0" t="e">
        <f aca="false">K28/COS($F$24)</f>
        <v>#VALUE!</v>
      </c>
      <c r="M28" s="31" t="n">
        <v>5.06196453065181</v>
      </c>
      <c r="O28" s="94" t="e">
        <f aca="false">A28*COS($Q$24)</f>
        <v>#VALUE!</v>
      </c>
      <c r="P28" s="94" t="e">
        <f aca="false">Wedge_multiplier(A28,$E$24,$N$24,$O$24,$P$24)</f>
        <v>#VALUE!</v>
      </c>
      <c r="Q28" s="94" t="e">
        <f aca="false">Wedge_wavedrageCoef(A28,$E$24,$N$24,$O$24,$P$24)</f>
        <v>#VALUE!</v>
      </c>
      <c r="S28" s="94" t="e">
        <f aca="false">A28*COS($V$24)</f>
        <v>#VALUE!</v>
      </c>
      <c r="T28" s="94" t="e">
        <f aca="false">Wedge_multiplier(A28,$E$24,$S$24,$T$24,$U$24)</f>
        <v>#VALUE!</v>
      </c>
      <c r="U28" s="94" t="e">
        <f aca="false">Wedge_wavedrageCoef(A28,$E$24,$S$24,$T$24,$U$24)</f>
        <v>#VALUE!</v>
      </c>
      <c r="Y28" s="69" t="n">
        <v>4</v>
      </c>
      <c r="Z28" s="69" t="n">
        <v>2</v>
      </c>
      <c r="AA28" s="69" t="n">
        <v>4</v>
      </c>
      <c r="AB28" s="0" t="e">
        <f aca="false">LEsweepangle(Y28,Z28,AA28)</f>
        <v>#VALUE!</v>
      </c>
      <c r="AD28" s="40" t="n">
        <f aca="false">SQRT(1+Z28/(2*AA28))</f>
        <v>1.1180339887499</v>
      </c>
      <c r="AE28" s="40" t="e">
        <f aca="false">SQRT(1+1/((1/TAN(AB28))^2))</f>
        <v>#VALUE!</v>
      </c>
      <c r="AF28" s="34" t="n">
        <f aca="false">SQRT((Y28/Z28)^2+1)</f>
        <v>2.23606797749979</v>
      </c>
    </row>
    <row r="29" customFormat="false" ht="15" hidden="false" customHeight="false" outlineLevel="0" collapsed="false">
      <c r="A29" s="94" t="n">
        <v>1.05</v>
      </c>
      <c r="B29" s="94" t="e">
        <f aca="false">A29*COS($F$24)</f>
        <v>#VALUE!</v>
      </c>
      <c r="C29" s="94" t="e">
        <f aca="false">Wedge_HalfAngle(A29,$A$24,$B$24,$C$24)</f>
        <v>#VALUE!</v>
      </c>
      <c r="E29" s="94" t="e">
        <f aca="false">Wedge_multiplier(A29/COS($F$24),$E$24,$A$24,$B$24,$C$24)</f>
        <v>#VALUE!</v>
      </c>
      <c r="F29" s="94" t="e">
        <f aca="false">Wedge_wavedrageCoef(A29/COS($F$24),$E$24,$A$24,$B$24,$C$24)</f>
        <v>#VALUE!</v>
      </c>
      <c r="H29" s="94" t="e">
        <f aca="false">Wedge_multiplier(A29,$E$24,$A$24,$B$24,$C$24)</f>
        <v>#VALUE!</v>
      </c>
      <c r="I29" s="94" t="e">
        <f aca="false">Wedge_wavedrageCoef(A29,$E$24,$A$24,$B$24,$C$24)</f>
        <v>#VALUE!</v>
      </c>
      <c r="K29" s="31" t="n">
        <v>1.2</v>
      </c>
      <c r="L29" s="0" t="e">
        <f aca="false">K29/COS($F$24)</f>
        <v>#VALUE!</v>
      </c>
      <c r="M29" s="31" t="n">
        <v>1.88414368588564</v>
      </c>
      <c r="O29" s="94" t="e">
        <f aca="false">A29*COS($Q$24)</f>
        <v>#VALUE!</v>
      </c>
      <c r="P29" s="94" t="e">
        <f aca="false">Wedge_multiplier(A29,$E$24,$N$24,$O$24,$P$24)</f>
        <v>#VALUE!</v>
      </c>
      <c r="Q29" s="94" t="e">
        <f aca="false">Wedge_wavedrageCoef(A29,$E$24,$N$24,$O$24,$P$24)</f>
        <v>#VALUE!</v>
      </c>
      <c r="S29" s="94" t="e">
        <f aca="false">A29*COS($V$24)</f>
        <v>#VALUE!</v>
      </c>
      <c r="T29" s="94" t="e">
        <f aca="false">Wedge_multiplier(A29,$E$24,$S$24,$T$24,$U$24)</f>
        <v>#VALUE!</v>
      </c>
      <c r="U29" s="94" t="e">
        <f aca="false">Wedge_wavedrageCoef(A29,$E$24,$S$24,$T$24,$U$24)</f>
        <v>#VALUE!</v>
      </c>
      <c r="Y29" s="69" t="n">
        <v>4</v>
      </c>
      <c r="Z29" s="69" t="n">
        <v>4</v>
      </c>
      <c r="AA29" s="69" t="n">
        <v>2</v>
      </c>
      <c r="AB29" s="0" t="e">
        <f aca="false">LEsweepangle(Y29,Z29,AA29)</f>
        <v>#VALUE!</v>
      </c>
      <c r="AD29" s="40" t="n">
        <f aca="false">SQRT(1+Z29/(2*AA29))</f>
        <v>1.4142135623731</v>
      </c>
      <c r="AE29" s="40" t="e">
        <f aca="false">SQRT(1+1/((1/TAN(AB29))^2))</f>
        <v>#VALUE!</v>
      </c>
      <c r="AF29" s="34" t="n">
        <f aca="false">SQRT((Y29/Z29)^2+1)</f>
        <v>1.4142135623731</v>
      </c>
    </row>
    <row r="30" customFormat="false" ht="15" hidden="false" customHeight="false" outlineLevel="0" collapsed="false">
      <c r="A30" s="94" t="n">
        <v>1.1</v>
      </c>
      <c r="B30" s="94" t="e">
        <f aca="false">A30*COS($F$24)</f>
        <v>#VALUE!</v>
      </c>
      <c r="C30" s="94" t="e">
        <f aca="false">Wedge_HalfAngle(A30,$A$24,$B$24,$C$24)</f>
        <v>#VALUE!</v>
      </c>
      <c r="E30" s="94" t="e">
        <f aca="false">Wedge_multiplier(A30/COS($F$24),$E$24,$A$24,$B$24,$C$24)</f>
        <v>#VALUE!</v>
      </c>
      <c r="F30" s="94" t="e">
        <f aca="false">Wedge_wavedrageCoef(A30/COS($F$24),$E$24,$A$24,$B$24,$C$24)</f>
        <v>#VALUE!</v>
      </c>
      <c r="H30" s="94" t="e">
        <f aca="false">Wedge_multiplier(A30,$E$24,$A$24,$B$24,$C$24)</f>
        <v>#VALUE!</v>
      </c>
      <c r="I30" s="94" t="e">
        <f aca="false">Wedge_wavedrageCoef(A30,$E$24,$A$24,$B$24,$C$24)</f>
        <v>#VALUE!</v>
      </c>
      <c r="K30" s="31" t="n">
        <v>1.3</v>
      </c>
      <c r="L30" s="0" t="e">
        <f aca="false">K30/COS($F$24)</f>
        <v>#VALUE!</v>
      </c>
      <c r="M30" s="31" t="n">
        <v>1.4495514947499</v>
      </c>
      <c r="O30" s="94" t="e">
        <f aca="false">A30*COS($Q$24)</f>
        <v>#VALUE!</v>
      </c>
      <c r="P30" s="94" t="e">
        <f aca="false">Wedge_multiplier(A30,$E$24,$N$24,$O$24,$P$24)</f>
        <v>#VALUE!</v>
      </c>
      <c r="Q30" s="94" t="e">
        <f aca="false">Wedge_wavedrageCoef(A30,$E$24,$N$24,$O$24,$P$24)</f>
        <v>#VALUE!</v>
      </c>
      <c r="S30" s="94" t="e">
        <f aca="false">A30*COS($V$24)</f>
        <v>#VALUE!</v>
      </c>
      <c r="T30" s="94" t="e">
        <f aca="false">Wedge_multiplier(A30,$E$24,$S$24,$T$24,$U$24)</f>
        <v>#VALUE!</v>
      </c>
      <c r="U30" s="94" t="e">
        <f aca="false">Wedge_wavedrageCoef(A30,$E$24,$S$24,$T$24,$U$24)</f>
        <v>#VALUE!</v>
      </c>
      <c r="Y30" s="69" t="n">
        <v>4</v>
      </c>
      <c r="Z30" s="69" t="n">
        <v>5</v>
      </c>
      <c r="AA30" s="69" t="n">
        <v>1</v>
      </c>
      <c r="AB30" s="0" t="e">
        <f aca="false">LEsweepangle(Y30,Z30,AA30)</f>
        <v>#VALUE!</v>
      </c>
      <c r="AD30" s="40" t="n">
        <f aca="false">SQRT(1+Z30/(2*AA30))</f>
        <v>1.87082869338697</v>
      </c>
      <c r="AE30" s="40" t="e">
        <f aca="false">SQRT(1+1/((1/TAN(AB30))^2))</f>
        <v>#VALUE!</v>
      </c>
      <c r="AF30" s="34" t="n">
        <f aca="false">SQRT((Y30/Z30)^2+1)</f>
        <v>1.28062484748657</v>
      </c>
    </row>
    <row r="31" customFormat="false" ht="15" hidden="false" customHeight="false" outlineLevel="0" collapsed="false">
      <c r="A31" s="94" t="n">
        <v>1.2</v>
      </c>
      <c r="B31" s="94" t="e">
        <f aca="false">A31*COS($F$24)</f>
        <v>#VALUE!</v>
      </c>
      <c r="C31" s="94" t="e">
        <f aca="false">Wedge_HalfAngle(A31,$A$24,$B$24,$C$24)</f>
        <v>#VALUE!</v>
      </c>
      <c r="E31" s="94" t="e">
        <f aca="false">Wedge_multiplier(A31/COS($F$24),$E$24,$A$24,$B$24,$C$24)</f>
        <v>#VALUE!</v>
      </c>
      <c r="F31" s="94" t="e">
        <f aca="false">Wedge_wavedrageCoef(A31/COS($F$24),$E$24,$A$24,$B$24,$C$24)</f>
        <v>#VALUE!</v>
      </c>
      <c r="H31" s="94" t="e">
        <f aca="false">Wedge_multiplier(A31,$E$24,$A$24,$B$24,$C$24)</f>
        <v>#VALUE!</v>
      </c>
      <c r="I31" s="94" t="e">
        <f aca="false">Wedge_wavedrageCoef(A31,$E$24,$A$24,$B$24,$C$24)</f>
        <v>#VALUE!</v>
      </c>
      <c r="K31" s="31" t="n">
        <v>1.4</v>
      </c>
      <c r="L31" s="0" t="e">
        <f aca="false">K31/COS($F$24)</f>
        <v>#VALUE!</v>
      </c>
      <c r="M31" s="31" t="n">
        <v>1.31814577920658</v>
      </c>
      <c r="O31" s="94" t="e">
        <f aca="false">A31*COS($Q$24)</f>
        <v>#VALUE!</v>
      </c>
      <c r="P31" s="94" t="e">
        <f aca="false">Wedge_multiplier(A31,$E$24,$N$24,$O$24,$P$24)</f>
        <v>#VALUE!</v>
      </c>
      <c r="Q31" s="94" t="e">
        <f aca="false">Wedge_wavedrageCoef(A31,$E$24,$N$24,$O$24,$P$24)</f>
        <v>#VALUE!</v>
      </c>
      <c r="S31" s="94" t="e">
        <f aca="false">A31*COS($V$24)</f>
        <v>#VALUE!</v>
      </c>
      <c r="T31" s="94" t="e">
        <f aca="false">Wedge_multiplier(A31,$E$24,$S$24,$T$24,$U$24)</f>
        <v>#VALUE!</v>
      </c>
      <c r="U31" s="94" t="e">
        <f aca="false">Wedge_wavedrageCoef(A31,$E$24,$S$24,$T$24,$U$24)</f>
        <v>#VALUE!</v>
      </c>
      <c r="Y31" s="69" t="n">
        <v>4</v>
      </c>
      <c r="Z31" s="69" t="n">
        <v>3</v>
      </c>
      <c r="AA31" s="69" t="n">
        <v>1.5</v>
      </c>
      <c r="AB31" s="0" t="e">
        <f aca="false">LEsweepangle(Y31,Z31,AA31)</f>
        <v>#VALUE!</v>
      </c>
      <c r="AD31" s="40" t="n">
        <f aca="false">SQRT(1+Z31/(2*AA31))</f>
        <v>1.4142135623731</v>
      </c>
      <c r="AE31" s="40" t="e">
        <f aca="false">SQRT(1+1/((1/TAN(AB31))^2))</f>
        <v>#VALUE!</v>
      </c>
      <c r="AF31" s="34" t="n">
        <f aca="false">SQRT((Y31/Z31)^2+1)</f>
        <v>1.66666666666667</v>
      </c>
    </row>
    <row r="32" customFormat="false" ht="15" hidden="false" customHeight="false" outlineLevel="0" collapsed="false">
      <c r="A32" s="94" t="n">
        <v>1.3</v>
      </c>
      <c r="B32" s="94" t="e">
        <f aca="false">A32*COS($F$24)</f>
        <v>#VALUE!</v>
      </c>
      <c r="C32" s="94" t="e">
        <f aca="false">Wedge_HalfAngle(A32,$A$24,$B$24,$C$24)</f>
        <v>#VALUE!</v>
      </c>
      <c r="E32" s="94" t="e">
        <f aca="false">Wedge_multiplier(A32/COS($F$24),$E$24,$A$24,$B$24,$C$24)</f>
        <v>#VALUE!</v>
      </c>
      <c r="F32" s="94" t="e">
        <f aca="false">Wedge_wavedrageCoef(A32/COS($F$24),$E$24,$A$24,$B$24,$C$24)</f>
        <v>#VALUE!</v>
      </c>
      <c r="H32" s="94" t="e">
        <f aca="false">Wedge_multiplier(A32,$E$24,$A$24,$B$24,$C$24)</f>
        <v>#VALUE!</v>
      </c>
      <c r="I32" s="94" t="e">
        <f aca="false">Wedge_wavedrageCoef(A32,$E$24,$A$24,$B$24,$C$24)</f>
        <v>#VALUE!</v>
      </c>
      <c r="K32" s="31" t="n">
        <v>1.5</v>
      </c>
      <c r="L32" s="0" t="e">
        <f aca="false">K32/COS($F$24)</f>
        <v>#VALUE!</v>
      </c>
      <c r="M32" s="31" t="n">
        <v>1.26578043956178</v>
      </c>
      <c r="O32" s="94" t="e">
        <f aca="false">A32*COS($Q$24)</f>
        <v>#VALUE!</v>
      </c>
      <c r="P32" s="94" t="e">
        <f aca="false">Wedge_multiplier(A32,$E$24,$N$24,$O$24,$P$24)</f>
        <v>#VALUE!</v>
      </c>
      <c r="Q32" s="94" t="e">
        <f aca="false">Wedge_wavedrageCoef(A32,$E$24,$N$24,$O$24,$P$24)</f>
        <v>#VALUE!</v>
      </c>
      <c r="S32" s="94" t="e">
        <f aca="false">A32*COS($V$24)</f>
        <v>#VALUE!</v>
      </c>
      <c r="T32" s="94" t="e">
        <f aca="false">Wedge_multiplier(A32,$E$24,$S$24,$T$24,$U$24)</f>
        <v>#VALUE!</v>
      </c>
      <c r="U32" s="94" t="e">
        <f aca="false">Wedge_wavedrageCoef(A32,$E$24,$S$24,$T$24,$U$24)</f>
        <v>#VALUE!</v>
      </c>
    </row>
    <row r="33" customFormat="false" ht="15" hidden="false" customHeight="false" outlineLevel="0" collapsed="false">
      <c r="A33" s="94" t="n">
        <v>1.4</v>
      </c>
      <c r="B33" s="94" t="e">
        <f aca="false">A33*COS($F$24)</f>
        <v>#VALUE!</v>
      </c>
      <c r="C33" s="94" t="e">
        <f aca="false">Wedge_HalfAngle(A33,$A$24,$B$24,$C$24)</f>
        <v>#VALUE!</v>
      </c>
      <c r="E33" s="94" t="e">
        <f aca="false">Wedge_multiplier(A33/COS($F$24),$E$24,$A$24,$B$24,$C$24)</f>
        <v>#VALUE!</v>
      </c>
      <c r="F33" s="94" t="e">
        <f aca="false">Wedge_wavedrageCoef(A33/COS($F$24),$E$24,$A$24,$B$24,$C$24)</f>
        <v>#VALUE!</v>
      </c>
      <c r="H33" s="94" t="e">
        <f aca="false">Wedge_multiplier(A33,$E$24,$A$24,$B$24,$C$24)</f>
        <v>#VALUE!</v>
      </c>
      <c r="I33" s="94" t="e">
        <f aca="false">Wedge_wavedrageCoef(A33,$E$24,$A$24,$B$24,$C$24)</f>
        <v>#VALUE!</v>
      </c>
      <c r="K33" s="31" t="n">
        <v>1.6</v>
      </c>
      <c r="L33" s="0" t="e">
        <f aca="false">K33/COS($F$24)</f>
        <v>#VALUE!</v>
      </c>
      <c r="M33" s="31" t="n">
        <v>1.2432218400668</v>
      </c>
      <c r="O33" s="94" t="e">
        <f aca="false">A33*COS($Q$24)</f>
        <v>#VALUE!</v>
      </c>
      <c r="P33" s="94" t="e">
        <f aca="false">Wedge_multiplier(A33,$E$24,$N$24,$O$24,$P$24)</f>
        <v>#VALUE!</v>
      </c>
      <c r="Q33" s="94" t="e">
        <f aca="false">Wedge_wavedrageCoef(A33,$E$24,$N$24,$O$24,$P$24)</f>
        <v>#VALUE!</v>
      </c>
      <c r="S33" s="94" t="e">
        <f aca="false">A33*COS($V$24)</f>
        <v>#VALUE!</v>
      </c>
      <c r="T33" s="94" t="e">
        <f aca="false">Wedge_multiplier(A33,$E$24,$S$24,$T$24,$U$24)</f>
        <v>#VALUE!</v>
      </c>
      <c r="U33" s="94" t="e">
        <f aca="false">Wedge_wavedrageCoef(A33,$E$24,$S$24,$T$24,$U$24)</f>
        <v>#VALUE!</v>
      </c>
    </row>
    <row r="34" customFormat="false" ht="15" hidden="false" customHeight="false" outlineLevel="0" collapsed="false">
      <c r="A34" s="94" t="n">
        <v>1.5</v>
      </c>
      <c r="B34" s="94" t="e">
        <f aca="false">A34*COS($F$24)</f>
        <v>#VALUE!</v>
      </c>
      <c r="C34" s="94" t="e">
        <f aca="false">Wedge_HalfAngle(A34,$A$24,$B$24,$C$24)</f>
        <v>#VALUE!</v>
      </c>
      <c r="E34" s="94" t="e">
        <f aca="false">Wedge_multiplier(A34/COS($F$24),$E$24,$A$24,$B$24,$C$24)</f>
        <v>#VALUE!</v>
      </c>
      <c r="F34" s="94" t="e">
        <f aca="false">Wedge_wavedrageCoef(A34/COS($F$24),$E$24,$A$24,$B$24,$C$24)</f>
        <v>#VALUE!</v>
      </c>
      <c r="H34" s="94" t="e">
        <f aca="false">Wedge_multiplier(A34,$E$24,$A$24,$B$24,$C$24)</f>
        <v>#VALUE!</v>
      </c>
      <c r="I34" s="94" t="e">
        <f aca="false">Wedge_wavedrageCoef(A34,$E$24,$A$24,$B$24,$C$24)</f>
        <v>#VALUE!</v>
      </c>
      <c r="K34" s="31" t="n">
        <v>1.7</v>
      </c>
      <c r="L34" s="0" t="e">
        <f aca="false">K34/COS($F$24)</f>
        <v>#VALUE!</v>
      </c>
      <c r="M34" s="31" t="n">
        <v>1.23451195026025</v>
      </c>
      <c r="O34" s="94" t="e">
        <f aca="false">A34*COS($Q$24)</f>
        <v>#VALUE!</v>
      </c>
      <c r="P34" s="94" t="e">
        <f aca="false">Wedge_multiplier(A34,$E$24,$N$24,$O$24,$P$24)</f>
        <v>#VALUE!</v>
      </c>
      <c r="Q34" s="94" t="e">
        <f aca="false">Wedge_wavedrageCoef(A34,$E$24,$N$24,$O$24,$P$24)</f>
        <v>#VALUE!</v>
      </c>
      <c r="S34" s="94" t="e">
        <f aca="false">A34*COS($V$24)</f>
        <v>#VALUE!</v>
      </c>
      <c r="T34" s="94" t="e">
        <f aca="false">Wedge_multiplier(A34,$E$24,$S$24,$T$24,$U$24)</f>
        <v>#VALUE!</v>
      </c>
      <c r="U34" s="94" t="e">
        <f aca="false">Wedge_wavedrageCoef(A34,$E$24,$S$24,$T$24,$U$24)</f>
        <v>#VALUE!</v>
      </c>
    </row>
    <row r="35" customFormat="false" ht="15" hidden="false" customHeight="false" outlineLevel="0" collapsed="false">
      <c r="A35" s="94" t="n">
        <v>1.6</v>
      </c>
      <c r="B35" s="94" t="e">
        <f aca="false">A35*COS($F$24)</f>
        <v>#VALUE!</v>
      </c>
      <c r="C35" s="94" t="e">
        <f aca="false">Wedge_HalfAngle(A35,$A$24,$B$24,$C$24)</f>
        <v>#VALUE!</v>
      </c>
      <c r="E35" s="94" t="e">
        <f aca="false">Wedge_multiplier(A35/COS($F$24),$E$24,$A$24,$B$24,$C$24)</f>
        <v>#VALUE!</v>
      </c>
      <c r="F35" s="94" t="e">
        <f aca="false">Wedge_wavedrageCoef(A35/COS($F$24),$E$24,$A$24,$B$24,$C$24)</f>
        <v>#VALUE!</v>
      </c>
      <c r="H35" s="94" t="e">
        <f aca="false">Wedge_multiplier(A35,$E$24,$A$24,$B$24,$C$24)</f>
        <v>#VALUE!</v>
      </c>
      <c r="I35" s="94" t="e">
        <f aca="false">Wedge_wavedrageCoef(A35,$E$24,$A$24,$B$24,$C$24)</f>
        <v>#VALUE!</v>
      </c>
      <c r="K35" s="31" t="n">
        <v>1.8</v>
      </c>
      <c r="L35" s="0" t="e">
        <f aca="false">K35/COS($F$24)</f>
        <v>#VALUE!</v>
      </c>
      <c r="M35" s="31" t="n">
        <v>1.2331660349303</v>
      </c>
      <c r="O35" s="94" t="e">
        <f aca="false">A35*COS($Q$24)</f>
        <v>#VALUE!</v>
      </c>
      <c r="P35" s="94" t="e">
        <f aca="false">Wedge_multiplier(A35,$E$24,$N$24,$O$24,$P$24)</f>
        <v>#VALUE!</v>
      </c>
      <c r="Q35" s="94" t="e">
        <f aca="false">Wedge_wavedrageCoef(A35,$E$24,$N$24,$O$24,$P$24)</f>
        <v>#VALUE!</v>
      </c>
      <c r="S35" s="94" t="e">
        <f aca="false">A35*COS($V$24)</f>
        <v>#VALUE!</v>
      </c>
      <c r="T35" s="94" t="e">
        <f aca="false">Wedge_multiplier(A35,$E$24,$S$24,$T$24,$U$24)</f>
        <v>#VALUE!</v>
      </c>
      <c r="U35" s="94" t="e">
        <f aca="false">Wedge_wavedrageCoef(A35,$E$24,$S$24,$T$24,$U$24)</f>
        <v>#VALUE!</v>
      </c>
    </row>
    <row r="36" customFormat="false" ht="15" hidden="false" customHeight="false" outlineLevel="0" collapsed="false">
      <c r="A36" s="94" t="n">
        <v>1.7</v>
      </c>
      <c r="B36" s="94" t="e">
        <f aca="false">A36*COS($F$24)</f>
        <v>#VALUE!</v>
      </c>
      <c r="C36" s="94" t="e">
        <f aca="false">Wedge_HalfAngle(A36,$A$24,$B$24,$C$24)</f>
        <v>#VALUE!</v>
      </c>
      <c r="E36" s="94" t="e">
        <f aca="false">Wedge_multiplier(A36/COS($F$24),$E$24,$A$24,$B$24,$C$24)</f>
        <v>#VALUE!</v>
      </c>
      <c r="F36" s="94" t="e">
        <f aca="false">Wedge_wavedrageCoef(A36/COS($F$24),$E$24,$A$24,$B$24,$C$24)</f>
        <v>#VALUE!</v>
      </c>
      <c r="H36" s="94" t="e">
        <f aca="false">Wedge_multiplier(A36,$E$24,$A$24,$B$24,$C$24)</f>
        <v>#VALUE!</v>
      </c>
      <c r="I36" s="94" t="e">
        <f aca="false">Wedge_wavedrageCoef(A36,$E$24,$A$24,$B$24,$C$24)</f>
        <v>#VALUE!</v>
      </c>
      <c r="K36" s="31" t="n">
        <v>1.9</v>
      </c>
      <c r="L36" s="0" t="e">
        <f aca="false">K36/COS($F$24)</f>
        <v>#VALUE!</v>
      </c>
      <c r="M36" s="31" t="n">
        <v>1.23612646904123</v>
      </c>
      <c r="O36" s="94" t="e">
        <f aca="false">A36*COS($Q$24)</f>
        <v>#VALUE!</v>
      </c>
      <c r="P36" s="94" t="e">
        <f aca="false">Wedge_multiplier(A36,$E$24,$N$24,$O$24,$P$24)</f>
        <v>#VALUE!</v>
      </c>
      <c r="Q36" s="94" t="e">
        <f aca="false">Wedge_wavedrageCoef(A36,$E$24,$N$24,$O$24,$P$24)</f>
        <v>#VALUE!</v>
      </c>
      <c r="S36" s="94" t="e">
        <f aca="false">A36*COS($V$24)</f>
        <v>#VALUE!</v>
      </c>
      <c r="T36" s="94" t="e">
        <f aca="false">Wedge_multiplier(A36,$E$24,$S$24,$T$24,$U$24)</f>
        <v>#VALUE!</v>
      </c>
      <c r="U36" s="94" t="e">
        <f aca="false">Wedge_wavedrageCoef(A36,$E$24,$S$24,$T$24,$U$24)</f>
        <v>#VALUE!</v>
      </c>
    </row>
    <row r="37" customFormat="false" ht="15" hidden="false" customHeight="false" outlineLevel="0" collapsed="false">
      <c r="A37" s="94" t="n">
        <v>1.8</v>
      </c>
      <c r="B37" s="94" t="e">
        <f aca="false">A37*COS($F$24)</f>
        <v>#VALUE!</v>
      </c>
      <c r="C37" s="94" t="e">
        <f aca="false">Wedge_HalfAngle(A37,$A$24,$B$24,$C$24)</f>
        <v>#VALUE!</v>
      </c>
      <c r="E37" s="94" t="e">
        <f aca="false">Wedge_multiplier(A37/COS($F$24),$E$24,$A$24,$B$24,$C$24)</f>
        <v>#VALUE!</v>
      </c>
      <c r="F37" s="94" t="e">
        <f aca="false">Wedge_wavedrageCoef(A37/COS($F$24),$E$24,$A$24,$B$24,$C$24)</f>
        <v>#VALUE!</v>
      </c>
      <c r="H37" s="94" t="e">
        <f aca="false">Wedge_multiplier(A37,$E$24,$A$24,$B$24,$C$24)</f>
        <v>#VALUE!</v>
      </c>
      <c r="I37" s="94" t="e">
        <f aca="false">Wedge_wavedrageCoef(A37,$E$24,$A$24,$B$24,$C$24)</f>
        <v>#VALUE!</v>
      </c>
      <c r="K37" s="31" t="n">
        <v>2</v>
      </c>
      <c r="L37" s="0" t="e">
        <f aca="false">K37/COS($F$24)</f>
        <v>#VALUE!</v>
      </c>
      <c r="M37" s="31" t="n">
        <v>1.24179133866788</v>
      </c>
      <c r="O37" s="94" t="e">
        <f aca="false">A37*COS($Q$24)</f>
        <v>#VALUE!</v>
      </c>
      <c r="P37" s="94" t="e">
        <f aca="false">Wedge_multiplier(A37,$E$24,$N$24,$O$24,$P$24)</f>
        <v>#VALUE!</v>
      </c>
      <c r="Q37" s="94" t="e">
        <f aca="false">Wedge_wavedrageCoef(A37,$E$24,$N$24,$O$24,$P$24)</f>
        <v>#VALUE!</v>
      </c>
      <c r="S37" s="94" t="e">
        <f aca="false">A37*COS($V$24)</f>
        <v>#VALUE!</v>
      </c>
      <c r="T37" s="94" t="e">
        <f aca="false">Wedge_multiplier(A37,$E$24,$S$24,$T$24,$U$24)</f>
        <v>#VALUE!</v>
      </c>
      <c r="U37" s="94" t="e">
        <f aca="false">Wedge_wavedrageCoef(A37,$E$24,$S$24,$T$24,$U$24)</f>
        <v>#VALUE!</v>
      </c>
    </row>
    <row r="38" customFormat="false" ht="15" hidden="false" customHeight="false" outlineLevel="0" collapsed="false">
      <c r="A38" s="94" t="n">
        <v>1.9</v>
      </c>
      <c r="B38" s="94" t="e">
        <f aca="false">A38*COS($F$24)</f>
        <v>#VALUE!</v>
      </c>
      <c r="C38" s="94" t="e">
        <f aca="false">Wedge_HalfAngle(A38,$A$24,$B$24,$C$24)</f>
        <v>#VALUE!</v>
      </c>
      <c r="E38" s="94" t="e">
        <f aca="false">Wedge_multiplier(A38/COS($F$24),$E$24,$A$24,$B$24,$C$24)</f>
        <v>#VALUE!</v>
      </c>
      <c r="F38" s="94" t="e">
        <f aca="false">Wedge_wavedrageCoef(A38/COS($F$24),$E$24,$A$24,$B$24,$C$24)</f>
        <v>#VALUE!</v>
      </c>
      <c r="H38" s="94" t="e">
        <f aca="false">Wedge_multiplier(A38,$E$24,$A$24,$B$24,$C$24)</f>
        <v>#VALUE!</v>
      </c>
      <c r="I38" s="94" t="e">
        <f aca="false">Wedge_wavedrageCoef(A38,$E$24,$A$24,$B$24,$C$24)</f>
        <v>#VALUE!</v>
      </c>
      <c r="O38" s="94" t="e">
        <f aca="false">A38*COS($Q$24)</f>
        <v>#VALUE!</v>
      </c>
      <c r="P38" s="94" t="e">
        <f aca="false">Wedge_multiplier(A38,$E$24,$N$24,$O$24,$P$24)</f>
        <v>#VALUE!</v>
      </c>
      <c r="Q38" s="94" t="e">
        <f aca="false">Wedge_wavedrageCoef(A38,$E$24,$N$24,$O$24,$P$24)</f>
        <v>#VALUE!</v>
      </c>
      <c r="S38" s="94" t="e">
        <f aca="false">A38*COS($V$24)</f>
        <v>#VALUE!</v>
      </c>
      <c r="T38" s="94" t="e">
        <f aca="false">Wedge_multiplier(A38,$E$24,$S$24,$T$24,$U$24)</f>
        <v>#VALUE!</v>
      </c>
      <c r="U38" s="94" t="e">
        <f aca="false">Wedge_wavedrageCoef(A38,$E$24,$S$24,$T$24,$U$24)</f>
        <v>#VALUE!</v>
      </c>
    </row>
    <row r="39" customFormat="false" ht="15" hidden="false" customHeight="false" outlineLevel="0" collapsed="false">
      <c r="A39" s="94" t="n">
        <v>2</v>
      </c>
      <c r="B39" s="94" t="e">
        <f aca="false">A39*COS($F$24)</f>
        <v>#VALUE!</v>
      </c>
      <c r="C39" s="94" t="e">
        <f aca="false">Wedge_HalfAngle(A39,$A$24,$B$24,$C$24)</f>
        <v>#VALUE!</v>
      </c>
      <c r="E39" s="94" t="e">
        <f aca="false">Wedge_multiplier(A39/COS($F$24),$E$24,$A$24,$B$24,$C$24)</f>
        <v>#VALUE!</v>
      </c>
      <c r="F39" s="94" t="e">
        <f aca="false">Wedge_wavedrageCoef(A39/COS($F$24),$E$24,$A$24,$B$24,$C$24)</f>
        <v>#VALUE!</v>
      </c>
      <c r="H39" s="94" t="e">
        <f aca="false">Wedge_multiplier(A39,$E$24,$A$24,$B$24,$C$24)</f>
        <v>#VALUE!</v>
      </c>
      <c r="I39" s="94" t="e">
        <f aca="false">Wedge_wavedrageCoef(A39,$E$24,$A$24,$B$24,$C$24)</f>
        <v>#VALUE!</v>
      </c>
      <c r="L39" s="0" t="s">
        <v>183</v>
      </c>
      <c r="M39" s="0" t="s">
        <v>184</v>
      </c>
      <c r="O39" s="94" t="e">
        <f aca="false">A39*COS($Q$24)</f>
        <v>#VALUE!</v>
      </c>
      <c r="P39" s="94" t="e">
        <f aca="false">Wedge_multiplier(A39,$E$24,$N$24,$O$24,$P$24)</f>
        <v>#VALUE!</v>
      </c>
      <c r="Q39" s="94" t="e">
        <f aca="false">Wedge_wavedrageCoef(A39,$E$24,$N$24,$O$24,$P$24)</f>
        <v>#VALUE!</v>
      </c>
      <c r="S39" s="94" t="e">
        <f aca="false">A39*COS($V$24)</f>
        <v>#VALUE!</v>
      </c>
      <c r="T39" s="94" t="e">
        <f aca="false">Wedge_multiplier(A39,$E$24,$S$24,$T$24,$U$24)</f>
        <v>#VALUE!</v>
      </c>
      <c r="U39" s="94" t="e">
        <f aca="false">Wedge_wavedrageCoef(A39,$E$24,$S$24,$T$24,$U$24)</f>
        <v>#VALUE!</v>
      </c>
    </row>
    <row r="40" customFormat="false" ht="15" hidden="false" customHeight="false" outlineLevel="0" collapsed="false">
      <c r="A40" s="94" t="n">
        <v>2.2</v>
      </c>
      <c r="B40" s="94" t="e">
        <f aca="false">A40*COS($F$24)</f>
        <v>#VALUE!</v>
      </c>
      <c r="C40" s="94" t="e">
        <f aca="false">Wedge_HalfAngle(A40,$A$24,$B$24,$C$24)</f>
        <v>#VALUE!</v>
      </c>
      <c r="E40" s="94" t="e">
        <f aca="false">Wedge_multiplier(A40/COS($F$24),$E$24,$A$24,$B$24,$C$24)</f>
        <v>#VALUE!</v>
      </c>
      <c r="F40" s="94" t="e">
        <f aca="false">Wedge_wavedrageCoef(A40/COS($F$24),$E$24,$A$24,$B$24,$C$24)</f>
        <v>#VALUE!</v>
      </c>
      <c r="H40" s="94" t="e">
        <f aca="false">Wedge_multiplier(A40,$E$24,$A$24,$B$24,$C$24)</f>
        <v>#VALUE!</v>
      </c>
      <c r="I40" s="94" t="e">
        <f aca="false">Wedge_wavedrageCoef(A40,$E$24,$A$24,$B$24,$C$24)</f>
        <v>#VALUE!</v>
      </c>
      <c r="K40" s="31" t="n">
        <v>1</v>
      </c>
      <c r="L40" s="0" t="e">
        <f aca="false">K40/COS($F$24)</f>
        <v>#VALUE!</v>
      </c>
      <c r="M40" s="31" t="n">
        <v>0</v>
      </c>
      <c r="O40" s="94" t="e">
        <f aca="false">A40*COS($Q$24)</f>
        <v>#VALUE!</v>
      </c>
      <c r="P40" s="94" t="e">
        <f aca="false">Wedge_multiplier(A40,$E$24,$N$24,$O$24,$P$24)</f>
        <v>#VALUE!</v>
      </c>
      <c r="Q40" s="94" t="e">
        <f aca="false">Wedge_wavedrageCoef(A40,$E$24,$N$24,$O$24,$P$24)</f>
        <v>#VALUE!</v>
      </c>
      <c r="S40" s="94" t="e">
        <f aca="false">A40*COS($V$24)</f>
        <v>#VALUE!</v>
      </c>
      <c r="T40" s="94" t="e">
        <f aca="false">Wedge_multiplier(A40,$E$24,$S$24,$T$24,$U$24)</f>
        <v>#VALUE!</v>
      </c>
      <c r="U40" s="94" t="e">
        <f aca="false">Wedge_wavedrageCoef(A40,$E$24,$S$24,$T$24,$U$24)</f>
        <v>#VALUE!</v>
      </c>
    </row>
    <row r="41" customFormat="false" ht="15" hidden="false" customHeight="false" outlineLevel="0" collapsed="false">
      <c r="A41" s="94" t="n">
        <v>2.4</v>
      </c>
      <c r="B41" s="94" t="e">
        <f aca="false">A41*COS($F$24)</f>
        <v>#VALUE!</v>
      </c>
      <c r="C41" s="94" t="e">
        <f aca="false">Wedge_HalfAngle(A41,$A$24,$B$24,$C$24)</f>
        <v>#VALUE!</v>
      </c>
      <c r="E41" s="94" t="e">
        <f aca="false">Wedge_multiplier(A41/COS($F$24),$E$24,$A$24,$B$24,$C$24)</f>
        <v>#VALUE!</v>
      </c>
      <c r="F41" s="94" t="e">
        <f aca="false">Wedge_wavedrageCoef(A41/COS($F$24),$E$24,$A$24,$B$24,$C$24)</f>
        <v>#VALUE!</v>
      </c>
      <c r="H41" s="94" t="e">
        <f aca="false">Wedge_multiplier(A41,$E$24,$A$24,$B$24,$C$24)</f>
        <v>#VALUE!</v>
      </c>
      <c r="I41" s="94" t="e">
        <f aca="false">Wedge_wavedrageCoef(A41,$E$24,$A$24,$B$24,$C$24)</f>
        <v>#VALUE!</v>
      </c>
      <c r="O41" s="94" t="e">
        <f aca="false">A41*COS($Q$24)</f>
        <v>#VALUE!</v>
      </c>
      <c r="P41" s="94" t="e">
        <f aca="false">Wedge_multiplier(A41,$E$24,$N$24,$O$24,$P$24)</f>
        <v>#VALUE!</v>
      </c>
      <c r="Q41" s="94" t="e">
        <f aca="false">Wedge_wavedrageCoef(A41,$E$24,$N$24,$O$24,$P$24)</f>
        <v>#VALUE!</v>
      </c>
      <c r="S41" s="94" t="e">
        <f aca="false">A41*COS($V$24)</f>
        <v>#VALUE!</v>
      </c>
      <c r="T41" s="94" t="e">
        <f aca="false">Wedge_multiplier(A41,$E$24,$S$24,$T$24,$U$24)</f>
        <v>#VALUE!</v>
      </c>
      <c r="U41" s="94" t="e">
        <f aca="false">Wedge_wavedrageCoef(A41,$E$24,$S$24,$T$24,$U$24)</f>
        <v>#VALUE!</v>
      </c>
    </row>
    <row r="42" customFormat="false" ht="15" hidden="false" customHeight="false" outlineLevel="0" collapsed="false">
      <c r="A42" s="94" t="n">
        <v>2.6</v>
      </c>
      <c r="B42" s="94" t="e">
        <f aca="false">A42*COS($F$24)</f>
        <v>#VALUE!</v>
      </c>
      <c r="C42" s="94" t="e">
        <f aca="false">Wedge_HalfAngle(A42,$A$24,$B$24,$C$24)</f>
        <v>#VALUE!</v>
      </c>
      <c r="E42" s="94" t="e">
        <f aca="false">Wedge_multiplier(A42/COS($F$24),$E$24,$A$24,$B$24,$C$24)</f>
        <v>#VALUE!</v>
      </c>
      <c r="F42" s="94" t="e">
        <f aca="false">Wedge_wavedrageCoef(A42/COS($F$24),$E$24,$A$24,$B$24,$C$24)</f>
        <v>#VALUE!</v>
      </c>
      <c r="H42" s="94" t="e">
        <f aca="false">Wedge_multiplier(A42,$E$24,$A$24,$B$24,$C$24)</f>
        <v>#VALUE!</v>
      </c>
      <c r="I42" s="94" t="e">
        <f aca="false">Wedge_wavedrageCoef(A42,$E$24,$A$24,$B$24,$C$24)</f>
        <v>#VALUE!</v>
      </c>
      <c r="O42" s="94" t="e">
        <f aca="false">A42*COS($Q$24)</f>
        <v>#VALUE!</v>
      </c>
      <c r="P42" s="94" t="e">
        <f aca="false">Wedge_multiplier(A42,$E$24,$N$24,$O$24,$P$24)</f>
        <v>#VALUE!</v>
      </c>
      <c r="Q42" s="94" t="e">
        <f aca="false">Wedge_wavedrageCoef(A42,$E$24,$N$24,$O$24,$P$24)</f>
        <v>#VALUE!</v>
      </c>
      <c r="S42" s="94" t="e">
        <f aca="false">A42*COS($V$24)</f>
        <v>#VALUE!</v>
      </c>
      <c r="T42" s="94" t="e">
        <f aca="false">Wedge_multiplier(A42,$E$24,$S$24,$T$24,$U$24)</f>
        <v>#VALUE!</v>
      </c>
      <c r="U42" s="94" t="e">
        <f aca="false">Wedge_wavedrageCoef(A42,$E$24,$S$24,$T$24,$U$24)</f>
        <v>#VALUE!</v>
      </c>
    </row>
    <row r="43" customFormat="false" ht="15" hidden="false" customHeight="false" outlineLevel="0" collapsed="false">
      <c r="A43" s="94" t="n">
        <v>2.8</v>
      </c>
      <c r="B43" s="94" t="e">
        <f aca="false">A43*COS($F$24)</f>
        <v>#VALUE!</v>
      </c>
      <c r="C43" s="94" t="e">
        <f aca="false">Wedge_HalfAngle(A43,$A$24,$B$24,$C$24)</f>
        <v>#VALUE!</v>
      </c>
      <c r="E43" s="94" t="e">
        <f aca="false">Wedge_multiplier(A43/COS($F$24),$E$24,$A$24,$B$24,$C$24)</f>
        <v>#VALUE!</v>
      </c>
      <c r="F43" s="94" t="e">
        <f aca="false">Wedge_wavedrageCoef(A43/COS($F$24),$E$24,$A$24,$B$24,$C$24)</f>
        <v>#VALUE!</v>
      </c>
      <c r="H43" s="94" t="e">
        <f aca="false">Wedge_multiplier(A43,$E$24,$A$24,$B$24,$C$24)</f>
        <v>#VALUE!</v>
      </c>
      <c r="I43" s="94" t="e">
        <f aca="false">Wedge_wavedrageCoef(A43,$E$24,$A$24,$B$24,$C$24)</f>
        <v>#VALUE!</v>
      </c>
      <c r="O43" s="94" t="e">
        <f aca="false">A43*COS($Q$24)</f>
        <v>#VALUE!</v>
      </c>
      <c r="P43" s="94" t="e">
        <f aca="false">Wedge_multiplier(A43,$E$24,$N$24,$O$24,$P$24)</f>
        <v>#VALUE!</v>
      </c>
      <c r="Q43" s="94" t="e">
        <f aca="false">Wedge_wavedrageCoef(A43,$E$24,$N$24,$O$24,$P$24)</f>
        <v>#VALUE!</v>
      </c>
      <c r="S43" s="94" t="e">
        <f aca="false">A43*COS($V$24)</f>
        <v>#VALUE!</v>
      </c>
      <c r="T43" s="94" t="e">
        <f aca="false">Wedge_multiplier(A43,$E$24,$S$24,$T$24,$U$24)</f>
        <v>#VALUE!</v>
      </c>
      <c r="U43" s="94" t="e">
        <f aca="false">Wedge_wavedrageCoef(A43,$E$24,$S$24,$T$24,$U$24)</f>
        <v>#VALUE!</v>
      </c>
    </row>
    <row r="44" customFormat="false" ht="15" hidden="false" customHeight="false" outlineLevel="0" collapsed="false">
      <c r="A44" s="94" t="n">
        <v>3</v>
      </c>
      <c r="B44" s="94" t="e">
        <f aca="false">A44*COS($F$24)</f>
        <v>#VALUE!</v>
      </c>
      <c r="C44" s="94" t="e">
        <f aca="false">Wedge_HalfAngle(A44,$A$24,$B$24,$C$24)</f>
        <v>#VALUE!</v>
      </c>
      <c r="E44" s="94" t="e">
        <f aca="false">Wedge_multiplier(A44/COS($F$24),$E$24,$A$24,$B$24,$C$24)</f>
        <v>#VALUE!</v>
      </c>
      <c r="F44" s="94" t="e">
        <f aca="false">Wedge_wavedrageCoef(A44/COS($F$24),$E$24,$A$24,$B$24,$C$24)</f>
        <v>#VALUE!</v>
      </c>
      <c r="H44" s="94" t="e">
        <f aca="false">Wedge_multiplier(A44,$E$24,$A$24,$B$24,$C$24)</f>
        <v>#VALUE!</v>
      </c>
      <c r="I44" s="94" t="e">
        <f aca="false">Wedge_wavedrageCoef(A44,$E$24,$A$24,$B$24,$C$24)</f>
        <v>#VALUE!</v>
      </c>
      <c r="O44" s="94" t="e">
        <f aca="false">A44*COS($Q$24)</f>
        <v>#VALUE!</v>
      </c>
      <c r="P44" s="94" t="e">
        <f aca="false">Wedge_multiplier(A44,$E$24,$N$24,$O$24,$P$24)</f>
        <v>#VALUE!</v>
      </c>
      <c r="Q44" s="94" t="e">
        <f aca="false">Wedge_wavedrageCoef(A44,$E$24,$N$24,$O$24,$P$24)</f>
        <v>#VALUE!</v>
      </c>
      <c r="S44" s="94" t="e">
        <f aca="false">A44*COS($V$24)</f>
        <v>#VALUE!</v>
      </c>
      <c r="T44" s="94" t="e">
        <f aca="false">Wedge_multiplier(A44,$E$24,$S$24,$T$24,$U$24)</f>
        <v>#VALUE!</v>
      </c>
      <c r="U44" s="94" t="e">
        <f aca="false">Wedge_wavedrageCoef(A44,$E$24,$S$24,$T$24,$U$24)</f>
        <v>#VALUE!</v>
      </c>
    </row>
    <row r="45" customFormat="false" ht="15" hidden="false" customHeight="false" outlineLevel="0" collapsed="false">
      <c r="A45" s="94" t="n">
        <v>3.2</v>
      </c>
      <c r="B45" s="94" t="e">
        <f aca="false">A45*COS($F$24)</f>
        <v>#VALUE!</v>
      </c>
      <c r="C45" s="94" t="e">
        <f aca="false">Wedge_HalfAngle(A45,$A$24,$B$24,$C$24)</f>
        <v>#VALUE!</v>
      </c>
      <c r="E45" s="94" t="e">
        <f aca="false">Wedge_multiplier(A45/COS($F$24),$E$24,$A$24,$B$24,$C$24)</f>
        <v>#VALUE!</v>
      </c>
      <c r="F45" s="94" t="e">
        <f aca="false">Wedge_wavedrageCoef(A45/COS($F$24),$E$24,$A$24,$B$24,$C$24)</f>
        <v>#VALUE!</v>
      </c>
      <c r="H45" s="94" t="e">
        <f aca="false">Wedge_multiplier(A45,$E$24,$A$24,$B$24,$C$24)</f>
        <v>#VALUE!</v>
      </c>
      <c r="I45" s="94" t="e">
        <f aca="false">Wedge_wavedrageCoef(A45,$E$24,$A$24,$B$24,$C$24)</f>
        <v>#VALUE!</v>
      </c>
      <c r="O45" s="94" t="e">
        <f aca="false">A45*COS($Q$24)</f>
        <v>#VALUE!</v>
      </c>
      <c r="P45" s="94" t="e">
        <f aca="false">Wedge_multiplier(A45,$E$24,$N$24,$O$24,$P$24)</f>
        <v>#VALUE!</v>
      </c>
      <c r="Q45" s="94" t="e">
        <f aca="false">Wedge_wavedrageCoef(A45,$E$24,$N$24,$O$24,$P$24)</f>
        <v>#VALUE!</v>
      </c>
      <c r="S45" s="94" t="e">
        <f aca="false">A45*COS($V$24)</f>
        <v>#VALUE!</v>
      </c>
      <c r="T45" s="94" t="e">
        <f aca="false">Wedge_multiplier(A45,$E$24,$S$24,$T$24,$U$24)</f>
        <v>#VALUE!</v>
      </c>
      <c r="U45" s="94" t="e">
        <f aca="false">Wedge_wavedrageCoef(A45,$E$24,$S$24,$T$24,$U$24)</f>
        <v>#VALUE!</v>
      </c>
    </row>
    <row r="46" customFormat="false" ht="15" hidden="false" customHeight="false" outlineLevel="0" collapsed="false">
      <c r="A46" s="94" t="n">
        <v>3.4</v>
      </c>
      <c r="B46" s="94" t="e">
        <f aca="false">A46*COS($F$24)</f>
        <v>#VALUE!</v>
      </c>
      <c r="C46" s="94" t="e">
        <f aca="false">Wedge_HalfAngle(A46,$A$24,$B$24,$C$24)</f>
        <v>#VALUE!</v>
      </c>
      <c r="E46" s="94" t="e">
        <f aca="false">Wedge_multiplier(A46/COS($F$24),$E$24,$A$24,$B$24,$C$24)</f>
        <v>#VALUE!</v>
      </c>
      <c r="F46" s="94" t="e">
        <f aca="false">Wedge_wavedrageCoef(A46/COS($F$24),$E$24,$A$24,$B$24,$C$24)</f>
        <v>#VALUE!</v>
      </c>
      <c r="H46" s="94" t="e">
        <f aca="false">Wedge_multiplier(A46,$E$24,$A$24,$B$24,$C$24)</f>
        <v>#VALUE!</v>
      </c>
      <c r="I46" s="94" t="e">
        <f aca="false">Wedge_wavedrageCoef(A46,$E$24,$A$24,$B$24,$C$24)</f>
        <v>#VALUE!</v>
      </c>
      <c r="O46" s="94" t="e">
        <f aca="false">A46*COS($Q$24)</f>
        <v>#VALUE!</v>
      </c>
      <c r="P46" s="94" t="e">
        <f aca="false">Wedge_multiplier(A46,$E$24,$N$24,$O$24,$P$24)</f>
        <v>#VALUE!</v>
      </c>
      <c r="Q46" s="94" t="e">
        <f aca="false">Wedge_wavedrageCoef(A46,$E$24,$N$24,$O$24,$P$24)</f>
        <v>#VALUE!</v>
      </c>
      <c r="S46" s="94" t="e">
        <f aca="false">A46*COS($V$24)</f>
        <v>#VALUE!</v>
      </c>
      <c r="T46" s="94" t="e">
        <f aca="false">Wedge_multiplier(A46,$E$24,$S$24,$T$24,$U$24)</f>
        <v>#VALUE!</v>
      </c>
      <c r="U46" s="94" t="e">
        <f aca="false">Wedge_wavedrageCoef(A46,$E$24,$S$24,$T$24,$U$24)</f>
        <v>#VALUE!</v>
      </c>
    </row>
    <row r="47" customFormat="false" ht="15" hidden="false" customHeight="false" outlineLevel="0" collapsed="false">
      <c r="A47" s="94" t="n">
        <v>3.6</v>
      </c>
      <c r="B47" s="94" t="e">
        <f aca="false">A47*COS($F$24)</f>
        <v>#VALUE!</v>
      </c>
      <c r="C47" s="94" t="e">
        <f aca="false">Wedge_HalfAngle(A47,$A$24,$B$24,$C$24)</f>
        <v>#VALUE!</v>
      </c>
      <c r="E47" s="94" t="e">
        <f aca="false">Wedge_multiplier(A47/COS($F$24),$E$24,$A$24,$B$24,$C$24)</f>
        <v>#VALUE!</v>
      </c>
      <c r="F47" s="94" t="e">
        <f aca="false">Wedge_wavedrageCoef(A47/COS($F$24),$E$24,$A$24,$B$24,$C$24)</f>
        <v>#VALUE!</v>
      </c>
      <c r="H47" s="94" t="e">
        <f aca="false">Wedge_multiplier(A47,$E$24,$A$24,$B$24,$C$24)</f>
        <v>#VALUE!</v>
      </c>
      <c r="I47" s="94" t="e">
        <f aca="false">Wedge_wavedrageCoef(A47,$E$24,$A$24,$B$24,$C$24)</f>
        <v>#VALUE!</v>
      </c>
      <c r="O47" s="94" t="e">
        <f aca="false">A47*COS($Q$24)</f>
        <v>#VALUE!</v>
      </c>
      <c r="P47" s="94" t="e">
        <f aca="false">Wedge_multiplier(A47,$E$24,$N$24,$O$24,$P$24)</f>
        <v>#VALUE!</v>
      </c>
      <c r="Q47" s="94" t="e">
        <f aca="false">Wedge_wavedrageCoef(A47,$E$24,$N$24,$O$24,$P$24)</f>
        <v>#VALUE!</v>
      </c>
      <c r="S47" s="94" t="e">
        <f aca="false">A47*COS($V$24)</f>
        <v>#VALUE!</v>
      </c>
      <c r="T47" s="94" t="e">
        <f aca="false">Wedge_multiplier(A47,$E$24,$S$24,$T$24,$U$24)</f>
        <v>#VALUE!</v>
      </c>
      <c r="U47" s="94" t="e">
        <f aca="false">Wedge_wavedrageCoef(A47,$E$24,$S$24,$T$24,$U$24)</f>
        <v>#VALUE!</v>
      </c>
    </row>
    <row r="48" customFormat="false" ht="15" hidden="false" customHeight="false" outlineLevel="0" collapsed="false">
      <c r="A48" s="94" t="n">
        <v>3.8</v>
      </c>
      <c r="B48" s="94" t="e">
        <f aca="false">A48*COS($F$24)</f>
        <v>#VALUE!</v>
      </c>
      <c r="C48" s="94" t="e">
        <f aca="false">Wedge_HalfAngle(A48,$A$24,$B$24,$C$24)</f>
        <v>#VALUE!</v>
      </c>
      <c r="E48" s="94" t="e">
        <f aca="false">Wedge_multiplier(A48/COS($F$24),$E$24,$A$24,$B$24,$C$24)</f>
        <v>#VALUE!</v>
      </c>
      <c r="F48" s="94" t="e">
        <f aca="false">Wedge_wavedrageCoef(A48/COS($F$24),$E$24,$A$24,$B$24,$C$24)</f>
        <v>#VALUE!</v>
      </c>
      <c r="H48" s="94" t="e">
        <f aca="false">Wedge_multiplier(A48,$E$24,$A$24,$B$24,$C$24)</f>
        <v>#VALUE!</v>
      </c>
      <c r="I48" s="94" t="e">
        <f aca="false">Wedge_wavedrageCoef(A48,$E$24,$A$24,$B$24,$C$24)</f>
        <v>#VALUE!</v>
      </c>
      <c r="O48" s="94" t="e">
        <f aca="false">A48*COS($Q$24)</f>
        <v>#VALUE!</v>
      </c>
      <c r="P48" s="94" t="e">
        <f aca="false">Wedge_multiplier(A48,$E$24,$N$24,$O$24,$P$24)</f>
        <v>#VALUE!</v>
      </c>
      <c r="Q48" s="94" t="e">
        <f aca="false">Wedge_wavedrageCoef(A48,$E$24,$N$24,$O$24,$P$24)</f>
        <v>#VALUE!</v>
      </c>
      <c r="S48" s="94" t="e">
        <f aca="false">A48*COS($V$24)</f>
        <v>#VALUE!</v>
      </c>
      <c r="T48" s="94" t="e">
        <f aca="false">Wedge_multiplier(A48,$E$24,$S$24,$T$24,$U$24)</f>
        <v>#VALUE!</v>
      </c>
      <c r="U48" s="94" t="e">
        <f aca="false">Wedge_wavedrageCoef(A48,$E$24,$S$24,$T$24,$U$24)</f>
        <v>#VALUE!</v>
      </c>
    </row>
    <row r="49" customFormat="false" ht="15" hidden="false" customHeight="false" outlineLevel="0" collapsed="false">
      <c r="A49" s="94" t="n">
        <v>4</v>
      </c>
      <c r="B49" s="94" t="e">
        <f aca="false">A49*COS($F$24)</f>
        <v>#VALUE!</v>
      </c>
      <c r="C49" s="94" t="e">
        <f aca="false">Wedge_HalfAngle(A49,$A$24,$B$24,$C$24)</f>
        <v>#VALUE!</v>
      </c>
      <c r="E49" s="94" t="e">
        <f aca="false">Wedge_multiplier(A49/COS($F$24),$E$24,$A$24,$B$24,$C$24)</f>
        <v>#VALUE!</v>
      </c>
      <c r="F49" s="94" t="e">
        <f aca="false">Wedge_wavedrageCoef(A49/COS($F$24),$E$24,$A$24,$B$24,$C$24)</f>
        <v>#VALUE!</v>
      </c>
      <c r="H49" s="94" t="e">
        <f aca="false">Wedge_multiplier(A49,$E$24,$A$24,$B$24,$C$24)</f>
        <v>#VALUE!</v>
      </c>
      <c r="I49" s="94" t="e">
        <f aca="false">Wedge_wavedrageCoef(A49,$E$24,$A$24,$B$24,$C$24)</f>
        <v>#VALUE!</v>
      </c>
      <c r="O49" s="94" t="e">
        <f aca="false">A49*COS($Q$24)</f>
        <v>#VALUE!</v>
      </c>
      <c r="P49" s="94" t="e">
        <f aca="false">Wedge_multiplier(A49,$E$24,$N$24,$O$24,$P$24)</f>
        <v>#VALUE!</v>
      </c>
      <c r="Q49" s="94" t="e">
        <f aca="false">Wedge_wavedrageCoef(A49,$E$24,$N$24,$O$24,$P$24)</f>
        <v>#VALUE!</v>
      </c>
      <c r="S49" s="94" t="e">
        <f aca="false">A49*COS($V$24)</f>
        <v>#VALUE!</v>
      </c>
      <c r="T49" s="94" t="e">
        <f aca="false">Wedge_multiplier(A49,$E$24,$S$24,$T$24,$U$24)</f>
        <v>#VALUE!</v>
      </c>
      <c r="U49" s="94" t="e">
        <f aca="false">Wedge_wavedrageCoef(A49,$E$24,$S$24,$T$24,$U$24)</f>
        <v>#VALUE!</v>
      </c>
    </row>
    <row r="74" customFormat="false" ht="15" hidden="false" customHeight="false" outlineLevel="0" collapsed="false">
      <c r="C74" s="0" t="s">
        <v>185</v>
      </c>
      <c r="E74" s="0" t="s">
        <v>186</v>
      </c>
    </row>
    <row r="75" customFormat="false" ht="15" hidden="false" customHeight="false" outlineLevel="0" collapsed="false">
      <c r="A75" s="0" t="s">
        <v>183</v>
      </c>
      <c r="B75" s="0" t="n">
        <v>1</v>
      </c>
      <c r="C75" s="31" t="n">
        <f aca="false">H24</f>
        <v>1.29099444873581</v>
      </c>
      <c r="D75" s="31" t="e">
        <f aca="false">I24</f>
        <v>#VALUE!</v>
      </c>
      <c r="E75" s="31" t="n">
        <f aca="false">J24</f>
        <v>2.23606797749979</v>
      </c>
      <c r="F75" s="0" t="n">
        <v>4</v>
      </c>
    </row>
    <row r="76" customFormat="false" ht="15" hidden="false" customHeight="false" outlineLevel="0" collapsed="false">
      <c r="A76" s="0" t="s">
        <v>184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8" customFormat="false" ht="15" hidden="false" customHeight="false" outlineLevel="0" collapsed="false">
      <c r="A78" s="0" t="s">
        <v>183</v>
      </c>
      <c r="B78" s="0" t="n">
        <v>1</v>
      </c>
      <c r="C78" s="31" t="n">
        <f aca="false">H24</f>
        <v>1.29099444873581</v>
      </c>
      <c r="D78" s="31" t="e">
        <f aca="false">I24</f>
        <v>#VALUE!</v>
      </c>
      <c r="E78" s="31" t="n">
        <f aca="false">J24</f>
        <v>2.23606797749979</v>
      </c>
      <c r="F78" s="0" t="n">
        <v>4</v>
      </c>
    </row>
    <row r="79" customFormat="false" ht="15" hidden="false" customHeight="false" outlineLevel="0" collapsed="false">
      <c r="A79" s="0" t="s">
        <v>184</v>
      </c>
      <c r="B79" s="0" t="n">
        <v>1</v>
      </c>
      <c r="C79" s="0" t="n">
        <v>1</v>
      </c>
      <c r="D79" s="0" t="n">
        <v>1</v>
      </c>
      <c r="E79" s="0" t="n">
        <v>1</v>
      </c>
      <c r="F79" s="0" t="n">
        <v>1</v>
      </c>
    </row>
    <row r="92" customFormat="false" ht="15" hidden="false" customHeight="false" outlineLevel="0" collapsed="false">
      <c r="I92" s="31"/>
      <c r="K92" s="31"/>
      <c r="L92" s="31" t="s">
        <v>187</v>
      </c>
      <c r="N92" s="0" t="s">
        <v>188</v>
      </c>
    </row>
    <row r="93" customFormat="false" ht="15" hidden="false" customHeight="false" outlineLevel="0" collapsed="false">
      <c r="J93" s="0" t="s">
        <v>172</v>
      </c>
      <c r="K93" s="0" t="s">
        <v>189</v>
      </c>
      <c r="L93" s="0" t="s">
        <v>190</v>
      </c>
      <c r="N93" s="0" t="s">
        <v>191</v>
      </c>
      <c r="O93" s="0" t="s">
        <v>192</v>
      </c>
    </row>
    <row r="94" customFormat="false" ht="15" hidden="false" customHeight="false" outlineLevel="0" collapsed="false">
      <c r="J94" s="0" t="n">
        <v>1</v>
      </c>
      <c r="K94" s="0" t="n">
        <v>0</v>
      </c>
      <c r="L94" s="0" t="n">
        <v>0</v>
      </c>
      <c r="M94" s="0" t="n">
        <v>1</v>
      </c>
      <c r="N94" s="0" t="n">
        <f aca="false">(4/(3*SQRT(3)*(1.4+1)))*(M94^2-1)^(3/2)/M94^2</f>
        <v>0</v>
      </c>
      <c r="O94" s="0" t="n">
        <f aca="false">N94*180/PI()</f>
        <v>0</v>
      </c>
    </row>
    <row r="95" customFormat="false" ht="15" hidden="false" customHeight="false" outlineLevel="0" collapsed="false">
      <c r="J95" s="0" t="n">
        <v>1.1</v>
      </c>
      <c r="K95" s="0" t="n">
        <v>1.6</v>
      </c>
      <c r="L95" s="0" t="n">
        <f aca="false">K95*PI()/180</f>
        <v>0.0279252680319093</v>
      </c>
      <c r="M95" s="0" t="n">
        <v>1.1</v>
      </c>
      <c r="N95" s="0" t="n">
        <f aca="false">(4/(3*SQRT(3)*(1.4+1)))*(M95^2-1)^(3/2)/M95^2</f>
        <v>0.025509998867014</v>
      </c>
      <c r="O95" s="0" t="n">
        <f aca="false">N95*180/PI()</f>
        <v>1.46161527046341</v>
      </c>
    </row>
    <row r="96" customFormat="false" ht="15" hidden="false" customHeight="false" outlineLevel="0" collapsed="false">
      <c r="J96" s="0" t="n">
        <v>1.2</v>
      </c>
      <c r="K96" s="0" t="n">
        <v>4</v>
      </c>
      <c r="L96" s="0" t="n">
        <f aca="false">K96*PI()/180</f>
        <v>0.0698131700797732</v>
      </c>
      <c r="M96" s="0" t="n">
        <v>1.2</v>
      </c>
      <c r="N96" s="0" t="n">
        <f aca="false">(4/(3*SQRT(3)*(1.4+1)))*(M96^2-1)^(3/2)/M96^2</f>
        <v>0.0650104826254304</v>
      </c>
      <c r="O96" s="0" t="n">
        <f aca="false">N96*180/PI()</f>
        <v>3.72482627854573</v>
      </c>
    </row>
    <row r="97" customFormat="false" ht="15" hidden="false" customHeight="false" outlineLevel="0" collapsed="false">
      <c r="J97" s="0" t="n">
        <v>1.4</v>
      </c>
      <c r="K97" s="0" t="n">
        <v>9.3</v>
      </c>
      <c r="L97" s="0" t="n">
        <f aca="false">K97*PI()/180</f>
        <v>0.162315620435473</v>
      </c>
      <c r="M97" s="0" t="n">
        <v>1.3</v>
      </c>
      <c r="N97" s="0" t="n">
        <f aca="false">(4/(3*SQRT(3)*(1.4+1)))*(M97^2-1)^(3/2)/M97^2</f>
        <v>0.108781188398612</v>
      </c>
      <c r="O97" s="0" t="n">
        <f aca="false">N97*180/PI()</f>
        <v>6.23270298565794</v>
      </c>
    </row>
    <row r="98" customFormat="false" ht="15" hidden="false" customHeight="false" outlineLevel="0" collapsed="false">
      <c r="J98" s="0" t="n">
        <v>1.5</v>
      </c>
      <c r="K98" s="0" t="n">
        <v>12.2</v>
      </c>
      <c r="L98" s="0" t="n">
        <f aca="false">K98*PI()/180</f>
        <v>0.212930168743308</v>
      </c>
      <c r="M98" s="0" t="n">
        <v>1.4</v>
      </c>
      <c r="N98" s="0" t="n">
        <f aca="false">(4/(3*SQRT(3)*(1.4+1)))*(M98^2-1)^(3/2)/M98^2</f>
        <v>0.153928006788908</v>
      </c>
      <c r="O98" s="0" t="n">
        <f aca="false">N98*180/PI()</f>
        <v>8.81942513786553</v>
      </c>
    </row>
    <row r="99" customFormat="false" ht="15" hidden="false" customHeight="false" outlineLevel="0" collapsed="false">
      <c r="J99" s="0" t="n">
        <v>1.6</v>
      </c>
      <c r="K99" s="0" t="n">
        <v>14.8</v>
      </c>
      <c r="L99" s="0" t="n">
        <f aca="false">K99*PI()/180</f>
        <v>0.258308729295161</v>
      </c>
      <c r="M99" s="0" t="n">
        <v>1.5</v>
      </c>
      <c r="N99" s="0" t="n">
        <f aca="false">(4/(3*SQRT(3)*(1.4+1)))*(M99^2-1)^(3/2)/M99^2</f>
        <v>0.199227538385155</v>
      </c>
      <c r="O99" s="0" t="n">
        <f aca="false">N99*180/PI()</f>
        <v>11.41489711225</v>
      </c>
    </row>
    <row r="100" customFormat="false" ht="15" hidden="false" customHeight="false" outlineLevel="0" collapsed="false">
      <c r="J100" s="0" t="n">
        <v>1.8</v>
      </c>
      <c r="K100" s="0" t="n">
        <v>19.3</v>
      </c>
      <c r="L100" s="0" t="n">
        <f aca="false">K100*PI()/180</f>
        <v>0.336848545634906</v>
      </c>
      <c r="M100" s="0" t="n">
        <v>1.6</v>
      </c>
      <c r="N100" s="0" t="n">
        <f aca="false">(4/(3*SQRT(3)*(1.4+1)))*(M100^2-1)^(3/2)/M100^2</f>
        <v>0.244125867609541</v>
      </c>
      <c r="O100" s="0" t="n">
        <f aca="false">N100*180/PI()</f>
        <v>13.9873818839962</v>
      </c>
    </row>
    <row r="101" customFormat="false" ht="15" hidden="false" customHeight="false" outlineLevel="0" collapsed="false">
      <c r="J101" s="0" t="n">
        <v>2</v>
      </c>
      <c r="K101" s="0" t="n">
        <v>23.2</v>
      </c>
      <c r="L101" s="0" t="n">
        <f aca="false">K101*PI()/180</f>
        <v>0.404916386462684</v>
      </c>
      <c r="M101" s="0" t="n">
        <v>1.7</v>
      </c>
      <c r="N101" s="0" t="n">
        <f aca="false">(4/(3*SQRT(3)*(1.4+1)))*(M101^2-1)^(3/2)/M101^2</f>
        <v>0.288377738057213</v>
      </c>
      <c r="O101" s="0" t="n">
        <f aca="false">N101*180/PI()</f>
        <v>16.5228272962075</v>
      </c>
    </row>
    <row r="102" customFormat="false" ht="15" hidden="false" customHeight="false" outlineLevel="0" collapsed="false">
      <c r="J102" s="0" t="n">
        <v>2.2</v>
      </c>
      <c r="K102" s="0" t="n">
        <v>26.3</v>
      </c>
      <c r="L102" s="0" t="n">
        <f aca="false">K102*PI()/180</f>
        <v>0.459021593274509</v>
      </c>
      <c r="M102" s="0" t="n">
        <v>1.8</v>
      </c>
      <c r="N102" s="0" t="n">
        <f aca="false">(4/(3*SQRT(3)*(1.4+1)))*(M102^2-1)^(3/2)/M102^2</f>
        <v>0.331889784280604</v>
      </c>
      <c r="O102" s="0" t="n">
        <f aca="false">N102*180/PI()</f>
        <v>19.0158839027859</v>
      </c>
    </row>
    <row r="103" customFormat="false" ht="15" hidden="false" customHeight="false" outlineLevel="0" collapsed="false">
      <c r="J103" s="0" t="n">
        <v>2.6</v>
      </c>
      <c r="K103" s="0" t="n">
        <v>30.8</v>
      </c>
      <c r="L103" s="0" t="n">
        <f aca="false">K103*PI()/180</f>
        <v>0.537561409614254</v>
      </c>
      <c r="M103" s="0" t="n">
        <v>1.9</v>
      </c>
      <c r="N103" s="0" t="n">
        <f aca="false">(4/(3*SQRT(3)*(1.4+1)))*(M103^2-1)^(3/2)/M103^2</f>
        <v>0.374645419029883</v>
      </c>
      <c r="O103" s="0" t="n">
        <f aca="false">N103*180/PI()</f>
        <v>21.4656013243225</v>
      </c>
    </row>
    <row r="104" customFormat="false" ht="15" hidden="false" customHeight="false" outlineLevel="0" collapsed="false">
      <c r="J104" s="0" t="n">
        <v>3</v>
      </c>
      <c r="K104" s="0" t="n">
        <v>34.3</v>
      </c>
      <c r="L104" s="0" t="n">
        <f aca="false">K104*PI()/180</f>
        <v>0.598647933434055</v>
      </c>
      <c r="M104" s="0" t="n">
        <v>1.92</v>
      </c>
      <c r="N104" s="0" t="n">
        <f aca="false">(4/(3*SQRT(3)*(1.4+1)))*(M104^2-1)^(3/2)/M104^2</f>
        <v>0.383107300795419</v>
      </c>
      <c r="O104" s="0" t="n">
        <f aca="false">N104*180/PI()</f>
        <v>21.9504314362264</v>
      </c>
    </row>
    <row r="105" customFormat="false" ht="15" hidden="false" customHeight="false" outlineLevel="0" collapsed="false">
      <c r="J105" s="0" t="n">
        <v>3.4</v>
      </c>
      <c r="K105" s="0" t="n">
        <v>36.5</v>
      </c>
      <c r="L105" s="0" t="n">
        <f aca="false">K105*PI()/180</f>
        <v>0.63704517697793</v>
      </c>
      <c r="M105" s="0" t="n">
        <v>1.94</v>
      </c>
      <c r="N105" s="0" t="n">
        <f aca="false">(4/(3*SQRT(3)*(1.4+1)))*(M105^2-1)^(3/2)/M105^2</f>
        <v>0.391540042558774</v>
      </c>
      <c r="O105" s="0" t="n">
        <f aca="false">N105*180/PI()</f>
        <v>22.4335919489904</v>
      </c>
    </row>
    <row r="106" customFormat="false" ht="15" hidden="false" customHeight="false" outlineLevel="0" collapsed="false">
      <c r="J106" s="0" t="n">
        <v>3.8</v>
      </c>
      <c r="K106" s="0" t="n">
        <v>38.2</v>
      </c>
      <c r="L106" s="0" t="n">
        <f aca="false">K106*PI()/180</f>
        <v>0.666715774261834</v>
      </c>
      <c r="M106" s="0" t="n">
        <v>1.96</v>
      </c>
      <c r="N106" s="0" t="n">
        <f aca="false">(4/(3*SQRT(3)*(1.4+1)))*(M106^2-1)^(3/2)/M106^2</f>
        <v>0.399943958676834</v>
      </c>
      <c r="O106" s="0" t="n">
        <f aca="false">N106*180/PI()</f>
        <v>22.9151008739372</v>
      </c>
    </row>
    <row r="107" customFormat="false" ht="15" hidden="false" customHeight="false" outlineLevel="0" collapsed="false">
      <c r="J107" s="0" t="n">
        <v>4.2</v>
      </c>
      <c r="K107" s="0" t="n">
        <v>39.4</v>
      </c>
      <c r="L107" s="0" t="n">
        <f aca="false">K107*PI()/180</f>
        <v>0.687659725285766</v>
      </c>
      <c r="M107" s="0" t="n">
        <v>1.98</v>
      </c>
      <c r="N107" s="0" t="n">
        <f aca="false">(4/(3*SQRT(3)*(1.4+1)))*(M107^2-1)^(3/2)/M107^2</f>
        <v>0.408319383198969</v>
      </c>
      <c r="O107" s="0" t="n">
        <f aca="false">N107*180/PI()</f>
        <v>23.3949773506859</v>
      </c>
    </row>
    <row r="108" customFormat="false" ht="15" hidden="false" customHeight="false" outlineLevel="0" collapsed="false">
      <c r="J108" s="0" t="n">
        <v>4.6</v>
      </c>
      <c r="K108" s="0" t="n">
        <v>40.3</v>
      </c>
      <c r="L108" s="0" t="n">
        <f aca="false">K108*PI()/180</f>
        <v>0.703367688553715</v>
      </c>
      <c r="M108" s="0" t="n">
        <v>2</v>
      </c>
      <c r="N108" s="0" t="n">
        <f aca="false">(4/(3*SQRT(3)*(1.4+1)))*(M108^2-1)^(3/2)/M108^2</f>
        <v>0.416666666666667</v>
      </c>
      <c r="O108" s="0" t="n">
        <f aca="false">N108*180/PI()</f>
        <v>23.8732414637843</v>
      </c>
    </row>
    <row r="109" customFormat="false" ht="15" hidden="false" customHeight="false" outlineLevel="0" collapsed="false">
      <c r="J109" s="0" t="n">
        <v>5</v>
      </c>
      <c r="K109" s="0" t="n">
        <v>41.2</v>
      </c>
      <c r="L109" s="0" t="n">
        <f aca="false">K109*PI()/180</f>
        <v>0.719075651821664</v>
      </c>
      <c r="M109" s="0" t="n">
        <v>2.02</v>
      </c>
      <c r="N109" s="0" t="n">
        <f aca="false">(4/(3*SQRT(3)*(1.4+1)))*(M109^2-1)^(3/2)/M109^2</f>
        <v>0.424986173283317</v>
      </c>
      <c r="O109" s="0" t="n">
        <f aca="false">N109*180/PI()</f>
        <v>24.3499140805495</v>
      </c>
    </row>
    <row r="110" customFormat="false" ht="15" hidden="false" customHeight="false" outlineLevel="0" collapsed="false">
      <c r="K110" s="0" t="n">
        <v>24</v>
      </c>
      <c r="L110" s="0" t="n">
        <f aca="false">K110*PI()/180</f>
        <v>0.418879020478639</v>
      </c>
      <c r="M110" s="0" t="n">
        <v>2.1</v>
      </c>
      <c r="N110" s="0" t="n">
        <f aca="false">(4/(3*SQRT(3)*(1.4+1)))*(M110^2-1)^(3/2)/M110^2</f>
        <v>0.457994061205706</v>
      </c>
      <c r="O110" s="0" t="n">
        <f aca="false">N110*180/PI()</f>
        <v>26.2411267491433</v>
      </c>
    </row>
    <row r="111" customFormat="false" ht="15" hidden="false" customHeight="false" outlineLevel="0" collapsed="false">
      <c r="M111" s="0" t="n">
        <v>2.3</v>
      </c>
      <c r="N111" s="0" t="n">
        <f aca="false">(4/(3*SQRT(3)*(1.4+1)))*(M111^2-1)^(3/2)/M111^2</f>
        <v>0.538762219994802</v>
      </c>
      <c r="O111" s="0" t="n">
        <f aca="false">N111*180/PI()</f>
        <v>30.8688013668009</v>
      </c>
    </row>
    <row r="113" customFormat="false" ht="15" hidden="false" customHeight="false" outlineLevel="0" collapsed="false">
      <c r="L113" s="0" t="s">
        <v>172</v>
      </c>
      <c r="M113" s="0" t="s">
        <v>193</v>
      </c>
    </row>
    <row r="114" customFormat="false" ht="15" hidden="false" customHeight="false" outlineLevel="0" collapsed="false">
      <c r="L114" s="0" t="n">
        <v>1</v>
      </c>
      <c r="M114" s="0" t="n">
        <v>0.0866025403784439</v>
      </c>
      <c r="N114" s="0" t="n">
        <v>4.96196005879613</v>
      </c>
    </row>
    <row r="115" customFormat="false" ht="15" hidden="false" customHeight="false" outlineLevel="0" collapsed="false">
      <c r="L115" s="0" t="n">
        <v>1.251</v>
      </c>
      <c r="M115" s="0" t="n">
        <f aca="false">(4/(3*SQRT(3)*(1.4+1)))*(L115^2-1)^(3/2)/L115^2</f>
        <v>0.0870414411140739</v>
      </c>
      <c r="N115" s="0" t="n">
        <f aca="false">M115*180/PI()</f>
        <v>4.98710721857292</v>
      </c>
    </row>
    <row r="116" customFormat="false" ht="15" hidden="false" customHeight="false" outlineLevel="0" collapsed="false">
      <c r="L116" s="0" t="n">
        <v>1.2511</v>
      </c>
      <c r="M116" s="0" t="n">
        <f aca="false">(4/(3*SQRT(3)*(1.4+1)))*(L116^2-1)^(3/2)/L116^2</f>
        <v>0.087085343734653</v>
      </c>
      <c r="N116" s="0" t="n">
        <f aca="false">M116*180/PI()</f>
        <v>4.98962265344167</v>
      </c>
    </row>
    <row r="117" customFormat="false" ht="15" hidden="false" customHeight="false" outlineLevel="0" collapsed="false">
      <c r="L117" s="0" t="n">
        <v>1.2512</v>
      </c>
      <c r="M117" s="0" t="n">
        <f aca="false">(4/(3*SQRT(3)*(1.4+1)))*(L117^2-1)^(3/2)/L117^2</f>
        <v>0.0871292486263396</v>
      </c>
      <c r="N117" s="0" t="n">
        <f aca="false">M117*180/PI()</f>
        <v>4.99213821843529</v>
      </c>
    </row>
    <row r="118" customFormat="false" ht="15" hidden="false" customHeight="false" outlineLevel="0" collapsed="false">
      <c r="L118" s="0" t="n">
        <v>1.2513</v>
      </c>
      <c r="M118" s="0" t="n">
        <f aca="false">(4/(3*SQRT(3)*(1.4+1)))*(L118^2-1)^(3/2)/L118^2</f>
        <v>0.0871731557865988</v>
      </c>
      <c r="N118" s="0" t="n">
        <f aca="false">M118*180/PI()</f>
        <v>4.99465391340854</v>
      </c>
    </row>
    <row r="119" customFormat="false" ht="15" hidden="false" customHeight="false" outlineLevel="0" collapsed="false">
      <c r="L119" s="0" t="n">
        <v>1.2514</v>
      </c>
      <c r="M119" s="0" t="n">
        <f aca="false">(4/(3*SQRT(3)*(1.4+1)))*(L119^2-1)^(3/2)/L119^2</f>
        <v>0.0872170652128982</v>
      </c>
      <c r="N119" s="0" t="n">
        <f aca="false">M119*180/PI()</f>
        <v>4.99716973821634</v>
      </c>
    </row>
    <row r="120" customFormat="false" ht="15" hidden="false" customHeight="false" outlineLevel="0" collapsed="false">
      <c r="L120" s="0" t="n">
        <v>1.2515</v>
      </c>
      <c r="M120" s="0" t="n">
        <f aca="false">(4/(3*SQRT(3)*(1.4+1)))*(L120^2-1)^(3/2)/L120^2</f>
        <v>0.0872609769027072</v>
      </c>
      <c r="N120" s="0" t="n">
        <f aca="false">M120*180/PI()</f>
        <v>4.99968569271368</v>
      </c>
    </row>
    <row r="121" customFormat="false" ht="15" hidden="false" customHeight="false" outlineLevel="0" collapsed="false">
      <c r="L121" s="0" t="n">
        <v>1.25151</v>
      </c>
      <c r="M121" s="0" t="n">
        <f aca="false">(4/(3*SQRT(3)*(1.4+1)))*(L121^2-1)^(3/2)/L121^2</f>
        <v>0.0872653681960837</v>
      </c>
      <c r="N121" s="0" t="n">
        <f aca="false">M121*180/PI()</f>
        <v>4.99993729529076</v>
      </c>
    </row>
    <row r="122" customFormat="false" ht="15" hidden="false" customHeight="false" outlineLevel="0" collapsed="false">
      <c r="L122" s="0" t="n">
        <v>1.5</v>
      </c>
      <c r="M122" s="0" t="n">
        <v>0.0872697595120676</v>
      </c>
      <c r="N122" s="0" t="n">
        <v>5.00018889916314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2010-10-28T22:46:32Z</dcterms:created>
  <dc:creator>VJ</dc:creator>
  <dc:description/>
  <dc:language>en-US</dc:language>
  <cp:lastModifiedBy>AirBlaze_W</cp:lastModifiedBy>
  <dcterms:modified xsi:type="dcterms:W3CDTF">2014-07-27T12:59:02Z</dcterms:modified>
  <cp:revision>0</cp:revision>
  <dc:subject/>
  <dc:title/>
</cp:coreProperties>
</file>