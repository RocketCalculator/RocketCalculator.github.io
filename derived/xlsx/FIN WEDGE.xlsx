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<sst xmlns="http://schemas.openxmlformats.org/spreadsheetml/2006/main" count="34" uniqueCount="34">
  <si>
    <t xml:space="preserve">Flight Speed, ft/sec</t>
  </si>
  <si>
    <t xml:space="preserve">Mach Number</t>
  </si>
  <si>
    <r>
      <rPr>
        <sz val="10"/>
        <rFont val="Arial"/>
        <family val="0"/>
      </rPr>
      <t xml:space="preserve">Dynamic Pressure, lb/ft</t>
    </r>
    <r>
      <rPr>
        <vertAlign val="superscript"/>
        <sz val="10"/>
        <rFont val="Arial"/>
        <family val="2"/>
      </rPr>
      <t xml:space="preserve">2</t>
    </r>
  </si>
  <si>
    <t xml:space="preserve">t, in</t>
  </si>
  <si>
    <t xml:space="preserve">t, ft</t>
  </si>
  <si>
    <t xml:space="preserve">Root chord, in</t>
  </si>
  <si>
    <t xml:space="preserve">Root chord, ft</t>
  </si>
  <si>
    <t xml:space="preserve">Tip  chord, in</t>
  </si>
  <si>
    <t xml:space="preserve">Tip  chord, ft</t>
  </si>
  <si>
    <t xml:space="preserve">Semi span, in</t>
  </si>
  <si>
    <t xml:space="preserve">Semi span, ft</t>
  </si>
  <si>
    <t xml:space="preserve">Body radius, in</t>
  </si>
  <si>
    <t xml:space="preserve">Body radius, ft</t>
  </si>
  <si>
    <t xml:space="preserve">Wedge chord, in</t>
  </si>
  <si>
    <t xml:space="preserve">Wedge chord, ft</t>
  </si>
  <si>
    <r>
      <rPr>
        <sz val="11"/>
        <rFont val="Arial"/>
        <family val="0"/>
      </rPr>
      <t xml:space="preserve">Wedge - chord ratio, </t>
    </r>
    <r>
      <rPr>
        <sz val="11"/>
        <rFont val="Arial"/>
        <family val="2"/>
      </rPr>
      <t xml:space="preserve">φ</t>
    </r>
  </si>
  <si>
    <t xml:space="preserve">Wedge angle, deg</t>
  </si>
  <si>
    <t xml:space="preserve">Wedge angle, rad</t>
  </si>
  <si>
    <r>
      <rPr>
        <sz val="11"/>
        <rFont val="Arial"/>
        <family val="0"/>
      </rPr>
      <t xml:space="preserve">Torsional modulus, G, lb/in</t>
    </r>
    <r>
      <rPr>
        <vertAlign val="superscript"/>
        <sz val="11"/>
        <rFont val="Arial"/>
        <family val="0"/>
      </rPr>
      <t xml:space="preserve">2</t>
    </r>
  </si>
  <si>
    <r>
      <rPr>
        <sz val="11"/>
        <rFont val="Arial"/>
        <family val="0"/>
      </rPr>
      <t xml:space="preserve">Torsional modulus, G,  lb/ft</t>
    </r>
    <r>
      <rPr>
        <vertAlign val="superscript"/>
        <sz val="11"/>
        <rFont val="Arial"/>
        <family val="0"/>
      </rPr>
      <t xml:space="preserve">2</t>
    </r>
  </si>
  <si>
    <r>
      <rPr>
        <sz val="11"/>
        <rFont val="Arial"/>
        <family val="0"/>
      </rPr>
      <t xml:space="preserve">Fin C</t>
    </r>
    <r>
      <rPr>
        <vertAlign val="subscript"/>
        <sz val="11"/>
        <rFont val="Arial"/>
        <family val="0"/>
      </rPr>
      <t xml:space="preserve">N</t>
    </r>
    <r>
      <rPr>
        <vertAlign val="subscript"/>
        <sz val="11"/>
        <rFont val="Symbol"/>
        <family val="1"/>
        <charset val="2"/>
      </rPr>
      <t xml:space="preserve">a</t>
    </r>
    <r>
      <rPr>
        <sz val="11"/>
        <rFont val="Arial"/>
        <family val="0"/>
      </rPr>
      <t xml:space="preserve">, per rad</t>
    </r>
  </si>
  <si>
    <t xml:space="preserve">Constant Thickness Plate</t>
  </si>
  <si>
    <t xml:space="preserve">Third Order Cp</t>
  </si>
  <si>
    <t xml:space="preserve">A</t>
  </si>
  <si>
    <t xml:space="preserve">B</t>
  </si>
  <si>
    <r>
      <rPr>
        <sz val="11"/>
        <rFont val="Arial"/>
        <family val="0"/>
      </rPr>
      <t xml:space="preserve">(b</t>
    </r>
    <r>
      <rPr>
        <vertAlign val="superscript"/>
        <sz val="11"/>
        <rFont val="Arial"/>
        <family val="0"/>
      </rPr>
      <t xml:space="preserve">2</t>
    </r>
    <r>
      <rPr>
        <sz val="11"/>
        <rFont val="Arial"/>
        <family val="0"/>
      </rPr>
      <t xml:space="preserve">-R</t>
    </r>
    <r>
      <rPr>
        <vertAlign val="superscript"/>
        <sz val="11"/>
        <rFont val="Arial"/>
        <family val="0"/>
      </rPr>
      <t xml:space="preserve">2)</t>
    </r>
    <r>
      <rPr>
        <sz val="11"/>
        <rFont val="Arial"/>
        <family val="2"/>
      </rPr>
      <t xml:space="preserve">/2</t>
    </r>
  </si>
  <si>
    <r>
      <rPr>
        <sz val="11"/>
        <rFont val="Arial"/>
        <family val="0"/>
      </rPr>
      <t xml:space="preserve">(b</t>
    </r>
    <r>
      <rPr>
        <vertAlign val="superscript"/>
        <sz val="11"/>
        <rFont val="Arial"/>
        <family val="0"/>
      </rPr>
      <t xml:space="preserve">3</t>
    </r>
    <r>
      <rPr>
        <sz val="11"/>
        <rFont val="Arial"/>
        <family val="0"/>
      </rPr>
      <t xml:space="preserve">-R</t>
    </r>
    <r>
      <rPr>
        <vertAlign val="superscript"/>
        <sz val="11"/>
        <rFont val="Arial"/>
        <family val="0"/>
      </rPr>
      <t xml:space="preserve">3</t>
    </r>
    <r>
      <rPr>
        <sz val="11"/>
        <rFont val="Arial"/>
        <family val="2"/>
      </rPr>
      <t xml:space="preserve">)/3</t>
    </r>
  </si>
  <si>
    <r>
      <rPr>
        <sz val="11"/>
        <rFont val="Arial"/>
        <family val="0"/>
      </rPr>
      <t xml:space="preserve">(b</t>
    </r>
    <r>
      <rPr>
        <vertAlign val="superscript"/>
        <sz val="11"/>
        <rFont val="Arial"/>
        <family val="0"/>
      </rPr>
      <t xml:space="preserve">4</t>
    </r>
    <r>
      <rPr>
        <sz val="11"/>
        <rFont val="Arial"/>
        <family val="0"/>
      </rPr>
      <t xml:space="preserve">-R</t>
    </r>
    <r>
      <rPr>
        <vertAlign val="superscript"/>
        <sz val="11"/>
        <rFont val="Arial"/>
        <family val="0"/>
      </rPr>
      <t xml:space="preserve">4</t>
    </r>
    <r>
      <rPr>
        <sz val="11"/>
        <rFont val="Arial"/>
        <family val="2"/>
      </rPr>
      <t xml:space="preserve">)/4</t>
    </r>
  </si>
  <si>
    <r>
      <rPr>
        <sz val="11"/>
        <rFont val="Arial"/>
        <family val="0"/>
      </rPr>
      <t xml:space="preserve">(b</t>
    </r>
    <r>
      <rPr>
        <vertAlign val="superscript"/>
        <sz val="11"/>
        <rFont val="Arial"/>
        <family val="2"/>
      </rPr>
      <t xml:space="preserve">5</t>
    </r>
    <r>
      <rPr>
        <sz val="11"/>
        <rFont val="Arial"/>
        <family val="0"/>
      </rPr>
      <t xml:space="preserve">-R</t>
    </r>
    <r>
      <rPr>
        <vertAlign val="superscript"/>
        <sz val="11"/>
        <rFont val="Arial"/>
        <family val="2"/>
      </rPr>
      <t xml:space="preserve">5</t>
    </r>
    <r>
      <rPr>
        <sz val="11"/>
        <rFont val="Arial"/>
        <family val="0"/>
      </rPr>
      <t xml:space="preserve">)/5</t>
    </r>
  </si>
  <si>
    <t xml:space="preserve">Wedge Torque / q</t>
  </si>
  <si>
    <r>
      <rPr>
        <sz val="11"/>
        <rFont val="Arial"/>
        <family val="0"/>
      </rPr>
      <t xml:space="preserve">Damping Torque / q </t>
    </r>
    <r>
      <rPr>
        <sz val="11"/>
        <rFont val="Arial"/>
        <family val="2"/>
      </rPr>
      <t xml:space="preserve">ω</t>
    </r>
  </si>
  <si>
    <t xml:space="preserve">Twisting Torque / q</t>
  </si>
  <si>
    <t xml:space="preserve">Rigid Fin Roll Rate, rad/sec</t>
  </si>
  <si>
    <t xml:space="preserve">Flexible Fin Roll Rate, rad/sec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</si>
</sst>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0"/>
    </font>
    <font>
      <vertAlign val="superscript"/>
      <sz val="10"/>
      <name val="Arial"/>
      <family val="2"/>
    </font>
    <font>
      <sz val="11"/>
      <name val="Arial"/>
      <family val="2"/>
    </font>
    <font>
      <vertAlign val="superscript"/>
      <sz val="11"/>
      <name val="Arial"/>
      <family val="0"/>
    </font>
    <font>
      <vertAlign val="subscript"/>
      <sz val="11"/>
      <name val="Arial"/>
      <family val="0"/>
    </font>
    <font>
      <vertAlign val="subscript"/>
      <sz val="11"/>
      <name val="Symbol"/>
      <family val="1"/>
      <charset val="2"/>
    </font>
    <font>
      <b val="true"/>
      <sz val="14"/>
      <name val="Arial"/>
      <family val="2"/>
    </font>
    <font>
      <vertAlign val="superscript"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CCFFF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7:W2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6" min="6" style="0" width="9.7"/>
    <col collapsed="false" customWidth="true" hidden="false" outlineLevel="0" max="7" min="7" style="0" width="8.99"/>
    <col collapsed="false" customWidth="true" hidden="false" outlineLevel="0" max="12" min="12" style="0" width="10.56"/>
    <col collapsed="false" customWidth="true" hidden="false" outlineLevel="0" max="13" min="13" style="0" width="11.42"/>
    <col collapsed="false" customWidth="true" hidden="false" outlineLevel="0" max="14" min="14" style="0" width="12.99"/>
    <col collapsed="false" customWidth="true" hidden="false" outlineLevel="0" max="15" min="15" style="0" width="11.7"/>
    <col collapsed="false" customWidth="true" hidden="false" outlineLevel="0" max="16" min="16" style="0" width="15.13"/>
    <col collapsed="false" customWidth="true" hidden="false" outlineLevel="0" max="17" min="17" style="0" width="15.99"/>
    <col collapsed="false" customWidth="true" hidden="false" outlineLevel="0" max="18" min="18" style="0" width="12.42"/>
    <col collapsed="false" customWidth="true" hidden="false" outlineLevel="0" max="19" min="19" style="0" width="14.41"/>
    <col collapsed="false" customWidth="true" hidden="false" outlineLevel="0" max="20" min="20" style="0" width="10.41"/>
    <col collapsed="false" customWidth="true" hidden="false" outlineLevel="0" max="21" min="21" style="0" width="13.14"/>
    <col collapsed="false" customWidth="true" hidden="false" outlineLevel="0" max="22" min="22" style="0" width="13.85"/>
  </cols>
  <sheetData>
    <row r="7" customFormat="false" ht="42.75" hidden="false" customHeight="true" outlineLevel="0" collapsed="false">
      <c r="C7" s="1" t="s">
        <v>0</v>
      </c>
      <c r="D7" s="2" t="s">
        <v>1</v>
      </c>
      <c r="E7" s="1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7</v>
      </c>
      <c r="K7" s="2" t="s">
        <v>8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13</v>
      </c>
      <c r="Q7" s="2" t="s">
        <v>14</v>
      </c>
      <c r="R7" s="2" t="s">
        <v>15</v>
      </c>
      <c r="S7" s="2" t="s">
        <v>16</v>
      </c>
      <c r="T7" s="2" t="s">
        <v>17</v>
      </c>
      <c r="U7" s="2" t="s">
        <v>18</v>
      </c>
      <c r="V7" s="2" t="s">
        <v>19</v>
      </c>
      <c r="W7" s="2" t="s">
        <v>20</v>
      </c>
    </row>
    <row r="8" customFormat="false" ht="12.75" hidden="false" customHeight="false" outlineLevel="0" collapsed="false">
      <c r="C8" s="3" t="n">
        <v>6000</v>
      </c>
      <c r="D8" s="3" t="n">
        <v>6</v>
      </c>
      <c r="E8" s="3" t="n">
        <v>3000</v>
      </c>
      <c r="F8" s="3" t="n">
        <v>0.25</v>
      </c>
      <c r="G8" s="0" t="n">
        <f aca="false">F8/12</f>
        <v>0.0208333333333333</v>
      </c>
      <c r="H8" s="3" t="n">
        <v>21</v>
      </c>
      <c r="I8" s="0" t="n">
        <f aca="false">H8/12</f>
        <v>1.75</v>
      </c>
      <c r="J8" s="3" t="n">
        <v>12</v>
      </c>
      <c r="K8" s="0" t="n">
        <f aca="false">J8/12</f>
        <v>1</v>
      </c>
      <c r="L8" s="3" t="n">
        <v>12.75</v>
      </c>
      <c r="M8" s="0" t="n">
        <f aca="false">L8/12</f>
        <v>1.0625</v>
      </c>
      <c r="N8" s="3" t="n">
        <v>3.75</v>
      </c>
      <c r="O8" s="0" t="n">
        <f aca="false">N8/12</f>
        <v>0.3125</v>
      </c>
      <c r="P8" s="3" t="n">
        <v>1.5</v>
      </c>
      <c r="Q8" s="0" t="n">
        <f aca="false">P8/12</f>
        <v>0.125</v>
      </c>
      <c r="R8" s="0" t="n">
        <f aca="false">1-2*Q8/(I8+K8)</f>
        <v>0.909090909090909</v>
      </c>
      <c r="S8" s="3" t="n">
        <v>10</v>
      </c>
      <c r="T8" s="0" t="n">
        <f aca="false">PI()*S8/180</f>
        <v>0.174532925199433</v>
      </c>
      <c r="U8" s="3" t="n">
        <v>2900000</v>
      </c>
      <c r="V8" s="0" t="n">
        <f aca="false">U8*144</f>
        <v>417600000</v>
      </c>
      <c r="W8" s="3" t="n">
        <v>0.8</v>
      </c>
    </row>
    <row r="10" customFormat="false" ht="35.25" hidden="false" customHeight="true" outlineLevel="0" collapsed="false">
      <c r="B10" s="4" t="s">
        <v>21</v>
      </c>
      <c r="C10" s="4"/>
      <c r="F10" s="2" t="s">
        <v>22</v>
      </c>
      <c r="G10" s="2" t="s">
        <v>23</v>
      </c>
      <c r="H10" s="2" t="s">
        <v>24</v>
      </c>
      <c r="I10" s="2" t="s">
        <v>25</v>
      </c>
      <c r="J10" s="2" t="s">
        <v>26</v>
      </c>
      <c r="K10" s="2" t="s">
        <v>27</v>
      </c>
      <c r="L10" s="2" t="s">
        <v>28</v>
      </c>
      <c r="M10" s="2" t="s">
        <v>29</v>
      </c>
      <c r="N10" s="2" t="s">
        <v>30</v>
      </c>
      <c r="O10" s="2" t="s">
        <v>31</v>
      </c>
      <c r="P10" s="2" t="s">
        <v>32</v>
      </c>
      <c r="Q10" s="2" t="s">
        <v>33</v>
      </c>
    </row>
    <row r="11" customFormat="false" ht="12.75" hidden="false" customHeight="false" outlineLevel="0" collapsed="false">
      <c r="F11" s="0" t="n">
        <f aca="false">2*T8/SQRT(D8^2-1)+(2.4*D8^4-4*(D8^2-1))*T8^2/(2*(D8^2-1)^2)+((2.4^2/16)*D8^8-(7+12*1.4-3*1.4^2)*D8^6/12+3*1.4*D8^4/2-2*D8^2+4/3)/((D8^2-1)^7/2)</f>
        <v>0.0959516750106084</v>
      </c>
      <c r="G11" s="0" t="n">
        <f aca="false">(H8*L8-J8*N8)/(L8-N8)</f>
        <v>24.75</v>
      </c>
      <c r="H11" s="0" t="n">
        <f aca="false">(H8-J8)/(L8-N8)</f>
        <v>1</v>
      </c>
      <c r="I11" s="0" t="n">
        <f aca="false">(M8^2-O8^2)/2</f>
        <v>0.515625</v>
      </c>
      <c r="J11" s="0" t="n">
        <f aca="false">(M8^3-O8^3)/3</f>
        <v>0.3896484375</v>
      </c>
      <c r="K11" s="0" t="n">
        <f aca="false">(M8^4-O8^4)/4</f>
        <v>0.31622314453125</v>
      </c>
      <c r="L11" s="0" t="n">
        <f aca="false">(M8^5-O8^5)/5</f>
        <v>0.270220184326172</v>
      </c>
      <c r="M11" s="0" t="n">
        <f aca="false">-F11*Q8*I11</f>
        <v>-0.00618438530341812</v>
      </c>
      <c r="N11" s="0" t="n">
        <f aca="false">-(W8/C8)*(G11*J11-H11*K11)</f>
        <v>-0.0012436767578125</v>
      </c>
      <c r="O11" s="0" t="n">
        <f aca="false">(3*E8*F11*W8*Q8*R8/(4*V8*G8^3))*(G11*O8^2*I8-(2*G11*O8+H11*O8^2)*J11+(G11+2*H11*O8)*K11-H11*L11)</f>
        <v>0.0307609051450541</v>
      </c>
      <c r="P11" s="0" t="n">
        <f aca="false">-M11/N11</f>
        <v>-4.97266292432434</v>
      </c>
      <c r="Q11" s="0" t="n">
        <f aca="false">-(M11+O11)/N11</f>
        <v>19.761179653195</v>
      </c>
    </row>
    <row r="19" customFormat="false" ht="12.75" hidden="false" customHeight="false" outlineLevel="0" collapsed="false">
      <c r="M19" s="0" t="n">
        <f aca="false">25.5/2</f>
        <v>12.75</v>
      </c>
    </row>
    <row r="21" customFormat="false" ht="14.25" hidden="false" customHeight="false" outlineLevel="0" collapsed="false">
      <c r="N21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2013-07-02T14:40:04Z</dcterms:created>
  <dc:creator>Owner</dc:creator>
  <dc:description/>
  <dc:language>en-US</dc:language>
  <cp:lastModifiedBy>Owner</cp:lastModifiedBy>
  <dcterms:modified xsi:type="dcterms:W3CDTF">2013-07-05T17:37:00Z</dcterms:modified>
  <cp:revision>0</cp:revision>
  <dc:subject/>
  <dc:title/>
</cp:coreProperties>
</file>