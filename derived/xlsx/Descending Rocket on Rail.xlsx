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<sst xmlns="http://schemas.openxmlformats.org/spreadsheetml/2006/main" count="11" uniqueCount="11">
  <si>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gamma, deg</t>
  </si>
  <si>
    <t xml:space="preserve">gamma, rad</t>
  </si>
  <si>
    <t xml:space="preserve">theta, rad</t>
  </si>
  <si>
    <r>
      <rPr>
        <sz val="10"/>
        <rFont val="Arial"/>
        <family val="0"/>
      </rPr>
      <t xml:space="preserve">a, fps</t>
    </r>
    <r>
      <rPr>
        <vertAlign val="superscript"/>
        <sz val="10"/>
        <rFont val="Arial"/>
        <family val="2"/>
      </rPr>
      <t xml:space="preserve">2</t>
    </r>
  </si>
  <si>
    <t xml:space="preserve">Vo, fps</t>
  </si>
  <si>
    <t xml:space="preserve">t, sec</t>
  </si>
  <si>
    <t xml:space="preserve">x, ft</t>
  </si>
  <si>
    <t xml:space="preserve">z, ft</t>
  </si>
  <si>
    <t xml:space="preserve">Delta S, ft</t>
  </si>
  <si>
    <t xml:space="preserve">s, ft</t>
  </si>
  <si>
    <t xml:space="preserve">Approx s, ft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</si>
</sst>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b val="true"/>
      <sz val="14"/>
      <color rgb="FF000000"/>
      <name val="Arial"/>
      <family val="2"/>
    </font>
    <font>
      <b val="true"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Typical Rocket Trajectory on a Descending Rail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Sheet1!$J$7:$J$47</c:f>
              <c:numCache>
                <c:formatCode>General</c:formatCode>
                <c:ptCount val="41"/>
                <c:pt idx="0">
                  <c:v>0</c:v>
                </c:pt>
                <c:pt idx="1">
                  <c:v>0.253701938253052</c:v>
                </c:pt>
                <c:pt idx="2">
                  <c:v>0.522403876506104</c:v>
                </c:pt>
                <c:pt idx="3">
                  <c:v>0.806105814759156</c:v>
                </c:pt>
                <c:pt idx="4">
                  <c:v>1.10480775301221</c:v>
                </c:pt>
                <c:pt idx="5">
                  <c:v>1.41850969126526</c:v>
                </c:pt>
                <c:pt idx="6">
                  <c:v>1.74721162951831</c:v>
                </c:pt>
                <c:pt idx="7">
                  <c:v>2.09091356777136</c:v>
                </c:pt>
                <c:pt idx="8">
                  <c:v>2.44961550602442</c:v>
                </c:pt>
                <c:pt idx="9">
                  <c:v>2.82331744427747</c:v>
                </c:pt>
                <c:pt idx="10">
                  <c:v>3.21201938253052</c:v>
                </c:pt>
                <c:pt idx="11">
                  <c:v>3.61572132078357</c:v>
                </c:pt>
                <c:pt idx="12">
                  <c:v>4.03442325903662</c:v>
                </c:pt>
                <c:pt idx="13">
                  <c:v>4.46812519728968</c:v>
                </c:pt>
                <c:pt idx="14">
                  <c:v>4.91682713554273</c:v>
                </c:pt>
                <c:pt idx="15">
                  <c:v>5.38052907379578</c:v>
                </c:pt>
                <c:pt idx="16">
                  <c:v>5.85923101204883</c:v>
                </c:pt>
                <c:pt idx="17">
                  <c:v>6.35293295030188</c:v>
                </c:pt>
                <c:pt idx="18">
                  <c:v>6.86163488855494</c:v>
                </c:pt>
                <c:pt idx="19">
                  <c:v>7.38533682680799</c:v>
                </c:pt>
                <c:pt idx="20">
                  <c:v>7.92403876506104</c:v>
                </c:pt>
                <c:pt idx="21">
                  <c:v>8.47774070331409</c:v>
                </c:pt>
                <c:pt idx="22">
                  <c:v>9.04644264156715</c:v>
                </c:pt>
                <c:pt idx="23">
                  <c:v>9.6301445798202</c:v>
                </c:pt>
                <c:pt idx="24">
                  <c:v>10.2288465180733</c:v>
                </c:pt>
                <c:pt idx="25">
                  <c:v>10.8425484563263</c:v>
                </c:pt>
                <c:pt idx="26">
                  <c:v>11.4712503945794</c:v>
                </c:pt>
                <c:pt idx="27">
                  <c:v>12.1149523328324</c:v>
                </c:pt>
                <c:pt idx="28">
                  <c:v>12.7736542710855</c:v>
                </c:pt>
                <c:pt idx="29">
                  <c:v>13.4473562093385</c:v>
                </c:pt>
                <c:pt idx="30">
                  <c:v>14.1360581475916</c:v>
                </c:pt>
                <c:pt idx="31">
                  <c:v>14.8397600858446</c:v>
                </c:pt>
                <c:pt idx="32">
                  <c:v>15.5584620240977</c:v>
                </c:pt>
                <c:pt idx="33">
                  <c:v>16.2921639623507</c:v>
                </c:pt>
                <c:pt idx="34">
                  <c:v>17.0408659006038</c:v>
                </c:pt>
                <c:pt idx="35">
                  <c:v>17.8045678388568</c:v>
                </c:pt>
                <c:pt idx="36">
                  <c:v>18.5832697771099</c:v>
                </c:pt>
                <c:pt idx="37">
                  <c:v>19.3769717153629</c:v>
                </c:pt>
                <c:pt idx="38">
                  <c:v>20.185673653616</c:v>
                </c:pt>
                <c:pt idx="39">
                  <c:v>21.009375591869</c:v>
                </c:pt>
                <c:pt idx="40">
                  <c:v>21.8480775301221</c:v>
                </c:pt>
              </c:numCache>
            </c:numRef>
          </c:xVal>
          <c:yVal>
            <c:numRef>
              <c:f>Sheet1!$K$7:$K$47</c:f>
              <c:numCache>
                <c:formatCode>General</c:formatCode>
                <c:ptCount val="41"/>
                <c:pt idx="0">
                  <c:v>0</c:v>
                </c:pt>
                <c:pt idx="1">
                  <c:v>0.0434120444167326</c:v>
                </c:pt>
                <c:pt idx="2">
                  <c:v>0.0868240888334652</c:v>
                </c:pt>
                <c:pt idx="3">
                  <c:v>0.130236133250198</c:v>
                </c:pt>
                <c:pt idx="4">
                  <c:v>0.17364817766693</c:v>
                </c:pt>
                <c:pt idx="5">
                  <c:v>0.217060222083663</c:v>
                </c:pt>
                <c:pt idx="6">
                  <c:v>0.260472266500396</c:v>
                </c:pt>
                <c:pt idx="7">
                  <c:v>0.303884310917128</c:v>
                </c:pt>
                <c:pt idx="8">
                  <c:v>0.347296355333861</c:v>
                </c:pt>
                <c:pt idx="9">
                  <c:v>0.390708399750593</c:v>
                </c:pt>
                <c:pt idx="10">
                  <c:v>0.434120444167326</c:v>
                </c:pt>
                <c:pt idx="11">
                  <c:v>0.477532488584059</c:v>
                </c:pt>
                <c:pt idx="12">
                  <c:v>0.520944533000791</c:v>
                </c:pt>
                <c:pt idx="13">
                  <c:v>0.564356577417524</c:v>
                </c:pt>
                <c:pt idx="14">
                  <c:v>0.607768621834256</c:v>
                </c:pt>
                <c:pt idx="15">
                  <c:v>0.651180666250989</c:v>
                </c:pt>
                <c:pt idx="16">
                  <c:v>0.694592710667722</c:v>
                </c:pt>
                <c:pt idx="17">
                  <c:v>0.738004755084454</c:v>
                </c:pt>
                <c:pt idx="18">
                  <c:v>0.781416799501187</c:v>
                </c:pt>
                <c:pt idx="19">
                  <c:v>0.82482884391792</c:v>
                </c:pt>
                <c:pt idx="20">
                  <c:v>0.868240888334652</c:v>
                </c:pt>
                <c:pt idx="21">
                  <c:v>0.911652932751385</c:v>
                </c:pt>
                <c:pt idx="22">
                  <c:v>0.955064977168118</c:v>
                </c:pt>
                <c:pt idx="23">
                  <c:v>0.99847702158485</c:v>
                </c:pt>
                <c:pt idx="24">
                  <c:v>1.04188906600158</c:v>
                </c:pt>
                <c:pt idx="25">
                  <c:v>1.08530111041832</c:v>
                </c:pt>
                <c:pt idx="26">
                  <c:v>1.12871315483505</c:v>
                </c:pt>
                <c:pt idx="27">
                  <c:v>1.17212519925178</c:v>
                </c:pt>
                <c:pt idx="28">
                  <c:v>1.21553724366851</c:v>
                </c:pt>
                <c:pt idx="29">
                  <c:v>1.25894928808525</c:v>
                </c:pt>
                <c:pt idx="30">
                  <c:v>1.30236133250198</c:v>
                </c:pt>
                <c:pt idx="31">
                  <c:v>1.34577337691871</c:v>
                </c:pt>
                <c:pt idx="32">
                  <c:v>1.38918542133544</c:v>
                </c:pt>
                <c:pt idx="33">
                  <c:v>1.43259746575218</c:v>
                </c:pt>
                <c:pt idx="34">
                  <c:v>1.47600951016891</c:v>
                </c:pt>
                <c:pt idx="35">
                  <c:v>1.51942155458564</c:v>
                </c:pt>
                <c:pt idx="36">
                  <c:v>1.56283359900237</c:v>
                </c:pt>
                <c:pt idx="37">
                  <c:v>1.60624564341911</c:v>
                </c:pt>
                <c:pt idx="38">
                  <c:v>1.64965768783584</c:v>
                </c:pt>
                <c:pt idx="39">
                  <c:v>1.69306973225257</c:v>
                </c:pt>
                <c:pt idx="40">
                  <c:v>1.73648177666931</c:v>
                </c:pt>
              </c:numCache>
            </c:numRef>
          </c:yVal>
          <c:smooth val="1"/>
        </c:ser>
        <c:axId val="96605505"/>
        <c:axId val="29870629"/>
      </c:scatterChart>
      <c:valAx>
        <c:axId val="96605505"/>
        <c:scaling>
          <c:orientation val="minMax"/>
          <c:max val="2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Distance Along the Rail, 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870629"/>
        <c:crossesAt val="0"/>
        <c:crossBetween val="midCat"/>
      </c:valAx>
      <c:valAx>
        <c:axId val="2987062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Distance Normal to the Rail, 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6605505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Approximate Distance Traveled on Rail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Sheet1!$M$7:$M$47</c:f>
              <c:numCache>
                <c:formatCode>General</c:formatCode>
                <c:ptCount val="41"/>
                <c:pt idx="0">
                  <c:v>0</c:v>
                </c:pt>
                <c:pt idx="1">
                  <c:v>0.257389353070005</c:v>
                </c:pt>
                <c:pt idx="2">
                  <c:v>0.529575570982278</c:v>
                </c:pt>
                <c:pt idx="3">
                  <c:v>0.816579744068627</c:v>
                </c:pt>
                <c:pt idx="4">
                  <c:v>1.11841985657286</c:v>
                </c:pt>
                <c:pt idx="5">
                  <c:v>1.43511136524362</c:v>
                </c:pt>
                <c:pt idx="6">
                  <c:v>1.76666764977425</c:v>
                </c:pt>
                <c:pt idx="7">
                  <c:v>2.11310036756999</c:v>
                </c:pt>
                <c:pt idx="8">
                  <c:v>2.4744197361443</c:v>
                </c:pt>
                <c:pt idx="9">
                  <c:v>2.85063476010604</c:v>
                </c:pt>
                <c:pt idx="10">
                  <c:v>3.24175341525064</c:v>
                </c:pt>
                <c:pt idx="11">
                  <c:v>3.64778279910076</c:v>
                </c:pt>
                <c:pt idx="12">
                  <c:v>4.06872925495626</c:v>
                </c:pt>
                <c:pt idx="13">
                  <c:v>4.50459847484325</c:v>
                </c:pt>
                <c:pt idx="14">
                  <c:v>4.95539558551775</c:v>
                </c:pt>
                <c:pt idx="15">
                  <c:v>5.421125220757</c:v>
                </c:pt>
                <c:pt idx="16">
                  <c:v>5.90179158247547</c:v>
                </c:pt>
                <c:pt idx="17">
                  <c:v>6.39739849267271</c:v>
                </c:pt>
                <c:pt idx="18">
                  <c:v>6.90794943781223</c:v>
                </c:pt>
                <c:pt idx="19">
                  <c:v>7.43344760691508</c:v>
                </c:pt>
                <c:pt idx="20">
                  <c:v>7.97389592440532</c:v>
                </c:pt>
                <c:pt idx="21">
                  <c:v>8.52929707855035</c:v>
                </c:pt>
                <c:pt idx="22">
                  <c:v>9.09965354618547</c:v>
                </c:pt>
                <c:pt idx="23">
                  <c:v>9.68496761428978</c:v>
                </c:pt>
                <c:pt idx="24">
                  <c:v>10.2852413988818</c:v>
                </c:pt>
                <c:pt idx="25">
                  <c:v>10.9004768616243</c:v>
                </c:pt>
                <c:pt idx="26">
                  <c:v>11.5306758244635</c:v>
                </c:pt>
                <c:pt idx="27">
                  <c:v>12.1758399825746</c:v>
                </c:pt>
                <c:pt idx="28">
                  <c:v>12.8359709158437</c:v>
                </c:pt>
                <c:pt idx="29">
                  <c:v>13.51107009908</c:v>
                </c:pt>
                <c:pt idx="30">
                  <c:v>14.2011389111227</c:v>
                </c:pt>
                <c:pt idx="31">
                  <c:v>14.9061786429829</c:v>
                </c:pt>
                <c:pt idx="32">
                  <c:v>15.6261905051415</c:v>
                </c:pt>
                <c:pt idx="33">
                  <c:v>16.3611756341045</c:v>
                </c:pt>
                <c:pt idx="34">
                  <c:v>17.1111350983053</c:v>
                </c:pt>
                <c:pt idx="35">
                  <c:v>17.8760699034305</c:v>
                </c:pt>
                <c:pt idx="36">
                  <c:v>18.6559809972351</c:v>
                </c:pt>
                <c:pt idx="37">
                  <c:v>19.4508692739049</c:v>
                </c:pt>
                <c:pt idx="38">
                  <c:v>20.2607355780161</c:v>
                </c:pt>
                <c:pt idx="39">
                  <c:v>21.0855807081358</c:v>
                </c:pt>
                <c:pt idx="40">
                  <c:v>21.9254054201025</c:v>
                </c:pt>
              </c:numCache>
            </c:numRef>
          </c:xVal>
          <c:yVal>
            <c:numRef>
              <c:f>Sheet1!$N$7:$N$47</c:f>
              <c:numCache>
                <c:formatCode>General</c:formatCode>
                <c:ptCount val="41"/>
                <c:pt idx="0">
                  <c:v>0</c:v>
                </c:pt>
                <c:pt idx="1">
                  <c:v>0.257389353070005</c:v>
                </c:pt>
                <c:pt idx="2">
                  <c:v>0.529569856194975</c:v>
                </c:pt>
                <c:pt idx="3">
                  <c:v>0.816558653736819</c:v>
                </c:pt>
                <c:pt idx="4">
                  <c:v>1.11837107469879</c:v>
                </c:pt>
                <c:pt idx="5">
                  <c:v>1.43502086543174</c:v>
                </c:pt>
                <c:pt idx="6">
                  <c:v>1.76652038763777</c:v>
                </c:pt>
                <c:pt idx="7">
                  <c:v>2.11288078752966</c:v>
                </c:pt>
                <c:pt idx="8">
                  <c:v>2.474112140907</c:v>
                </c:pt>
                <c:pt idx="9">
                  <c:v>2.85022357803684</c:v>
                </c:pt>
                <c:pt idx="10">
                  <c:v>3.24122339152916</c:v>
                </c:pt>
                <c:pt idx="11">
                  <c:v>3.64711912983689</c:v>
                </c:pt>
                <c:pt idx="12">
                  <c:v>4.06791767855731</c:v>
                </c:pt>
                <c:pt idx="13">
                  <c:v>4.50362533134466</c:v>
                </c:pt>
                <c:pt idx="14">
                  <c:v>4.95424785194439</c:v>
                </c:pt>
                <c:pt idx="15">
                  <c:v>5.41979052861462</c:v>
                </c:pt>
                <c:pt idx="16">
                  <c:v>5.90025822199906</c:v>
                </c:pt>
                <c:pt idx="17">
                  <c:v>6.39565540734948</c:v>
                </c:pt>
                <c:pt idx="18">
                  <c:v>6.9059862118583</c:v>
                </c:pt>
                <c:pt idx="19">
                  <c:v>7.43125444774738</c:v>
                </c:pt>
                <c:pt idx="20">
                  <c:v>7.9714636416637</c:v>
                </c:pt>
                <c:pt idx="21">
                  <c:v>8.52661706085261</c:v>
                </c:pt>
                <c:pt idx="22">
                  <c:v>9.09671773651231</c:v>
                </c:pt>
                <c:pt idx="23">
                  <c:v>9.68176848467641</c:v>
                </c:pt>
                <c:pt idx="24">
                  <c:v>10.2817719249239</c:v>
                </c:pt>
                <c:pt idx="25">
                  <c:v>10.8967304971748</c:v>
                </c:pt>
                <c:pt idx="26">
                  <c:v>11.526646476796</c:v>
                </c:pt>
                <c:pt idx="27">
                  <c:v>12.1715219882118</c:v>
                </c:pt>
                <c:pt idx="28">
                  <c:v>12.8313590171877</c:v>
                </c:pt>
                <c:pt idx="29">
                  <c:v>13.506159421938</c:v>
                </c:pt>
                <c:pt idx="30">
                  <c:v>14.195924943183</c:v>
                </c:pt>
                <c:pt idx="31">
                  <c:v>14.9006572132725</c:v>
                </c:pt>
                <c:pt idx="32">
                  <c:v>15.6203577644733</c:v>
                </c:pt>
                <c:pt idx="33">
                  <c:v>16.3550280365091</c:v>
                </c:pt>
                <c:pt idx="34">
                  <c:v>17.1046693834306</c:v>
                </c:pt>
                <c:pt idx="35">
                  <c:v>17.869283079883</c:v>
                </c:pt>
                <c:pt idx="36">
                  <c:v>18.6488703268326</c:v>
                </c:pt>
                <c:pt idx="37">
                  <c:v>19.4434322568053</c:v>
                </c:pt>
                <c:pt idx="38">
                  <c:v>20.2529699386861</c:v>
                </c:pt>
                <c:pt idx="39">
                  <c:v>21.0774843821195</c:v>
                </c:pt>
                <c:pt idx="40">
                  <c:v>21.9169765415518</c:v>
                </c:pt>
              </c:numCache>
            </c:numRef>
          </c:yVal>
          <c:smooth val="1"/>
        </c:ser>
        <c:axId val="27141479"/>
        <c:axId val="90444283"/>
      </c:scatterChart>
      <c:valAx>
        <c:axId val="27141479"/>
        <c:scaling>
          <c:orientation val="minMax"/>
          <c:max val="2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True Distance Traveled, 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444283"/>
        <c:crossesAt val="0"/>
        <c:crossBetween val="midCat"/>
      </c:valAx>
      <c:valAx>
        <c:axId val="90444283"/>
        <c:scaling>
          <c:orientation val="minMax"/>
          <c:max val="2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Approximated Distance Traveled, 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7141479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628200</xdr:colOff>
      <xdr:row>5</xdr:row>
      <xdr:rowOff>10080</xdr:rowOff>
    </xdr:from>
    <xdr:to>
      <xdr:col>24</xdr:col>
      <xdr:colOff>409320</xdr:colOff>
      <xdr:row>27</xdr:row>
      <xdr:rowOff>162000</xdr:rowOff>
    </xdr:to>
    <xdr:graphicFrame>
      <xdr:nvGraphicFramePr>
        <xdr:cNvPr id="1" name="Chart 4"/>
        <xdr:cNvGraphicFramePr/>
      </xdr:nvGraphicFramePr>
      <xdr:xfrm>
        <a:off x="9562680" y="819720"/>
        <a:ext cx="6162840" cy="387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598320</xdr:colOff>
      <xdr:row>30</xdr:row>
      <xdr:rowOff>0</xdr:rowOff>
    </xdr:from>
    <xdr:to>
      <xdr:col>24</xdr:col>
      <xdr:colOff>379440</xdr:colOff>
      <xdr:row>53</xdr:row>
      <xdr:rowOff>152280</xdr:rowOff>
    </xdr:to>
    <xdr:graphicFrame>
      <xdr:nvGraphicFramePr>
        <xdr:cNvPr id="2" name="Chart 5"/>
        <xdr:cNvGraphicFramePr/>
      </xdr:nvGraphicFramePr>
      <xdr:xfrm>
        <a:off x="9532800" y="5019840"/>
        <a:ext cx="6162840" cy="387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6:N4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6" customFormat="false" ht="25.5" hidden="false" customHeight="false" outlineLevel="0" collapsed="false">
      <c r="D6" s="1" t="s">
        <v>0</v>
      </c>
      <c r="E6" s="1" t="s">
        <v>1</v>
      </c>
      <c r="F6" s="1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s">
        <v>9</v>
      </c>
      <c r="N6" s="1" t="s">
        <v>10</v>
      </c>
    </row>
    <row r="7" customFormat="false" ht="12.75" hidden="false" customHeight="false" outlineLevel="0" collapsed="false">
      <c r="D7" s="0" t="n">
        <v>160</v>
      </c>
      <c r="E7" s="0" t="n">
        <f aca="false">D7*PI()/180</f>
        <v>2.79252680319093</v>
      </c>
      <c r="F7" s="0" t="n">
        <f aca="false">ATAN(((1-COS(E7))/SIN(E7)))</f>
        <v>1.39626340159546</v>
      </c>
      <c r="G7" s="0" t="n">
        <v>150</v>
      </c>
      <c r="H7" s="0" t="n">
        <v>25</v>
      </c>
      <c r="I7" s="0" t="n">
        <v>0</v>
      </c>
      <c r="J7" s="0" t="n">
        <f aca="false">$G$7*I7^2/2-$H$7*I7*SIN($F$7-$E$7)</f>
        <v>0</v>
      </c>
      <c r="K7" s="0" t="n">
        <f aca="false">$H$7*I7*COS($F$7-$E$7)</f>
        <v>0</v>
      </c>
      <c r="L7" s="0" t="n">
        <v>0</v>
      </c>
      <c r="M7" s="0" t="n">
        <v>0</v>
      </c>
      <c r="N7" s="0" t="n">
        <v>0</v>
      </c>
    </row>
    <row r="8" customFormat="false" ht="12.75" hidden="false" customHeight="false" outlineLevel="0" collapsed="false">
      <c r="I8" s="0" t="n">
        <v>0.01</v>
      </c>
      <c r="J8" s="0" t="n">
        <f aca="false">$G$7*I8^2/2-$H$7*I8*SIN($F$7-$E$7)</f>
        <v>0.253701938253052</v>
      </c>
      <c r="K8" s="0" t="n">
        <f aca="false">$H$7*I8*COS($F$7-$E$7)</f>
        <v>0.0434120444167326</v>
      </c>
      <c r="L8" s="0" t="n">
        <f aca="false">SQRT((J8-J7)^2+(K8-K7)^2)</f>
        <v>0.257389353070005</v>
      </c>
      <c r="M8" s="0" t="n">
        <f aca="false">SUM($L$7:L8)</f>
        <v>0.257389353070005</v>
      </c>
      <c r="N8" s="0" t="n">
        <f aca="false">SQRT((J8-$J$7)^2+(K8-$K$7)^2)</f>
        <v>0.257389353070005</v>
      </c>
    </row>
    <row r="9" customFormat="false" ht="12.75" hidden="false" customHeight="false" outlineLevel="0" collapsed="false">
      <c r="I9" s="0" t="n">
        <f aca="false">I8+0.01</f>
        <v>0.02</v>
      </c>
      <c r="J9" s="0" t="n">
        <f aca="false">$G$7*I9^2/2-$H$7*I9*SIN($F$7-$E$7)</f>
        <v>0.522403876506104</v>
      </c>
      <c r="K9" s="0" t="n">
        <f aca="false">$H$7*I9*COS($F$7-$E$7)</f>
        <v>0.0868240888334652</v>
      </c>
      <c r="L9" s="0" t="n">
        <f aca="false">SQRT((J9-J8)^2+(K9-K8)^2)</f>
        <v>0.272186217912273</v>
      </c>
      <c r="M9" s="0" t="n">
        <f aca="false">SUM($L$7:L9)</f>
        <v>0.529575570982278</v>
      </c>
      <c r="N9" s="0" t="n">
        <f aca="false">SQRT((J9-$J$7)^2+(K9-$K$7)^2)</f>
        <v>0.529569856194975</v>
      </c>
    </row>
    <row r="10" customFormat="false" ht="12.75" hidden="false" customHeight="false" outlineLevel="0" collapsed="false">
      <c r="I10" s="0" t="n">
        <f aca="false">I9+0.01</f>
        <v>0.03</v>
      </c>
      <c r="J10" s="0" t="n">
        <f aca="false">$G$7*I10^2/2-$H$7*I10*SIN($F$7-$E$7)</f>
        <v>0.806105814759156</v>
      </c>
      <c r="K10" s="0" t="n">
        <f aca="false">$H$7*I10*COS($F$7-$E$7)</f>
        <v>0.130236133250198</v>
      </c>
      <c r="L10" s="0" t="n">
        <f aca="false">SQRT((J10-J9)^2+(K10-K9)^2)</f>
        <v>0.287004173086349</v>
      </c>
      <c r="M10" s="0" t="n">
        <f aca="false">SUM($L$7:L10)</f>
        <v>0.816579744068627</v>
      </c>
      <c r="N10" s="0" t="n">
        <f aca="false">SQRT((J10-$J$7)^2+(K10-$K$7)^2)</f>
        <v>0.816558653736819</v>
      </c>
    </row>
    <row r="11" customFormat="false" ht="12.75" hidden="false" customHeight="false" outlineLevel="0" collapsed="false">
      <c r="I11" s="0" t="n">
        <f aca="false">I10+0.01</f>
        <v>0.04</v>
      </c>
      <c r="J11" s="0" t="n">
        <f aca="false">$G$7*I11^2/2-$H$7*I11*SIN($F$7-$E$7)</f>
        <v>1.10480775301221</v>
      </c>
      <c r="K11" s="0" t="n">
        <f aca="false">$H$7*I11*COS($F$7-$E$7)</f>
        <v>0.17364817766693</v>
      </c>
      <c r="L11" s="0" t="n">
        <f aca="false">SQRT((J11-J10)^2+(K11-K10)^2)</f>
        <v>0.301840112504237</v>
      </c>
      <c r="M11" s="0" t="n">
        <f aca="false">SUM($L$7:L11)</f>
        <v>1.11841985657286</v>
      </c>
      <c r="N11" s="0" t="n">
        <f aca="false">SQRT((J11-$J$7)^2+(K11-$K$7)^2)</f>
        <v>1.11837107469879</v>
      </c>
    </row>
    <row r="12" customFormat="false" ht="12.75" hidden="false" customHeight="false" outlineLevel="0" collapsed="false">
      <c r="I12" s="0" t="n">
        <f aca="false">I11+0.01</f>
        <v>0.05</v>
      </c>
      <c r="J12" s="0" t="n">
        <f aca="false">$G$7*I12^2/2-$H$7*I12*SIN($F$7-$E$7)</f>
        <v>1.41850969126526</v>
      </c>
      <c r="K12" s="0" t="n">
        <f aca="false">$H$7*I12*COS($F$7-$E$7)</f>
        <v>0.217060222083663</v>
      </c>
      <c r="L12" s="0" t="n">
        <f aca="false">SQRT((J12-J11)^2+(K12-K11)^2)</f>
        <v>0.31669150867076</v>
      </c>
      <c r="M12" s="0" t="n">
        <f aca="false">SUM($L$7:L12)</f>
        <v>1.43511136524362</v>
      </c>
      <c r="N12" s="0" t="n">
        <f aca="false">SQRT((J12-$J$7)^2+(K12-$K$7)^2)</f>
        <v>1.43502086543174</v>
      </c>
    </row>
    <row r="13" customFormat="false" ht="12.75" hidden="false" customHeight="false" outlineLevel="0" collapsed="false">
      <c r="I13" s="0" t="n">
        <f aca="false">I12+0.01</f>
        <v>0.06</v>
      </c>
      <c r="J13" s="0" t="n">
        <f aca="false">$G$7*I13^2/2-$H$7*I13*SIN($F$7-$E$7)</f>
        <v>1.74721162951831</v>
      </c>
      <c r="K13" s="0" t="n">
        <f aca="false">$H$7*I13*COS($F$7-$E$7)</f>
        <v>0.260472266500396</v>
      </c>
      <c r="L13" s="0" t="n">
        <f aca="false">SQRT((J13-J12)^2+(K13-K12)^2)</f>
        <v>0.331556284530627</v>
      </c>
      <c r="M13" s="0" t="n">
        <f aca="false">SUM($L$7:L13)</f>
        <v>1.76666764977425</v>
      </c>
      <c r="N13" s="0" t="n">
        <f aca="false">SQRT((J13-$J$7)^2+(K13-$K$7)^2)</f>
        <v>1.76652038763777</v>
      </c>
    </row>
    <row r="14" customFormat="false" ht="12.75" hidden="false" customHeight="false" outlineLevel="0" collapsed="false">
      <c r="I14" s="0" t="n">
        <f aca="false">I13+0.01</f>
        <v>0.07</v>
      </c>
      <c r="J14" s="0" t="n">
        <f aca="false">$G$7*I14^2/2-$H$7*I14*SIN($F$7-$E$7)</f>
        <v>2.09091356777136</v>
      </c>
      <c r="K14" s="0" t="n">
        <f aca="false">$H$7*I14*COS($F$7-$E$7)</f>
        <v>0.303884310917128</v>
      </c>
      <c r="L14" s="0" t="n">
        <f aca="false">SQRT((J14-J13)^2+(K14-K13)^2)</f>
        <v>0.346432717795743</v>
      </c>
      <c r="M14" s="0" t="n">
        <f aca="false">SUM($L$7:L14)</f>
        <v>2.11310036756999</v>
      </c>
      <c r="N14" s="0" t="n">
        <f aca="false">SQRT((J14-$J$7)^2+(K14-$K$7)^2)</f>
        <v>2.11288078752966</v>
      </c>
    </row>
    <row r="15" customFormat="false" ht="12.75" hidden="false" customHeight="false" outlineLevel="0" collapsed="false">
      <c r="I15" s="0" t="n">
        <f aca="false">I14+0.01</f>
        <v>0.08</v>
      </c>
      <c r="J15" s="0" t="n">
        <f aca="false">$G$7*I15^2/2-$H$7*I15*SIN($F$7-$E$7)</f>
        <v>2.44961550602442</v>
      </c>
      <c r="K15" s="0" t="n">
        <f aca="false">$H$7*I15*COS($F$7-$E$7)</f>
        <v>0.347296355333861</v>
      </c>
      <c r="L15" s="0" t="n">
        <f aca="false">SQRT((J15-J14)^2+(K15-K14)^2)</f>
        <v>0.361319368574308</v>
      </c>
      <c r="M15" s="0" t="n">
        <f aca="false">SUM($L$7:L15)</f>
        <v>2.4744197361443</v>
      </c>
      <c r="N15" s="0" t="n">
        <f aca="false">SQRT((J15-$J$7)^2+(K15-$K$7)^2)</f>
        <v>2.474112140907</v>
      </c>
    </row>
    <row r="16" customFormat="false" ht="12.75" hidden="false" customHeight="false" outlineLevel="0" collapsed="false">
      <c r="I16" s="0" t="n">
        <f aca="false">I15+0.01</f>
        <v>0.09</v>
      </c>
      <c r="J16" s="0" t="n">
        <f aca="false">$G$7*I16^2/2-$H$7*I16*SIN($F$7-$E$7)</f>
        <v>2.82331744427747</v>
      </c>
      <c r="K16" s="0" t="n">
        <f aca="false">$H$7*I16*COS($F$7-$E$7)</f>
        <v>0.390708399750593</v>
      </c>
      <c r="L16" s="0" t="n">
        <f aca="false">SQRT((J16-J15)^2+(K16-K15)^2)</f>
        <v>0.376215023961734</v>
      </c>
      <c r="M16" s="0" t="n">
        <f aca="false">SUM($L$7:L16)</f>
        <v>2.85063476010604</v>
      </c>
      <c r="N16" s="0" t="n">
        <f aca="false">SQRT((J16-$J$7)^2+(K16-$K$7)^2)</f>
        <v>2.85022357803684</v>
      </c>
    </row>
    <row r="17" customFormat="false" ht="12.75" hidden="false" customHeight="false" outlineLevel="0" collapsed="false">
      <c r="I17" s="0" t="n">
        <f aca="false">I16+0.01</f>
        <v>0.1</v>
      </c>
      <c r="J17" s="0" t="n">
        <f aca="false">$G$7*I17^2/2-$H$7*I17*SIN($F$7-$E$7)</f>
        <v>3.21201938253052</v>
      </c>
      <c r="K17" s="0" t="n">
        <f aca="false">$H$7*I17*COS($F$7-$E$7)</f>
        <v>0.434120444167326</v>
      </c>
      <c r="L17" s="0" t="n">
        <f aca="false">SQRT((J17-J16)^2+(K17-K16)^2)</f>
        <v>0.391118655144599</v>
      </c>
      <c r="M17" s="0" t="n">
        <f aca="false">SUM($L$7:L17)</f>
        <v>3.24175341525064</v>
      </c>
      <c r="N17" s="0" t="n">
        <f aca="false">SQRT((J17-$J$7)^2+(K17-$K$7)^2)</f>
        <v>3.24122339152916</v>
      </c>
    </row>
    <row r="18" customFormat="false" ht="12.75" hidden="false" customHeight="false" outlineLevel="0" collapsed="false">
      <c r="I18" s="0" t="n">
        <f aca="false">I17+0.01</f>
        <v>0.11</v>
      </c>
      <c r="J18" s="0" t="n">
        <f aca="false">$G$7*I18^2/2-$H$7*I18*SIN($F$7-$E$7)</f>
        <v>3.61572132078357</v>
      </c>
      <c r="K18" s="0" t="n">
        <f aca="false">$H$7*I18*COS($F$7-$E$7)</f>
        <v>0.477532488584059</v>
      </c>
      <c r="L18" s="0" t="n">
        <f aca="false">SQRT((J18-J17)^2+(K18-K17)^2)</f>
        <v>0.406029383850124</v>
      </c>
      <c r="M18" s="0" t="n">
        <f aca="false">SUM($L$7:L18)</f>
        <v>3.64778279910076</v>
      </c>
      <c r="N18" s="0" t="n">
        <f aca="false">SQRT((J18-$J$7)^2+(K18-$K$7)^2)</f>
        <v>3.64711912983689</v>
      </c>
    </row>
    <row r="19" customFormat="false" ht="12.75" hidden="false" customHeight="false" outlineLevel="0" collapsed="false">
      <c r="I19" s="0" t="n">
        <f aca="false">I18+0.01</f>
        <v>0.12</v>
      </c>
      <c r="J19" s="0" t="n">
        <f aca="false">$G$7*I19^2/2-$H$7*I19*SIN($F$7-$E$7)</f>
        <v>4.03442325903662</v>
      </c>
      <c r="K19" s="0" t="n">
        <f aca="false">$H$7*I19*COS($F$7-$E$7)</f>
        <v>0.520944533000791</v>
      </c>
      <c r="L19" s="0" t="n">
        <f aca="false">SQRT((J19-J18)^2+(K19-K18)^2)</f>
        <v>0.420946455855496</v>
      </c>
      <c r="M19" s="0" t="n">
        <f aca="false">SUM($L$7:L19)</f>
        <v>4.06872925495626</v>
      </c>
      <c r="N19" s="0" t="n">
        <f aca="false">SQRT((J19-$J$7)^2+(K19-$K$7)^2)</f>
        <v>4.06791767855731</v>
      </c>
    </row>
    <row r="20" customFormat="false" ht="12.75" hidden="false" customHeight="false" outlineLevel="0" collapsed="false">
      <c r="I20" s="0" t="n">
        <f aca="false">I19+0.01</f>
        <v>0.13</v>
      </c>
      <c r="J20" s="0" t="n">
        <f aca="false">$G$7*I20^2/2-$H$7*I20*SIN($F$7-$E$7)</f>
        <v>4.46812519728968</v>
      </c>
      <c r="K20" s="0" t="n">
        <f aca="false">$H$7*I20*COS($F$7-$E$7)</f>
        <v>0.564356577417524</v>
      </c>
      <c r="L20" s="0" t="n">
        <f aca="false">SQRT((J20-J19)^2+(K20-K19)^2)</f>
        <v>0.435869219886991</v>
      </c>
      <c r="M20" s="0" t="n">
        <f aca="false">SUM($L$7:L20)</f>
        <v>4.50459847484325</v>
      </c>
      <c r="N20" s="0" t="n">
        <f aca="false">SQRT((J20-$J$7)^2+(K20-$K$7)^2)</f>
        <v>4.50362533134466</v>
      </c>
    </row>
    <row r="21" customFormat="false" ht="12.75" hidden="false" customHeight="false" outlineLevel="0" collapsed="false">
      <c r="I21" s="0" t="n">
        <f aca="false">I20+0.01</f>
        <v>0.14</v>
      </c>
      <c r="J21" s="0" t="n">
        <f aca="false">$G$7*I21^2/2-$H$7*I21*SIN($F$7-$E$7)</f>
        <v>4.91682713554273</v>
      </c>
      <c r="K21" s="0" t="n">
        <f aca="false">$H$7*I21*COS($F$7-$E$7)</f>
        <v>0.607768621834256</v>
      </c>
      <c r="L21" s="0" t="n">
        <f aca="false">SQRT((J21-J20)^2+(K21-K20)^2)</f>
        <v>0.45079711067451</v>
      </c>
      <c r="M21" s="0" t="n">
        <f aca="false">SUM($L$7:L21)</f>
        <v>4.95539558551775</v>
      </c>
      <c r="N21" s="0" t="n">
        <f aca="false">SQRT((J21-$J$7)^2+(K21-$K$7)^2)</f>
        <v>4.95424785194439</v>
      </c>
    </row>
    <row r="22" customFormat="false" ht="12.75" hidden="false" customHeight="false" outlineLevel="0" collapsed="false">
      <c r="I22" s="0" t="n">
        <f aca="false">I21+0.01</f>
        <v>0.15</v>
      </c>
      <c r="J22" s="0" t="n">
        <f aca="false">$G$7*I22^2/2-$H$7*I22*SIN($F$7-$E$7)</f>
        <v>5.38052907379578</v>
      </c>
      <c r="K22" s="0" t="n">
        <f aca="false">$H$7*I22*COS($F$7-$E$7)</f>
        <v>0.651180666250989</v>
      </c>
      <c r="L22" s="0" t="n">
        <f aca="false">SQRT((J22-J21)^2+(K22-K21)^2)</f>
        <v>0.465729635239244</v>
      </c>
      <c r="M22" s="0" t="n">
        <f aca="false">SUM($L$7:L22)</f>
        <v>5.421125220757</v>
      </c>
      <c r="N22" s="0" t="n">
        <f aca="false">SQRT((J22-$J$7)^2+(K22-$K$7)^2)</f>
        <v>5.41979052861462</v>
      </c>
    </row>
    <row r="23" customFormat="false" ht="12.75" hidden="false" customHeight="false" outlineLevel="0" collapsed="false">
      <c r="I23" s="0" t="n">
        <f aca="false">I22+0.01</f>
        <v>0.16</v>
      </c>
      <c r="J23" s="0" t="n">
        <f aca="false">$G$7*I23^2/2-$H$7*I23*SIN($F$7-$E$7)</f>
        <v>5.85923101204883</v>
      </c>
      <c r="K23" s="0" t="n">
        <f aca="false">$H$7*I23*COS($F$7-$E$7)</f>
        <v>0.694592710667722</v>
      </c>
      <c r="L23" s="0" t="n">
        <f aca="false">SQRT((J23-J22)^2+(K23-K22)^2)</f>
        <v>0.480666361718468</v>
      </c>
      <c r="M23" s="0" t="n">
        <f aca="false">SUM($L$7:L23)</f>
        <v>5.90179158247547</v>
      </c>
      <c r="N23" s="0" t="n">
        <f aca="false">SQRT((J23-$J$7)^2+(K23-$K$7)^2)</f>
        <v>5.90025822199906</v>
      </c>
    </row>
    <row r="24" customFormat="false" ht="12.75" hidden="false" customHeight="false" outlineLevel="0" collapsed="false">
      <c r="I24" s="0" t="n">
        <f aca="false">I23+0.01</f>
        <v>0.17</v>
      </c>
      <c r="J24" s="0" t="n">
        <f aca="false">$G$7*I24^2/2-$H$7*I24*SIN($F$7-$E$7)</f>
        <v>6.35293295030188</v>
      </c>
      <c r="K24" s="0" t="n">
        <f aca="false">$H$7*I24*COS($F$7-$E$7)</f>
        <v>0.738004755084454</v>
      </c>
      <c r="L24" s="0" t="n">
        <f aca="false">SQRT((J24-J23)^2+(K24-K23)^2)</f>
        <v>0.495606910197246</v>
      </c>
      <c r="M24" s="0" t="n">
        <f aca="false">SUM($L$7:L24)</f>
        <v>6.39739849267271</v>
      </c>
      <c r="N24" s="0" t="n">
        <f aca="false">SQRT((J24-$J$7)^2+(K24-$K$7)^2)</f>
        <v>6.39565540734948</v>
      </c>
    </row>
    <row r="25" customFormat="false" ht="12.75" hidden="false" customHeight="false" outlineLevel="0" collapsed="false">
      <c r="I25" s="0" t="n">
        <f aca="false">I24+0.01</f>
        <v>0.18</v>
      </c>
      <c r="J25" s="0" t="n">
        <f aca="false">$G$7*I25^2/2-$H$7*I25*SIN($F$7-$E$7)</f>
        <v>6.86163488855494</v>
      </c>
      <c r="K25" s="0" t="n">
        <f aca="false">$H$7*I25*COS($F$7-$E$7)</f>
        <v>0.781416799501187</v>
      </c>
      <c r="L25" s="0" t="n">
        <f aca="false">SQRT((J25-J24)^2+(K25-K24)^2)</f>
        <v>0.510550945139517</v>
      </c>
      <c r="M25" s="0" t="n">
        <f aca="false">SUM($L$7:L25)</f>
        <v>6.90794943781223</v>
      </c>
      <c r="N25" s="0" t="n">
        <f aca="false">SQRT((J25-$J$7)^2+(K25-$K$7)^2)</f>
        <v>6.9059862118583</v>
      </c>
    </row>
    <row r="26" customFormat="false" ht="12.75" hidden="false" customHeight="false" outlineLevel="0" collapsed="false">
      <c r="I26" s="0" t="n">
        <f aca="false">I25+0.01</f>
        <v>0.19</v>
      </c>
      <c r="J26" s="0" t="n">
        <f aca="false">$G$7*I26^2/2-$H$7*I26*SIN($F$7-$E$7)</f>
        <v>7.38533682680799</v>
      </c>
      <c r="K26" s="0" t="n">
        <f aca="false">$H$7*I26*COS($F$7-$E$7)</f>
        <v>0.82482884391792</v>
      </c>
      <c r="L26" s="0" t="n">
        <f aca="false">SQRT((J26-J25)^2+(K26-K25)^2)</f>
        <v>0.525498169102847</v>
      </c>
      <c r="M26" s="0" t="n">
        <f aca="false">SUM($L$7:L26)</f>
        <v>7.43344760691508</v>
      </c>
      <c r="N26" s="0" t="n">
        <f aca="false">SQRT((J26-$J$7)^2+(K26-$K$7)^2)</f>
        <v>7.43125444774738</v>
      </c>
    </row>
    <row r="27" customFormat="false" ht="12.75" hidden="false" customHeight="false" outlineLevel="0" collapsed="false">
      <c r="I27" s="0" t="n">
        <f aca="false">I26+0.01</f>
        <v>0.2</v>
      </c>
      <c r="J27" s="0" t="n">
        <f aca="false">$G$7*I27^2/2-$H$7*I27*SIN($F$7-$E$7)</f>
        <v>7.92403876506104</v>
      </c>
      <c r="K27" s="0" t="n">
        <f aca="false">$H$7*I27*COS($F$7-$E$7)</f>
        <v>0.868240888334652</v>
      </c>
      <c r="L27" s="0" t="n">
        <f aca="false">SQRT((J27-J26)^2+(K27-K26)^2)</f>
        <v>0.540448317490244</v>
      </c>
      <c r="M27" s="0" t="n">
        <f aca="false">SUM($L$7:L27)</f>
        <v>7.97389592440532</v>
      </c>
      <c r="N27" s="0" t="n">
        <f aca="false">SQRT((J27-$J$7)^2+(K27-$K$7)^2)</f>
        <v>7.9714636416637</v>
      </c>
    </row>
    <row r="28" customFormat="false" ht="12.75" hidden="false" customHeight="false" outlineLevel="0" collapsed="false">
      <c r="I28" s="0" t="n">
        <f aca="false">I27+0.01</f>
        <v>0.21</v>
      </c>
      <c r="J28" s="0" t="n">
        <f aca="false">$G$7*I28^2/2-$H$7*I28*SIN($F$7-$E$7)</f>
        <v>8.47774070331409</v>
      </c>
      <c r="K28" s="0" t="n">
        <f aca="false">$H$7*I28*COS($F$7-$E$7)</f>
        <v>0.911652932751385</v>
      </c>
      <c r="L28" s="0" t="n">
        <f aca="false">SQRT((J28-J27)^2+(K28-K27)^2)</f>
        <v>0.555401154145026</v>
      </c>
      <c r="M28" s="0" t="n">
        <f aca="false">SUM($L$7:L28)</f>
        <v>8.52929707855035</v>
      </c>
      <c r="N28" s="0" t="n">
        <f aca="false">SQRT((J28-$J$7)^2+(K28-$K$7)^2)</f>
        <v>8.52661706085261</v>
      </c>
    </row>
    <row r="29" customFormat="false" ht="12.75" hidden="false" customHeight="false" outlineLevel="0" collapsed="false">
      <c r="I29" s="0" t="n">
        <f aca="false">I28+0.01</f>
        <v>0.22</v>
      </c>
      <c r="J29" s="0" t="n">
        <f aca="false">$G$7*I29^2/2-$H$7*I29*SIN($F$7-$E$7)</f>
        <v>9.04644264156715</v>
      </c>
      <c r="K29" s="0" t="n">
        <f aca="false">$H$7*I29*COS($F$7-$E$7)</f>
        <v>0.955064977168118</v>
      </c>
      <c r="L29" s="0" t="n">
        <f aca="false">SQRT((J29-J28)^2+(K29-K28)^2)</f>
        <v>0.570356467635129</v>
      </c>
      <c r="M29" s="0" t="n">
        <f aca="false">SUM($L$7:L29)</f>
        <v>9.09965354618547</v>
      </c>
      <c r="N29" s="0" t="n">
        <f aca="false">SQRT((J29-$J$7)^2+(K29-$K$7)^2)</f>
        <v>9.09671773651231</v>
      </c>
    </row>
    <row r="30" customFormat="false" ht="12.75" hidden="false" customHeight="false" outlineLevel="0" collapsed="false">
      <c r="I30" s="0" t="n">
        <f aca="false">I29+0.01</f>
        <v>0.23</v>
      </c>
      <c r="J30" s="0" t="n">
        <f aca="false">$G$7*I30^2/2-$H$7*I30*SIN($F$7-$E$7)</f>
        <v>9.6301445798202</v>
      </c>
      <c r="K30" s="0" t="n">
        <f aca="false">$H$7*I30*COS($F$7-$E$7)</f>
        <v>0.99847702158485</v>
      </c>
      <c r="L30" s="0" t="n">
        <f aca="false">SQRT((J30-J29)^2+(K30-K29)^2)</f>
        <v>0.585314068104304</v>
      </c>
      <c r="M30" s="0" t="n">
        <f aca="false">SUM($L$7:L30)</f>
        <v>9.68496761428978</v>
      </c>
      <c r="N30" s="0" t="n">
        <f aca="false">SQRT((J30-$J$7)^2+(K30-$K$7)^2)</f>
        <v>9.68176848467641</v>
      </c>
    </row>
    <row r="31" customFormat="false" ht="12.75" hidden="false" customHeight="false" outlineLevel="0" collapsed="false">
      <c r="I31" s="0" t="n">
        <f aca="false">I30+0.01</f>
        <v>0.24</v>
      </c>
      <c r="J31" s="0" t="n">
        <f aca="false">$G$7*I31^2/2-$H$7*I31*SIN($F$7-$E$7)</f>
        <v>10.2288465180733</v>
      </c>
      <c r="K31" s="0" t="n">
        <f aca="false">$H$7*I31*COS($F$7-$E$7)</f>
        <v>1.04188906600158</v>
      </c>
      <c r="L31" s="0" t="n">
        <f aca="false">SQRT((J31-J30)^2+(K31-K30)^2)</f>
        <v>0.600273784591998</v>
      </c>
      <c r="M31" s="0" t="n">
        <f aca="false">SUM($L$7:L31)</f>
        <v>10.2852413988818</v>
      </c>
      <c r="N31" s="0" t="n">
        <f aca="false">SQRT((J31-$J$7)^2+(K31-$K$7)^2)</f>
        <v>10.2817719249239</v>
      </c>
    </row>
    <row r="32" customFormat="false" ht="12.75" hidden="false" customHeight="false" outlineLevel="0" collapsed="false">
      <c r="I32" s="0" t="n">
        <f aca="false">I31+0.01</f>
        <v>0.25</v>
      </c>
      <c r="J32" s="0" t="n">
        <f aca="false">$G$7*I32^2/2-$H$7*I32*SIN($F$7-$E$7)</f>
        <v>10.8425484563263</v>
      </c>
      <c r="K32" s="0" t="n">
        <f aca="false">$H$7*I32*COS($F$7-$E$7)</f>
        <v>1.08530111041832</v>
      </c>
      <c r="L32" s="0" t="n">
        <f aca="false">SQRT((J32-J31)^2+(K32-K31)^2)</f>
        <v>0.615235462742513</v>
      </c>
      <c r="M32" s="0" t="n">
        <f aca="false">SUM($L$7:L32)</f>
        <v>10.9004768616243</v>
      </c>
      <c r="N32" s="0" t="n">
        <f aca="false">SQRT((J32-$J$7)^2+(K32-$K$7)^2)</f>
        <v>10.8967304971748</v>
      </c>
    </row>
    <row r="33" customFormat="false" ht="12.75" hidden="false" customHeight="false" outlineLevel="0" collapsed="false">
      <c r="I33" s="0" t="n">
        <f aca="false">I32+0.01</f>
        <v>0.26</v>
      </c>
      <c r="J33" s="0" t="n">
        <f aca="false">$G$7*I33^2/2-$H$7*I33*SIN($F$7-$E$7)</f>
        <v>11.4712503945794</v>
      </c>
      <c r="K33" s="0" t="n">
        <f aca="false">$H$7*I33*COS($F$7-$E$7)</f>
        <v>1.12871315483505</v>
      </c>
      <c r="L33" s="0" t="n">
        <f aca="false">SQRT((J33-J32)^2+(K33-K32)^2)</f>
        <v>0.630198962839187</v>
      </c>
      <c r="M33" s="0" t="n">
        <f aca="false">SUM($L$7:L33)</f>
        <v>11.5306758244635</v>
      </c>
      <c r="N33" s="0" t="n">
        <f aca="false">SQRT((J33-$J$7)^2+(K33-$K$7)^2)</f>
        <v>11.526646476796</v>
      </c>
    </row>
    <row r="34" customFormat="false" ht="12.75" hidden="false" customHeight="false" outlineLevel="0" collapsed="false">
      <c r="I34" s="0" t="n">
        <f aca="false">I33+0.01</f>
        <v>0.27</v>
      </c>
      <c r="J34" s="0" t="n">
        <f aca="false">$G$7*I34^2/2-$H$7*I34*SIN($F$7-$E$7)</f>
        <v>12.1149523328324</v>
      </c>
      <c r="K34" s="0" t="n">
        <f aca="false">$H$7*I34*COS($F$7-$E$7)</f>
        <v>1.17212519925178</v>
      </c>
      <c r="L34" s="0" t="n">
        <f aca="false">SQRT((J34-J33)^2+(K34-K33)^2)</f>
        <v>0.645164158111079</v>
      </c>
      <c r="M34" s="0" t="n">
        <f aca="false">SUM($L$7:L34)</f>
        <v>12.1758399825746</v>
      </c>
      <c r="N34" s="0" t="n">
        <f aca="false">SQRT((J34-$J$7)^2+(K34-$K$7)^2)</f>
        <v>12.1715219882118</v>
      </c>
    </row>
    <row r="35" customFormat="false" ht="12.75" hidden="false" customHeight="false" outlineLevel="0" collapsed="false">
      <c r="I35" s="0" t="n">
        <f aca="false">I34+0.01</f>
        <v>0.28</v>
      </c>
      <c r="J35" s="0" t="n">
        <f aca="false">$G$7*I35^2/2-$H$7*I35*SIN($F$7-$E$7)</f>
        <v>12.7736542710855</v>
      </c>
      <c r="K35" s="0" t="n">
        <f aca="false">$H$7*I35*COS($F$7-$E$7)</f>
        <v>1.21553724366851</v>
      </c>
      <c r="L35" s="0" t="n">
        <f aca="false">SQRT((J35-J34)^2+(K35-K34)^2)</f>
        <v>0.660130933269125</v>
      </c>
      <c r="M35" s="0" t="n">
        <f aca="false">SUM($L$7:L35)</f>
        <v>12.8359709158437</v>
      </c>
      <c r="N35" s="0" t="n">
        <f aca="false">SQRT((J35-$J$7)^2+(K35-$K$7)^2)</f>
        <v>12.8313590171877</v>
      </c>
    </row>
    <row r="36" customFormat="false" ht="12.75" hidden="false" customHeight="false" outlineLevel="0" collapsed="false">
      <c r="I36" s="0" t="n">
        <f aca="false">I35+0.01</f>
        <v>0.29</v>
      </c>
      <c r="J36" s="0" t="n">
        <f aca="false">$G$7*I36^2/2-$H$7*I36*SIN($F$7-$E$7)</f>
        <v>13.4473562093385</v>
      </c>
      <c r="K36" s="0" t="n">
        <f aca="false">$H$7*I36*COS($F$7-$E$7)</f>
        <v>1.25894928808525</v>
      </c>
      <c r="L36" s="0" t="n">
        <f aca="false">SQRT((J36-J35)^2+(K36-K35)^2)</f>
        <v>0.675099183236333</v>
      </c>
      <c r="M36" s="0" t="n">
        <f aca="false">SUM($L$7:L36)</f>
        <v>13.51107009908</v>
      </c>
      <c r="N36" s="0" t="n">
        <f aca="false">SQRT((J36-$J$7)^2+(K36-$K$7)^2)</f>
        <v>13.506159421938</v>
      </c>
    </row>
    <row r="37" customFormat="false" ht="12.75" hidden="false" customHeight="false" outlineLevel="0" collapsed="false">
      <c r="I37" s="0" t="n">
        <f aca="false">I36+0.01</f>
        <v>0.3</v>
      </c>
      <c r="J37" s="0" t="n">
        <f aca="false">$G$7*I37^2/2-$H$7*I37*SIN($F$7-$E$7)</f>
        <v>14.1360581475916</v>
      </c>
      <c r="K37" s="0" t="n">
        <f aca="false">$H$7*I37*COS($F$7-$E$7)</f>
        <v>1.30236133250198</v>
      </c>
      <c r="L37" s="0" t="n">
        <f aca="false">SQRT((J37-J36)^2+(K37-K36)^2)</f>
        <v>0.69006881204265</v>
      </c>
      <c r="M37" s="0" t="n">
        <f aca="false">SUM($L$7:L37)</f>
        <v>14.2011389111227</v>
      </c>
      <c r="N37" s="0" t="n">
        <f aca="false">SQRT((J37-$J$7)^2+(K37-$K$7)^2)</f>
        <v>14.195924943183</v>
      </c>
    </row>
    <row r="38" customFormat="false" ht="12.75" hidden="false" customHeight="false" outlineLevel="0" collapsed="false">
      <c r="I38" s="0" t="n">
        <f aca="false">I37+0.01</f>
        <v>0.31</v>
      </c>
      <c r="J38" s="0" t="n">
        <f aca="false">$G$7*I38^2/2-$H$7*I38*SIN($F$7-$E$7)</f>
        <v>14.8397600858446</v>
      </c>
      <c r="K38" s="0" t="n">
        <f aca="false">$H$7*I38*COS($F$7-$E$7)</f>
        <v>1.34577337691871</v>
      </c>
      <c r="L38" s="0" t="n">
        <f aca="false">SQRT((J38-J37)^2+(K38-K37)^2)</f>
        <v>0.705039731860227</v>
      </c>
      <c r="M38" s="0" t="n">
        <f aca="false">SUM($L$7:L38)</f>
        <v>14.9061786429829</v>
      </c>
      <c r="N38" s="0" t="n">
        <f aca="false">SQRT((J38-$J$7)^2+(K38-$K$7)^2)</f>
        <v>14.9006572132725</v>
      </c>
    </row>
    <row r="39" customFormat="false" ht="12.75" hidden="false" customHeight="false" outlineLevel="0" collapsed="false">
      <c r="I39" s="0" t="n">
        <f aca="false">I38+0.01</f>
        <v>0.32</v>
      </c>
      <c r="J39" s="0" t="n">
        <f aca="false">$G$7*I39^2/2-$H$7*I39*SIN($F$7-$E$7)</f>
        <v>15.5584620240977</v>
      </c>
      <c r="K39" s="0" t="n">
        <f aca="false">$H$7*I39*COS($F$7-$E$7)</f>
        <v>1.38918542133544</v>
      </c>
      <c r="L39" s="0" t="n">
        <f aca="false">SQRT((J39-J38)^2+(K39-K38)^2)</f>
        <v>0.720011862158629</v>
      </c>
      <c r="M39" s="0" t="n">
        <f aca="false">SUM($L$7:L39)</f>
        <v>15.6261905051415</v>
      </c>
      <c r="N39" s="0" t="n">
        <f aca="false">SQRT((J39-$J$7)^2+(K39-$K$7)^2)</f>
        <v>15.6203577644733</v>
      </c>
    </row>
    <row r="40" customFormat="false" ht="12.75" hidden="false" customHeight="false" outlineLevel="0" collapsed="false">
      <c r="I40" s="0" t="n">
        <f aca="false">I39+0.01</f>
        <v>0.33</v>
      </c>
      <c r="J40" s="0" t="n">
        <f aca="false">$G$7*I40^2/2-$H$7*I40*SIN($F$7-$E$7)</f>
        <v>16.2921639623507</v>
      </c>
      <c r="K40" s="0" t="n">
        <f aca="false">$H$7*I40*COS($F$7-$E$7)</f>
        <v>1.43259746575218</v>
      </c>
      <c r="L40" s="0" t="n">
        <f aca="false">SQRT((J40-J39)^2+(K40-K39)^2)</f>
        <v>0.73498512896298</v>
      </c>
      <c r="M40" s="0" t="n">
        <f aca="false">SUM($L$7:L40)</f>
        <v>16.3611756341045</v>
      </c>
      <c r="N40" s="0" t="n">
        <f aca="false">SQRT((J40-$J$7)^2+(K40-$K$7)^2)</f>
        <v>16.3550280365091</v>
      </c>
    </row>
    <row r="41" customFormat="false" ht="12.75" hidden="false" customHeight="false" outlineLevel="0" collapsed="false">
      <c r="I41" s="0" t="n">
        <f aca="false">I40+0.01</f>
        <v>0.34</v>
      </c>
      <c r="J41" s="0" t="n">
        <f aca="false">$G$7*I41^2/2-$H$7*I41*SIN($F$7-$E$7)</f>
        <v>17.0408659006038</v>
      </c>
      <c r="K41" s="0" t="n">
        <f aca="false">$H$7*I41*COS($F$7-$E$7)</f>
        <v>1.47600951016891</v>
      </c>
      <c r="L41" s="0" t="n">
        <f aca="false">SQRT((J41-J40)^2+(K41-K40)^2)</f>
        <v>0.749959464200775</v>
      </c>
      <c r="M41" s="0" t="n">
        <f aca="false">SUM($L$7:L41)</f>
        <v>17.1111350983053</v>
      </c>
      <c r="N41" s="0" t="n">
        <f aca="false">SQRT((J41-$J$7)^2+(K41-$K$7)^2)</f>
        <v>17.1046693834306</v>
      </c>
    </row>
    <row r="42" customFormat="false" ht="12.75" hidden="false" customHeight="false" outlineLevel="0" collapsed="false">
      <c r="I42" s="0" t="n">
        <f aca="false">I41+0.01</f>
        <v>0.35</v>
      </c>
      <c r="J42" s="0" t="n">
        <f aca="false">$G$7*I42^2/2-$H$7*I42*SIN($F$7-$E$7)</f>
        <v>17.8045678388568</v>
      </c>
      <c r="K42" s="0" t="n">
        <f aca="false">$H$7*I42*COS($F$7-$E$7)</f>
        <v>1.51942155458564</v>
      </c>
      <c r="L42" s="0" t="n">
        <f aca="false">SQRT((J42-J41)^2+(K42-K41)^2)</f>
        <v>0.764934805125192</v>
      </c>
      <c r="M42" s="0" t="n">
        <f aca="false">SUM($L$7:L42)</f>
        <v>17.8760699034305</v>
      </c>
      <c r="N42" s="0" t="n">
        <f aca="false">SQRT((J42-$J$7)^2+(K42-$K$7)^2)</f>
        <v>17.869283079883</v>
      </c>
    </row>
    <row r="43" customFormat="false" ht="12.75" hidden="false" customHeight="false" outlineLevel="0" collapsed="false">
      <c r="I43" s="0" t="n">
        <f aca="false">I42+0.01</f>
        <v>0.36</v>
      </c>
      <c r="J43" s="0" t="n">
        <f aca="false">$G$7*I43^2/2-$H$7*I43*SIN($F$7-$E$7)</f>
        <v>18.5832697771099</v>
      </c>
      <c r="K43" s="0" t="n">
        <f aca="false">$H$7*I43*COS($F$7-$E$7)</f>
        <v>1.56283359900237</v>
      </c>
      <c r="L43" s="0" t="n">
        <f aca="false">SQRT((J43-J42)^2+(K43-K42)^2)</f>
        <v>0.779911093804606</v>
      </c>
      <c r="M43" s="0" t="n">
        <f aca="false">SUM($L$7:L43)</f>
        <v>18.6559809972351</v>
      </c>
      <c r="N43" s="0" t="n">
        <f aca="false">SQRT((J43-$J$7)^2+(K43-$K$7)^2)</f>
        <v>18.6488703268326</v>
      </c>
    </row>
    <row r="44" customFormat="false" ht="12.75" hidden="false" customHeight="false" outlineLevel="0" collapsed="false">
      <c r="I44" s="0" t="n">
        <f aca="false">I43+0.01</f>
        <v>0.37</v>
      </c>
      <c r="J44" s="0" t="n">
        <f aca="false">$G$7*I44^2/2-$H$7*I44*SIN($F$7-$E$7)</f>
        <v>19.3769717153629</v>
      </c>
      <c r="K44" s="0" t="n">
        <f aca="false">$H$7*I44*COS($F$7-$E$7)</f>
        <v>1.60624564341911</v>
      </c>
      <c r="L44" s="0" t="n">
        <f aca="false">SQRT((J44-J43)^2+(K44-K43)^2)</f>
        <v>0.794888276669807</v>
      </c>
      <c r="M44" s="0" t="n">
        <f aca="false">SUM($L$7:L44)</f>
        <v>19.4508692739049</v>
      </c>
      <c r="N44" s="0" t="n">
        <f aca="false">SQRT((J44-$J$7)^2+(K44-$K$7)^2)</f>
        <v>19.4434322568053</v>
      </c>
    </row>
    <row r="45" customFormat="false" ht="12.75" hidden="false" customHeight="false" outlineLevel="0" collapsed="false">
      <c r="I45" s="0" t="n">
        <f aca="false">I44+0.01</f>
        <v>0.38</v>
      </c>
      <c r="J45" s="0" t="n">
        <f aca="false">$G$7*I45^2/2-$H$7*I45*SIN($F$7-$E$7)</f>
        <v>20.185673653616</v>
      </c>
      <c r="K45" s="0" t="n">
        <f aca="false">$H$7*I45*COS($F$7-$E$7)</f>
        <v>1.64965768783584</v>
      </c>
      <c r="L45" s="0" t="n">
        <f aca="false">SQRT((J45-J44)^2+(K45-K44)^2)</f>
        <v>0.809866304111171</v>
      </c>
      <c r="M45" s="0" t="n">
        <f aca="false">SUM($L$7:L45)</f>
        <v>20.2607355780161</v>
      </c>
      <c r="N45" s="0" t="n">
        <f aca="false">SQRT((J45-$J$7)^2+(K45-$K$7)^2)</f>
        <v>20.2529699386861</v>
      </c>
    </row>
    <row r="46" customFormat="false" ht="12.75" hidden="false" customHeight="false" outlineLevel="0" collapsed="false">
      <c r="I46" s="0" t="n">
        <f aca="false">I45+0.01</f>
        <v>0.39</v>
      </c>
      <c r="J46" s="0" t="n">
        <f aca="false">$G$7*I46^2/2-$H$7*I46*SIN($F$7-$E$7)</f>
        <v>21.009375591869</v>
      </c>
      <c r="K46" s="0" t="n">
        <f aca="false">$H$7*I46*COS($F$7-$E$7)</f>
        <v>1.69306973225257</v>
      </c>
      <c r="L46" s="0" t="n">
        <f aca="false">SQRT((J46-J45)^2+(K46-K45)^2)</f>
        <v>0.824845130119755</v>
      </c>
      <c r="M46" s="0" t="n">
        <f aca="false">SUM($L$7:L46)</f>
        <v>21.0855807081358</v>
      </c>
      <c r="N46" s="0" t="n">
        <f aca="false">SQRT((J46-$J$7)^2+(K46-$K$7)^2)</f>
        <v>21.0774843821195</v>
      </c>
    </row>
    <row r="47" customFormat="false" ht="12.75" hidden="false" customHeight="false" outlineLevel="0" collapsed="false">
      <c r="I47" s="0" t="n">
        <f aca="false">I46+0.01</f>
        <v>0.4</v>
      </c>
      <c r="J47" s="0" t="n">
        <f aca="false">$G$7*I47^2/2-$H$7*I47*SIN($F$7-$E$7)</f>
        <v>21.8480775301221</v>
      </c>
      <c r="K47" s="0" t="n">
        <f aca="false">$H$7*I47*COS($F$7-$E$7)</f>
        <v>1.73648177666931</v>
      </c>
      <c r="L47" s="0" t="n">
        <f aca="false">SQRT((J47-J46)^2+(K47-K46)^2)</f>
        <v>0.839824711966651</v>
      </c>
      <c r="M47" s="0" t="n">
        <f aca="false">SUM($L$7:L47)</f>
        <v>21.9254054201025</v>
      </c>
      <c r="N47" s="0" t="n">
        <f aca="false">SQRT((J47-$J$7)^2+(K47-$K$7)^2)</f>
        <v>21.9169765415518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2013-05-28T20:35:42Z</dcterms:created>
  <dc:creator>Owner</dc:creator>
  <dc:description/>
  <dc:language>en-US</dc:language>
  <cp:lastModifiedBy>Owner</cp:lastModifiedBy>
  <dcterms:modified xsi:type="dcterms:W3CDTF">2013-05-29T23:35:28Z</dcterms:modified>
  <cp:revision>0</cp:revision>
  <dc:subject/>
  <dc:title/>
</cp:coreProperties>
</file>