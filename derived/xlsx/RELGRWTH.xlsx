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<sst xmlns="http://schemas.openxmlformats.org/spreadsheetml/2006/main" count="5" uniqueCount="5">
  <si>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Do</t>
  </si>
  <si>
    <t xml:space="preserve">p</t>
  </si>
  <si>
    <t xml:space="preserve">d</t>
  </si>
  <si>
    <t xml:space="preserve">T</t>
  </si>
  <si>
    <t xml:space="preserve">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</si>
</sst>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</font>
    <font>
      <b val="true"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Rocket Reliability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Sheet1!$G$8:$G$24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Sheet1!$H$8:$H$24</c:f>
              <c:numCache>
                <c:formatCode>General</c:formatCode>
                <c:ptCount val="17"/>
                <c:pt idx="0">
                  <c:v>0.0256</c:v>
                </c:pt>
                <c:pt idx="1">
                  <c:v>0.148691034138794</c:v>
                </c:pt>
                <c:pt idx="2">
                  <c:v>0.371183007771656</c:v>
                </c:pt>
                <c:pt idx="3">
                  <c:v>0.597290771986041</c:v>
                </c:pt>
                <c:pt idx="4">
                  <c:v>0.764921060756951</c:v>
                </c:pt>
                <c:pt idx="5">
                  <c:v>0.869922656119841</c:v>
                </c:pt>
                <c:pt idx="6">
                  <c:v>0.930100619576292</c:v>
                </c:pt>
                <c:pt idx="7">
                  <c:v>0.963020574016475</c:v>
                </c:pt>
                <c:pt idx="8">
                  <c:v>0.980596850565216</c:v>
                </c:pt>
                <c:pt idx="9">
                  <c:v>0.989862922079157</c:v>
                </c:pt>
                <c:pt idx="10">
                  <c:v>0.994715830448934</c:v>
                </c:pt>
                <c:pt idx="11">
                  <c:v>0.997248737997913</c:v>
                </c:pt>
                <c:pt idx="12">
                  <c:v>0.998568397808101</c:v>
                </c:pt>
                <c:pt idx="13">
                  <c:v>0.999255310903701</c:v>
                </c:pt>
                <c:pt idx="14">
                  <c:v>0.999612692435168</c:v>
                </c:pt>
                <c:pt idx="15">
                  <c:v>0.999798581341817</c:v>
                </c:pt>
                <c:pt idx="16">
                  <c:v>0.999895257234171</c:v>
                </c:pt>
              </c:numCache>
            </c:numRef>
          </c:yVal>
          <c:smooth val="1"/>
        </c:ser>
        <c:axId val="22643665"/>
        <c:axId val="22451286"/>
      </c:scatterChart>
      <c:valAx>
        <c:axId val="22643665"/>
        <c:scaling>
          <c:orientation val="minMax"/>
          <c:max val="16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Cumulative Number of Flights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451286"/>
        <c:crossesAt val="0"/>
        <c:crossBetween val="midCat"/>
        <c:majorUnit val="2"/>
      </c:valAx>
      <c:valAx>
        <c:axId val="22451286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Reliability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643665"/>
        <c:crossesAt val="0"/>
        <c:crossBetween val="midCat"/>
        <c:majorUnit val="0.2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29880</xdr:colOff>
      <xdr:row>7</xdr:row>
      <xdr:rowOff>18720</xdr:rowOff>
    </xdr:from>
    <xdr:to>
      <xdr:col>18</xdr:col>
      <xdr:colOff>449280</xdr:colOff>
      <xdr:row>31</xdr:row>
      <xdr:rowOff>9360</xdr:rowOff>
    </xdr:to>
    <xdr:graphicFrame>
      <xdr:nvGraphicFramePr>
        <xdr:cNvPr id="1" name="Chart 4"/>
        <xdr:cNvGraphicFramePr/>
      </xdr:nvGraphicFramePr>
      <xdr:xfrm>
        <a:off x="5773320" y="1152360"/>
        <a:ext cx="6163200" cy="38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7:H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7" customFormat="false" ht="12.75" hidden="false" customHeight="false" outlineLevel="0" collapsed="false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</row>
    <row r="8" customFormat="false" ht="12.75" hidden="false" customHeight="false" outlineLevel="0" collapsed="false">
      <c r="D8" s="2" t="n">
        <v>4</v>
      </c>
      <c r="E8" s="2" t="n">
        <v>0.6</v>
      </c>
      <c r="F8" s="3" t="n">
        <v>0.8</v>
      </c>
      <c r="G8" s="0" t="n">
        <v>0</v>
      </c>
      <c r="H8" s="0" t="n">
        <f aca="false">(1-E8)^D8</f>
        <v>0.0256</v>
      </c>
    </row>
    <row r="9" customFormat="false" ht="12.75" hidden="false" customHeight="false" outlineLevel="0" collapsed="false">
      <c r="D9" s="0" t="n">
        <v>4</v>
      </c>
      <c r="E9" s="0" t="n">
        <v>0.6</v>
      </c>
      <c r="F9" s="0" t="n">
        <v>0.8</v>
      </c>
      <c r="G9" s="0" t="n">
        <v>1</v>
      </c>
      <c r="H9" s="0" t="n">
        <f aca="false">(1-$E$8)^($D$8*(1-$E$8*$F$8)^G9)</f>
        <v>0.148691034138794</v>
      </c>
    </row>
    <row r="10" customFormat="false" ht="12.75" hidden="false" customHeight="false" outlineLevel="0" collapsed="false">
      <c r="G10" s="0" t="n">
        <f aca="false">G9+1</f>
        <v>2</v>
      </c>
      <c r="H10" s="0" t="n">
        <f aca="false">(1-$E$8)^($D$8*(1-$E$8*$F$8)^G10)</f>
        <v>0.371183007771656</v>
      </c>
    </row>
    <row r="11" customFormat="false" ht="12.75" hidden="false" customHeight="false" outlineLevel="0" collapsed="false">
      <c r="G11" s="0" t="n">
        <f aca="false">G10+1</f>
        <v>3</v>
      </c>
      <c r="H11" s="0" t="n">
        <f aca="false">(1-$E$8)^($D$8*(1-$E$8*$F$8)^G11)</f>
        <v>0.597290771986041</v>
      </c>
    </row>
    <row r="12" customFormat="false" ht="12.75" hidden="false" customHeight="false" outlineLevel="0" collapsed="false">
      <c r="G12" s="0" t="n">
        <f aca="false">G11+1</f>
        <v>4</v>
      </c>
      <c r="H12" s="0" t="n">
        <f aca="false">(1-$E$8)^($D$8*(1-$E$8*$F$8)^G12)</f>
        <v>0.764921060756951</v>
      </c>
    </row>
    <row r="13" customFormat="false" ht="12.75" hidden="false" customHeight="false" outlineLevel="0" collapsed="false">
      <c r="G13" s="0" t="n">
        <f aca="false">G12+1</f>
        <v>5</v>
      </c>
      <c r="H13" s="0" t="n">
        <f aca="false">(1-$E$8)^($D$8*(1-$E$8*$F$8)^G13)</f>
        <v>0.869922656119841</v>
      </c>
    </row>
    <row r="14" customFormat="false" ht="12.75" hidden="false" customHeight="false" outlineLevel="0" collapsed="false">
      <c r="G14" s="0" t="n">
        <f aca="false">G13+1</f>
        <v>6</v>
      </c>
      <c r="H14" s="0" t="n">
        <f aca="false">(1-$E$8)^($D$8*(1-$E$8*$F$8)^G14)</f>
        <v>0.930100619576292</v>
      </c>
    </row>
    <row r="15" customFormat="false" ht="12.75" hidden="false" customHeight="false" outlineLevel="0" collapsed="false">
      <c r="G15" s="0" t="n">
        <f aca="false">G14+1</f>
        <v>7</v>
      </c>
      <c r="H15" s="0" t="n">
        <f aca="false">(1-$E$8)^($D$8*(1-$E$8*$F$8)^G15)</f>
        <v>0.963020574016475</v>
      </c>
    </row>
    <row r="16" customFormat="false" ht="12.75" hidden="false" customHeight="false" outlineLevel="0" collapsed="false">
      <c r="G16" s="0" t="n">
        <f aca="false">G15+1</f>
        <v>8</v>
      </c>
      <c r="H16" s="0" t="n">
        <f aca="false">(1-$E$8)^($D$8*(1-$E$8*$F$8)^G16)</f>
        <v>0.980596850565216</v>
      </c>
    </row>
    <row r="17" customFormat="false" ht="12.75" hidden="false" customHeight="false" outlineLevel="0" collapsed="false">
      <c r="G17" s="0" t="n">
        <f aca="false">G16+1</f>
        <v>9</v>
      </c>
      <c r="H17" s="0" t="n">
        <f aca="false">(1-$E$8)^($D$8*(1-$E$8*$F$8)^G17)</f>
        <v>0.989862922079157</v>
      </c>
    </row>
    <row r="18" customFormat="false" ht="12.75" hidden="false" customHeight="false" outlineLevel="0" collapsed="false">
      <c r="G18" s="0" t="n">
        <f aca="false">G17+1</f>
        <v>10</v>
      </c>
      <c r="H18" s="0" t="n">
        <f aca="false">(1-$E$8)^($D$8*(1-$E$8*$F$8)^G18)</f>
        <v>0.994715830448934</v>
      </c>
    </row>
    <row r="19" customFormat="false" ht="12.75" hidden="false" customHeight="false" outlineLevel="0" collapsed="false">
      <c r="G19" s="0" t="n">
        <f aca="false">G18+1</f>
        <v>11</v>
      </c>
      <c r="H19" s="0" t="n">
        <f aca="false">(1-$E$8)^($D$8*(1-$E$8*$F$8)^G19)</f>
        <v>0.997248737997913</v>
      </c>
    </row>
    <row r="20" customFormat="false" ht="12.75" hidden="false" customHeight="false" outlineLevel="0" collapsed="false">
      <c r="G20" s="0" t="n">
        <f aca="false">G19+1</f>
        <v>12</v>
      </c>
      <c r="H20" s="0" t="n">
        <f aca="false">(1-$E$8)^($D$8*(1-$E$8*$F$8)^G20)</f>
        <v>0.998568397808101</v>
      </c>
    </row>
    <row r="21" customFormat="false" ht="12.75" hidden="false" customHeight="false" outlineLevel="0" collapsed="false">
      <c r="G21" s="0" t="n">
        <f aca="false">G20+1</f>
        <v>13</v>
      </c>
      <c r="H21" s="0" t="n">
        <f aca="false">(1-$E$8)^($D$8*(1-$E$8*$F$8)^G21)</f>
        <v>0.999255310903701</v>
      </c>
    </row>
    <row r="22" customFormat="false" ht="12.75" hidden="false" customHeight="false" outlineLevel="0" collapsed="false">
      <c r="G22" s="0" t="n">
        <f aca="false">G21+1</f>
        <v>14</v>
      </c>
      <c r="H22" s="0" t="n">
        <f aca="false">(1-$E$8)^($D$8*(1-$E$8*$F$8)^G22)</f>
        <v>0.999612692435168</v>
      </c>
    </row>
    <row r="23" customFormat="false" ht="12.75" hidden="false" customHeight="false" outlineLevel="0" collapsed="false">
      <c r="G23" s="0" t="n">
        <f aca="false">G22+1</f>
        <v>15</v>
      </c>
      <c r="H23" s="0" t="n">
        <f aca="false">(1-$E$8)^($D$8*(1-$E$8*$F$8)^G23)</f>
        <v>0.999798581341817</v>
      </c>
    </row>
    <row r="24" customFormat="false" ht="12.75" hidden="false" customHeight="false" outlineLevel="0" collapsed="false">
      <c r="G24" s="0" t="n">
        <f aca="false">G23+1</f>
        <v>16</v>
      </c>
      <c r="H24" s="0" t="n">
        <f aca="false">(1-$E$8)^($D$8*(1-$E$8*$F$8)^G24)</f>
        <v>0.999895257234171</v>
      </c>
    </row>
    <row r="25" customFormat="false" ht="12.75" hidden="false" customHeight="false" outlineLevel="0" collapsed="false">
      <c r="G25" s="0" t="n">
        <f aca="false">G24+1</f>
        <v>17</v>
      </c>
      <c r="H25" s="0" t="n">
        <f aca="false">(1-$E$8)^($D$8*(1-$E$8*$F$8)^G25)</f>
        <v>0.999945532392512</v>
      </c>
    </row>
    <row r="26" customFormat="false" ht="12.75" hidden="false" customHeight="false" outlineLevel="0" collapsed="false">
      <c r="G26" s="0" t="n">
        <f aca="false">G25+1</f>
        <v>18</v>
      </c>
      <c r="H26" s="0" t="n">
        <f aca="false">(1-$E$8)^($D$8*(1-$E$8*$F$8)^G26)</f>
        <v>0.999971676473849</v>
      </c>
    </row>
    <row r="27" customFormat="false" ht="12.75" hidden="false" customHeight="false" outlineLevel="0" collapsed="false">
      <c r="G27" s="0" t="n">
        <f aca="false">G26+1</f>
        <v>19</v>
      </c>
      <c r="H27" s="0" t="n">
        <f aca="false">(1-$E$8)^($D$8*(1-$E$8*$F$8)^G27)</f>
        <v>0.999985271666283</v>
      </c>
    </row>
    <row r="28" customFormat="false" ht="12.75" hidden="false" customHeight="false" outlineLevel="0" collapsed="false">
      <c r="G28" s="0" t="n">
        <f aca="false">G27+1</f>
        <v>20</v>
      </c>
      <c r="H28" s="0" t="n">
        <f aca="false">(1-$E$8)^($D$8*(1-$E$8*$F$8)^G28)</f>
        <v>0.999992341239395</v>
      </c>
    </row>
    <row r="29" customFormat="false" ht="12.75" hidden="false" customHeight="false" outlineLevel="0" collapsed="false">
      <c r="G29" s="0" t="n">
        <f aca="false">G28+1</f>
        <v>21</v>
      </c>
      <c r="H29" s="0" t="n">
        <f aca="false">(1-$E$8)^($D$8*(1-$E$8*$F$8)^G29)</f>
        <v>0.999996017437165</v>
      </c>
    </row>
    <row r="30" customFormat="false" ht="12.75" hidden="false" customHeight="false" outlineLevel="0" collapsed="false">
      <c r="G30" s="0" t="n">
        <f aca="false">G29+1</f>
        <v>22</v>
      </c>
      <c r="H30" s="0" t="n">
        <f aca="false">(1-$E$8)^($D$8*(1-$E$8*$F$8)^G30)</f>
        <v>0.999997929065346</v>
      </c>
    </row>
    <row r="31" customFormat="false" ht="12.75" hidden="false" customHeight="false" outlineLevel="0" collapsed="false">
      <c r="G31" s="0" t="n">
        <f aca="false">G30+1</f>
        <v>23</v>
      </c>
      <c r="H31" s="0" t="n">
        <f aca="false">(1-$E$8)^($D$8*(1-$E$8*$F$8)^G31)</f>
        <v>0.999998923113445</v>
      </c>
    </row>
    <row r="32" customFormat="false" ht="12.75" hidden="false" customHeight="false" outlineLevel="0" collapsed="false">
      <c r="G32" s="0" t="n">
        <f aca="false">G31+1</f>
        <v>24</v>
      </c>
      <c r="H32" s="0" t="n">
        <f aca="false">(1-$E$8)^($D$8*(1-$E$8*$F$8)^G32)</f>
        <v>0.999999440018847</v>
      </c>
    </row>
    <row r="33" customFormat="false" ht="12.75" hidden="false" customHeight="false" outlineLevel="0" collapsed="false">
      <c r="G33" s="0" t="n">
        <f aca="false">G32+1</f>
        <v>25</v>
      </c>
      <c r="H33" s="0" t="n">
        <f aca="false">(1-$E$8)^($D$8*(1-$E$8*$F$8)^G33)</f>
        <v>0.999999708809761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2013-07-19T23:45:51Z</dcterms:created>
  <dc:creator>Owner</dc:creator>
  <dc:description/>
  <dc:language>en-US</dc:language>
  <cp:lastModifiedBy>Owner</cp:lastModifiedBy>
  <dcterms:modified xsi:type="dcterms:W3CDTF">2013-07-24T13:13:12Z</dcterms:modified>
  <cp:revision>0</cp:revision>
  <dc:subject/>
  <dc:title/>
</cp:coreProperties>
</file>