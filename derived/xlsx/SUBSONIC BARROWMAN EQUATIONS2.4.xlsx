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<sst xmlns="http://schemas.openxmlformats.org/spreadsheetml/2006/main" count="102" uniqueCount="82">
  <si>
    <t xml:space="preserve">GOLD RUSH III Ignition Stability</t>
  </si>
  <si>
    <r>
      <rPr>
        <b val="true"/>
        <sz val="12"/>
        <color rgb="FF000000"/>
        <rFont val="Calibri"/>
        <family val="2"/>
      </rPr>
      <t xml:space="preserve">For Segment zero, if r &gt; 0 then Hemispherical Cap  or Flat Face is applied     </t>
    </r>
    <r>
      <rPr>
        <b val="true"/>
        <sz val="12"/>
        <color rgb="FF000000"/>
        <rFont val="Arial"/>
        <family val="2"/>
      </rPr>
      <t xml:space="preserve">↓</t>
    </r>
  </si>
  <si>
    <r>
      <rPr>
        <b val="true"/>
        <sz val="10"/>
        <rFont val="Arial"/>
        <family val="2"/>
      </rPr>
      <t xml:space="preserve">Body of Revolution  </t>
    </r>
    <r>
      <rPr>
        <b val="true"/>
        <sz val="10"/>
        <rFont val="Times New Roman"/>
        <family val="1"/>
      </rPr>
      <t xml:space="preserve">→</t>
    </r>
  </si>
  <si>
    <t xml:space="preserve">Flight Mach Number</t>
  </si>
  <si>
    <t xml:space="preserve">Boat Tail Half Angle, deg</t>
  </si>
  <si>
    <t xml:space="preserve">Aerodynamic Reference  Area, in^2</t>
  </si>
  <si>
    <t xml:space="preserve">Aerodynamic Reference Length, in</t>
  </si>
  <si>
    <t xml:space="preserve">Body Segment No.</t>
  </si>
  <si>
    <t xml:space="preserve">Body Station, x, in</t>
  </si>
  <si>
    <t xml:space="preserve">Body Radius, r, in</t>
  </si>
  <si>
    <t xml:space="preserve">Flat Faced Nose?</t>
  </si>
  <si>
    <t xml:space="preserve">Body Cross Section Area, in^2</t>
  </si>
  <si>
    <r>
      <rPr>
        <sz val="10"/>
        <rFont val="Arial"/>
        <family val="2"/>
      </rPr>
      <t xml:space="preserve">Segment</t>
    </r>
    <r>
      <rPr>
        <sz val="11"/>
        <rFont val="Arial"/>
        <family val="2"/>
      </rPr>
      <t xml:space="preserve"> C</t>
    </r>
    <r>
      <rPr>
        <vertAlign val="subscript"/>
        <sz val="11"/>
        <rFont val="Arial"/>
        <family val="2"/>
      </rPr>
      <t xml:space="preserve">N</t>
    </r>
    <r>
      <rPr>
        <vertAlign val="subscript"/>
        <sz val="11"/>
        <rFont val="Symbol"/>
        <family val="1"/>
        <charset val="2"/>
      </rPr>
      <t xml:space="preserve">a</t>
    </r>
    <r>
      <rPr>
        <sz val="10"/>
        <rFont val="Arial"/>
        <family val="0"/>
      </rPr>
      <t xml:space="preserve">, per rad</t>
    </r>
  </si>
  <si>
    <t xml:space="preserve">Segment Volume, in^3</t>
  </si>
  <si>
    <t xml:space="preserve">Segment Center of Pressure, in</t>
  </si>
  <si>
    <r>
      <rPr>
        <sz val="10"/>
        <rFont val="Arial"/>
        <family val="2"/>
      </rPr>
      <t xml:space="preserve">Flat Face C</t>
    </r>
    <r>
      <rPr>
        <sz val="9"/>
        <rFont val="Arial"/>
        <family val="2"/>
      </rPr>
      <t xml:space="preserve">m</t>
    </r>
    <r>
      <rPr>
        <sz val="9"/>
        <rFont val="Calibri"/>
        <family val="2"/>
      </rPr>
      <t xml:space="preserve">α</t>
    </r>
  </si>
  <si>
    <r>
      <rPr>
        <sz val="10"/>
        <rFont val="Arial"/>
        <family val="2"/>
      </rPr>
      <t xml:space="preserve">Vehicle C</t>
    </r>
    <r>
      <rPr>
        <vertAlign val="subscript"/>
        <sz val="12"/>
        <rFont val="Arial"/>
        <family val="2"/>
      </rPr>
      <t xml:space="preserve">N</t>
    </r>
    <r>
      <rPr>
        <vertAlign val="subscript"/>
        <sz val="12"/>
        <rFont val="Symbol"/>
        <family val="1"/>
        <charset val="2"/>
      </rPr>
      <t xml:space="preserve">a</t>
    </r>
    <r>
      <rPr>
        <sz val="10"/>
        <rFont val="Arial"/>
        <family val="2"/>
      </rPr>
      <t xml:space="preserve">, rad</t>
    </r>
    <r>
      <rPr>
        <vertAlign val="superscript"/>
        <sz val="12"/>
        <rFont val="Arial"/>
        <family val="2"/>
      </rPr>
      <t xml:space="preserve">-1</t>
    </r>
  </si>
  <si>
    <r>
      <rPr>
        <sz val="10"/>
        <rFont val="Arial"/>
        <family val="2"/>
      </rPr>
      <t xml:space="preserve"> Vehicle Cm</t>
    </r>
    <r>
      <rPr>
        <sz val="10"/>
        <rFont val="Calibri"/>
        <family val="2"/>
      </rPr>
      <t xml:space="preserve">α, </t>
    </r>
    <r>
      <rPr>
        <sz val="10"/>
        <rFont val="Arial"/>
        <family val="2"/>
      </rPr>
      <t xml:space="preserve">per radian</t>
    </r>
  </si>
  <si>
    <t xml:space="preserve">Vehicle Center of Pressure, in</t>
  </si>
  <si>
    <t xml:space="preserve">Beta</t>
  </si>
  <si>
    <t xml:space="preserve">If more points are needed to define the body profile insert more rows between rows 10 and 15</t>
  </si>
  <si>
    <t xml:space="preserve">If fewer points are needed to define the body profile delete rows between 10 anr 15</t>
  </si>
  <si>
    <t xml:space="preserve">Body station input to cell H15 is leading edge of the boattail.</t>
  </si>
  <si>
    <t xml:space="preserve">If the body radius at the most forwqard body station is greater than 0, either a tangent hemisphere or a blunt flat face is assumed as controlled by cell J6.</t>
  </si>
  <si>
    <t xml:space="preserve">Color Code</t>
  </si>
  <si>
    <t xml:space="preserve">Theta T, rad</t>
  </si>
  <si>
    <t xml:space="preserve">Input Data</t>
  </si>
  <si>
    <t xml:space="preserve">Output Data</t>
  </si>
  <si>
    <t xml:space="preserve">R hemis, in</t>
  </si>
  <si>
    <r>
      <rPr>
        <b val="true"/>
        <sz val="10"/>
        <rFont val="Arial"/>
        <family val="2"/>
      </rPr>
      <t xml:space="preserve">First      Stage     </t>
    </r>
    <r>
      <rPr>
        <b val="true"/>
        <sz val="10"/>
        <rFont val="Times New Roman"/>
        <family val="1"/>
      </rPr>
      <t xml:space="preserve">→</t>
    </r>
  </si>
  <si>
    <t xml:space="preserve">Number of Fin Sets or Stages</t>
  </si>
  <si>
    <t xml:space="preserve">Number of Fin Panels</t>
  </si>
  <si>
    <t xml:space="preserve">Tip Chord LE Body Station, in</t>
  </si>
  <si>
    <t xml:space="preserve">Root Chord LE Body Station, in</t>
  </si>
  <si>
    <t xml:space="preserve">Root Chord, in</t>
  </si>
  <si>
    <t xml:space="preserve">Tip Chord, in</t>
  </si>
  <si>
    <t xml:space="preserve">Maximum Exposed Semi-Span, in</t>
  </si>
  <si>
    <t xml:space="preserve">tan(half boat tail angle)</t>
  </si>
  <si>
    <r>
      <rPr>
        <sz val="10"/>
        <rFont val="Arial"/>
        <family val="0"/>
      </rPr>
      <t xml:space="preserve">Single Panel Area, in</t>
    </r>
    <r>
      <rPr>
        <vertAlign val="superscript"/>
        <sz val="10"/>
        <rFont val="Arial"/>
        <family val="2"/>
      </rPr>
      <t xml:space="preserve">2</t>
    </r>
  </si>
  <si>
    <t xml:space="preserve">Quarter Chord Exposed Semispan, in</t>
  </si>
  <si>
    <t xml:space="preserve">Aspect Ratio</t>
  </si>
  <si>
    <t xml:space="preserve">Quarter Chord Sweep Angle, rad</t>
  </si>
  <si>
    <t xml:space="preserve">Compressible Plan-form Parameter</t>
  </si>
  <si>
    <t xml:space="preserve">Body  Radius at One Quarter Root Chord, in</t>
  </si>
  <si>
    <t xml:space="preserve">Maximum Semispan from Body CL, in</t>
  </si>
  <si>
    <r>
      <rPr>
        <sz val="10"/>
        <rFont val="Arial"/>
        <family val="0"/>
      </rPr>
      <t xml:space="preserve">Wing Alone C</t>
    </r>
    <r>
      <rPr>
        <vertAlign val="subscript"/>
        <sz val="12"/>
        <rFont val="Arial"/>
        <family val="2"/>
      </rPr>
      <t xml:space="preserve">N</t>
    </r>
    <r>
      <rPr>
        <vertAlign val="subscript"/>
        <sz val="12"/>
        <rFont val="Symbol"/>
        <family val="1"/>
        <charset val="2"/>
      </rPr>
      <t xml:space="preserve">a</t>
    </r>
    <r>
      <rPr>
        <vertAlign val="subscript"/>
        <sz val="12"/>
        <rFont val="Arial"/>
        <family val="2"/>
      </rPr>
      <t xml:space="preserve"> </t>
    </r>
    <r>
      <rPr>
        <sz val="10"/>
        <rFont val="Arial"/>
        <family val="2"/>
      </rPr>
      <t xml:space="preserve">(based on Swing)</t>
    </r>
    <r>
      <rPr>
        <sz val="10"/>
        <rFont val="Arial"/>
        <family val="0"/>
      </rPr>
      <t xml:space="preserve">, rad</t>
    </r>
    <r>
      <rPr>
        <vertAlign val="superscript"/>
        <sz val="12"/>
        <rFont val="Arial"/>
        <family val="2"/>
      </rPr>
      <t xml:space="preserve">-1</t>
    </r>
  </si>
  <si>
    <t xml:space="preserve">Mean Aerodynamic Chord, in</t>
  </si>
  <si>
    <r>
      <rPr>
        <sz val="10"/>
        <rFont val="Arial"/>
        <family val="0"/>
      </rPr>
      <t xml:space="preserve">Naked (single panel) Fin  Ass'y C</t>
    </r>
    <r>
      <rPr>
        <vertAlign val="subscript"/>
        <sz val="12"/>
        <rFont val="Arial"/>
        <family val="2"/>
      </rPr>
      <t xml:space="preserve">N</t>
    </r>
    <r>
      <rPr>
        <vertAlign val="subscript"/>
        <sz val="12"/>
        <rFont val="Symbol"/>
        <family val="1"/>
        <charset val="2"/>
      </rPr>
      <t xml:space="preserve">a </t>
    </r>
    <r>
      <rPr>
        <sz val="10"/>
        <rFont val="Arial"/>
        <family val="2"/>
      </rPr>
      <t xml:space="preserve">(based on Sref), rad</t>
    </r>
    <r>
      <rPr>
        <vertAlign val="superscript"/>
        <sz val="10"/>
        <rFont val="Arial"/>
        <family val="2"/>
      </rPr>
      <t xml:space="preserve">-1</t>
    </r>
  </si>
  <si>
    <r>
      <rPr>
        <sz val="10"/>
        <rFont val="Arial"/>
        <family val="0"/>
      </rPr>
      <t xml:space="preserve">Fin </t>
    </r>
    <r>
      <rPr>
        <sz val="10"/>
        <rFont val="Arial"/>
        <family val="2"/>
      </rPr>
      <t xml:space="preserve">α </t>
    </r>
    <r>
      <rPr>
        <sz val="10"/>
        <rFont val="Arial"/>
        <family val="0"/>
      </rPr>
      <t xml:space="preserve">Center of Pressure, in</t>
    </r>
  </si>
  <si>
    <r>
      <rPr>
        <sz val="10"/>
        <rFont val="Arial"/>
        <family val="0"/>
      </rPr>
      <t xml:space="preserve">Body-Fin Lift Interference, K</t>
    </r>
    <r>
      <rPr>
        <vertAlign val="subscript"/>
        <sz val="12"/>
        <rFont val="Arial"/>
        <family val="2"/>
      </rPr>
      <t xml:space="preserve">W(B)</t>
    </r>
    <r>
      <rPr>
        <sz val="12"/>
        <rFont val="Arial"/>
        <family val="2"/>
      </rPr>
      <t xml:space="preserve">,</t>
    </r>
    <r>
      <rPr>
        <sz val="10"/>
        <rFont val="Arial"/>
        <family val="2"/>
      </rPr>
      <t xml:space="preserve"> Eq.(14)</t>
    </r>
    <r>
      <rPr>
        <vertAlign val="subscript"/>
        <sz val="12"/>
        <rFont val="Arial"/>
        <family val="2"/>
      </rPr>
      <t xml:space="preserve"> </t>
    </r>
  </si>
  <si>
    <r>
      <rPr>
        <sz val="10"/>
        <rFont val="Arial"/>
        <family val="0"/>
      </rPr>
      <t xml:space="preserve">Fins + K</t>
    </r>
    <r>
      <rPr>
        <vertAlign val="subscript"/>
        <sz val="12"/>
        <rFont val="Arial"/>
        <family val="2"/>
      </rPr>
      <t xml:space="preserve">(W)B</t>
    </r>
    <r>
      <rPr>
        <sz val="10"/>
        <rFont val="Arial"/>
        <family val="0"/>
      </rPr>
      <t xml:space="preserve">  C</t>
    </r>
    <r>
      <rPr>
        <vertAlign val="subscript"/>
        <sz val="12"/>
        <rFont val="Arial"/>
        <family val="2"/>
      </rPr>
      <t xml:space="preserve">N</t>
    </r>
    <r>
      <rPr>
        <vertAlign val="subscript"/>
        <sz val="12"/>
        <rFont val="Symbol"/>
        <family val="1"/>
        <charset val="2"/>
      </rPr>
      <t xml:space="preserve">a</t>
    </r>
    <r>
      <rPr>
        <sz val="10"/>
        <rFont val="Arial"/>
        <family val="0"/>
      </rPr>
      <t xml:space="preserve">, rad</t>
    </r>
    <r>
      <rPr>
        <vertAlign val="superscript"/>
        <sz val="12"/>
        <rFont val="Arial"/>
        <family val="2"/>
      </rPr>
      <t xml:space="preserve">-1</t>
    </r>
  </si>
  <si>
    <r>
      <rPr>
        <sz val="10"/>
        <rFont val="Arial"/>
        <family val="0"/>
      </rPr>
      <t xml:space="preserve">Fin-Body Lift Interference, K</t>
    </r>
    <r>
      <rPr>
        <vertAlign val="subscript"/>
        <sz val="12"/>
        <rFont val="Arial"/>
        <family val="2"/>
      </rPr>
      <t xml:space="preserve">B(W)</t>
    </r>
    <r>
      <rPr>
        <sz val="10"/>
        <rFont val="Arial"/>
        <family val="2"/>
      </rPr>
      <t xml:space="preserve">,       Eq. (21)</t>
    </r>
  </si>
  <si>
    <r>
      <rPr>
        <sz val="10"/>
        <rFont val="Arial"/>
        <family val="0"/>
      </rPr>
      <t xml:space="preserve">B(W) </t>
    </r>
    <r>
      <rPr>
        <sz val="10"/>
        <rFont val="Arial"/>
        <family val="2"/>
      </rPr>
      <t xml:space="preserve">α </t>
    </r>
    <r>
      <rPr>
        <sz val="10"/>
        <rFont val="Arial"/>
        <family val="0"/>
      </rPr>
      <t xml:space="preserve">Center of Pressure Station, in, Eq. (D6)</t>
    </r>
  </si>
  <si>
    <r>
      <rPr>
        <sz val="10"/>
        <rFont val="Arial"/>
        <family val="0"/>
      </rPr>
      <t xml:space="preserve">Tail Assembly C</t>
    </r>
    <r>
      <rPr>
        <vertAlign val="subscript"/>
        <sz val="12"/>
        <rFont val="Arial"/>
        <family val="2"/>
      </rPr>
      <t xml:space="preserve">N</t>
    </r>
    <r>
      <rPr>
        <vertAlign val="subscript"/>
        <sz val="12"/>
        <rFont val="Symbol"/>
        <family val="1"/>
        <charset val="2"/>
      </rPr>
      <t xml:space="preserve">a</t>
    </r>
    <r>
      <rPr>
        <sz val="10"/>
        <rFont val="Arial"/>
        <family val="0"/>
      </rPr>
      <t xml:space="preserve">, rad</t>
    </r>
    <r>
      <rPr>
        <vertAlign val="superscript"/>
        <sz val="12"/>
        <rFont val="Arial"/>
        <family val="2"/>
      </rPr>
      <t xml:space="preserve">-1</t>
    </r>
  </si>
  <si>
    <r>
      <rPr>
        <sz val="10"/>
        <rFont val="Arial"/>
        <family val="0"/>
      </rPr>
      <t xml:space="preserve">Tail Assembly </t>
    </r>
    <r>
      <rPr>
        <sz val="10"/>
        <rFont val="Symbol"/>
        <family val="1"/>
        <charset val="2"/>
      </rPr>
      <t xml:space="preserve">a</t>
    </r>
    <r>
      <rPr>
        <sz val="10"/>
        <rFont val="Arial"/>
        <family val="2"/>
      </rPr>
      <t xml:space="preserve"> and</t>
    </r>
    <r>
      <rPr>
        <sz val="10"/>
        <rFont val="Symbol"/>
        <family val="1"/>
        <charset val="2"/>
      </rPr>
      <t xml:space="preserve"> d</t>
    </r>
    <r>
      <rPr>
        <sz val="10"/>
        <rFont val="Arial"/>
        <family val="0"/>
      </rPr>
      <t xml:space="preserve"> Center of Pressure, in</t>
    </r>
  </si>
  <si>
    <t xml:space="preserve">Trailing Vortex Spanwise Location at Stage 1, in</t>
  </si>
  <si>
    <t xml:space="preserve">Image Vortex Spanwise Location at Stage 1, in</t>
  </si>
  <si>
    <t xml:space="preserve">Vortex Iinterference Multiplier</t>
  </si>
  <si>
    <r>
      <rPr>
        <sz val="10"/>
        <rFont val="Arial"/>
        <family val="0"/>
      </rPr>
      <t xml:space="preserve">c</t>
    </r>
    <r>
      <rPr>
        <vertAlign val="subscript"/>
        <sz val="10"/>
        <rFont val="Arial"/>
        <family val="2"/>
      </rPr>
      <t xml:space="preserve">R1</t>
    </r>
    <r>
      <rPr>
        <sz val="10"/>
        <rFont val="Arial"/>
        <family val="0"/>
      </rPr>
      <t xml:space="preserve">b</t>
    </r>
    <r>
      <rPr>
        <vertAlign val="subscript"/>
        <sz val="10"/>
        <rFont val="Arial"/>
        <family val="2"/>
      </rPr>
      <t xml:space="preserve">1</t>
    </r>
    <r>
      <rPr>
        <sz val="10"/>
        <rFont val="Arial"/>
        <family val="0"/>
      </rPr>
      <t xml:space="preserve">-c</t>
    </r>
    <r>
      <rPr>
        <vertAlign val="subscript"/>
        <sz val="10"/>
        <rFont val="Arial"/>
        <family val="2"/>
      </rPr>
      <t xml:space="preserve">T1</t>
    </r>
    <r>
      <rPr>
        <sz val="10"/>
        <rFont val="Arial"/>
        <family val="0"/>
      </rPr>
      <t xml:space="preserve">R</t>
    </r>
    <r>
      <rPr>
        <vertAlign val="subscript"/>
        <sz val="10"/>
        <rFont val="Arial"/>
        <family val="2"/>
      </rPr>
      <t xml:space="preserve">1,   </t>
    </r>
    <r>
      <rPr>
        <sz val="10"/>
        <rFont val="Arial"/>
        <family val="2"/>
      </rPr>
      <t xml:space="preserve"> in</t>
    </r>
    <r>
      <rPr>
        <vertAlign val="superscript"/>
        <sz val="10"/>
        <rFont val="Arial"/>
        <family val="2"/>
      </rPr>
      <t xml:space="preserve">2</t>
    </r>
  </si>
  <si>
    <r>
      <rPr>
        <sz val="10"/>
        <rFont val="Arial"/>
        <family val="0"/>
      </rPr>
      <t xml:space="preserve">c</t>
    </r>
    <r>
      <rPr>
        <vertAlign val="subscript"/>
        <sz val="10"/>
        <rFont val="Arial"/>
        <family val="2"/>
      </rPr>
      <t xml:space="preserve">R1</t>
    </r>
    <r>
      <rPr>
        <sz val="10"/>
        <rFont val="Arial"/>
        <family val="0"/>
      </rPr>
      <t xml:space="preserve">-c</t>
    </r>
    <r>
      <rPr>
        <vertAlign val="subscript"/>
        <sz val="10"/>
        <rFont val="Arial"/>
        <family val="2"/>
      </rPr>
      <t xml:space="preserve">T1,   </t>
    </r>
    <r>
      <rPr>
        <sz val="10"/>
        <rFont val="Arial"/>
        <family val="2"/>
      </rPr>
      <t xml:space="preserve"> in</t>
    </r>
  </si>
  <si>
    <r>
      <rPr>
        <sz val="10"/>
        <rFont val="Arial"/>
        <family val="0"/>
      </rPr>
      <t xml:space="preserve">N(f</t>
    </r>
    <r>
      <rPr>
        <vertAlign val="subscript"/>
        <sz val="10"/>
        <rFont val="Arial"/>
        <family val="2"/>
      </rPr>
      <t xml:space="preserve">1</t>
    </r>
    <r>
      <rPr>
        <sz val="10"/>
        <rFont val="Arial"/>
        <family val="0"/>
      </rPr>
      <t xml:space="preserve">)</t>
    </r>
  </si>
  <si>
    <r>
      <rPr>
        <sz val="10"/>
        <rFont val="Arial"/>
        <family val="0"/>
      </rPr>
      <t xml:space="preserve">ΔN(f</t>
    </r>
    <r>
      <rPr>
        <vertAlign val="subscript"/>
        <sz val="10"/>
        <rFont val="Arial"/>
        <family val="2"/>
      </rPr>
      <t xml:space="preserve">1</t>
    </r>
    <r>
      <rPr>
        <sz val="10"/>
        <rFont val="Arial"/>
        <family val="0"/>
      </rPr>
      <t xml:space="preserve">)</t>
    </r>
  </si>
  <si>
    <r>
      <rPr>
        <sz val="10"/>
        <rFont val="Arial"/>
        <family val="0"/>
      </rPr>
      <t xml:space="preserve">N</t>
    </r>
    <r>
      <rPr>
        <vertAlign val="subscript"/>
        <sz val="10"/>
        <rFont val="Arial"/>
        <family val="2"/>
      </rPr>
      <t xml:space="preserve">I</t>
    </r>
    <r>
      <rPr>
        <sz val="10"/>
        <rFont val="Arial"/>
        <family val="0"/>
      </rPr>
      <t xml:space="preserve">(g</t>
    </r>
    <r>
      <rPr>
        <vertAlign val="subscript"/>
        <sz val="10"/>
        <rFont val="Arial"/>
        <family val="2"/>
      </rPr>
      <t xml:space="preserve">1</t>
    </r>
    <r>
      <rPr>
        <sz val="10"/>
        <rFont val="Arial"/>
        <family val="0"/>
      </rPr>
      <t xml:space="preserve">)</t>
    </r>
  </si>
  <si>
    <r>
      <rPr>
        <sz val="10"/>
        <rFont val="Arial"/>
        <family val="0"/>
      </rPr>
      <t xml:space="preserve">ΔN</t>
    </r>
    <r>
      <rPr>
        <vertAlign val="subscript"/>
        <sz val="10"/>
        <rFont val="Arial"/>
        <family val="2"/>
      </rPr>
      <t xml:space="preserve">I</t>
    </r>
    <r>
      <rPr>
        <sz val="10"/>
        <rFont val="Arial"/>
        <family val="0"/>
      </rPr>
      <t xml:space="preserve">(g</t>
    </r>
    <r>
      <rPr>
        <vertAlign val="subscript"/>
        <sz val="10"/>
        <rFont val="Arial"/>
        <family val="2"/>
      </rPr>
      <t xml:space="preserve">1</t>
    </r>
    <r>
      <rPr>
        <sz val="10"/>
        <rFont val="Arial"/>
        <family val="0"/>
      </rPr>
      <t xml:space="preserve">))</t>
    </r>
  </si>
  <si>
    <r>
      <rPr>
        <sz val="10"/>
        <rFont val="Arial"/>
        <family val="0"/>
      </rPr>
      <t xml:space="preserve">First Stage Fins Vortex Interference C</t>
    </r>
    <r>
      <rPr>
        <vertAlign val="subscript"/>
        <sz val="10"/>
        <rFont val="Arial"/>
        <family val="2"/>
      </rPr>
      <t xml:space="preserve">N</t>
    </r>
    <r>
      <rPr>
        <vertAlign val="subscript"/>
        <sz val="10"/>
        <rFont val="Symbol"/>
        <family val="1"/>
        <charset val="2"/>
      </rPr>
      <t xml:space="preserve">a</t>
    </r>
  </si>
  <si>
    <r>
      <rPr>
        <sz val="10"/>
        <rFont val="Arial"/>
        <family val="0"/>
      </rPr>
      <t xml:space="preserve">First Stage Body Vortex Interference C</t>
    </r>
    <r>
      <rPr>
        <vertAlign val="subscript"/>
        <sz val="10"/>
        <rFont val="Arial"/>
        <family val="2"/>
      </rPr>
      <t xml:space="preserve">N</t>
    </r>
    <r>
      <rPr>
        <vertAlign val="subscript"/>
        <sz val="10"/>
        <rFont val="Symbol"/>
        <family val="1"/>
        <charset val="2"/>
      </rPr>
      <t xml:space="preserve">a</t>
    </r>
    <r>
      <rPr>
        <sz val="10"/>
        <rFont val="Arial"/>
        <family val="0"/>
      </rPr>
      <t xml:space="preserve">, rad</t>
    </r>
    <r>
      <rPr>
        <vertAlign val="superscript"/>
        <sz val="10"/>
        <rFont val="Arial"/>
        <family val="2"/>
      </rPr>
      <t xml:space="preserve">-1</t>
    </r>
  </si>
  <si>
    <r>
      <rPr>
        <sz val="10"/>
        <rFont val="Arial"/>
        <family val="2"/>
      </rPr>
      <t xml:space="preserve">Total Tail Assembly C</t>
    </r>
    <r>
      <rPr>
        <vertAlign val="subscript"/>
        <sz val="10"/>
        <rFont val="Arial"/>
        <family val="2"/>
      </rPr>
      <t xml:space="preserve">Nα</t>
    </r>
    <r>
      <rPr>
        <sz val="10"/>
        <rFont val="Arial"/>
        <family val="2"/>
      </rPr>
      <t xml:space="preserve"> with Vortex Interference , rad</t>
    </r>
    <r>
      <rPr>
        <vertAlign val="superscript"/>
        <sz val="10"/>
        <rFont val="Arial"/>
        <family val="2"/>
      </rPr>
      <t xml:space="preserve">-1</t>
    </r>
  </si>
  <si>
    <r>
      <rPr>
        <sz val="10"/>
        <rFont val="Arial"/>
        <family val="0"/>
      </rPr>
      <t xml:space="preserve">Body-Fin Lift Interference, k</t>
    </r>
    <r>
      <rPr>
        <vertAlign val="subscript"/>
        <sz val="10"/>
        <rFont val="Arial"/>
        <family val="2"/>
      </rPr>
      <t xml:space="preserve">W(B)</t>
    </r>
    <r>
      <rPr>
        <sz val="10"/>
        <rFont val="Arial"/>
        <family val="2"/>
      </rPr>
      <t xml:space="preserve">,         Eq. (19)</t>
    </r>
  </si>
  <si>
    <r>
      <rPr>
        <sz val="10"/>
        <rFont val="Arial"/>
        <family val="0"/>
      </rPr>
      <t xml:space="preserve">Fin-Body Lift Interference, k</t>
    </r>
    <r>
      <rPr>
        <vertAlign val="subscript"/>
        <sz val="12"/>
        <rFont val="Arial"/>
        <family val="2"/>
      </rPr>
      <t xml:space="preserve">B(W)</t>
    </r>
    <r>
      <rPr>
        <sz val="10"/>
        <rFont val="Arial"/>
        <family val="0"/>
      </rPr>
      <t xml:space="preserve">,        Eq. (33)</t>
    </r>
  </si>
  <si>
    <r>
      <rPr>
        <sz val="10"/>
        <rFont val="Arial"/>
        <family val="0"/>
      </rPr>
      <t xml:space="preserve">Single Panel C</t>
    </r>
    <r>
      <rPr>
        <vertAlign val="subscript"/>
        <sz val="12"/>
        <rFont val="Arial"/>
        <family val="2"/>
      </rPr>
      <t xml:space="preserve">N</t>
    </r>
    <r>
      <rPr>
        <vertAlign val="subscript"/>
        <sz val="12"/>
        <rFont val="Symbol"/>
        <family val="1"/>
        <charset val="2"/>
      </rPr>
      <t xml:space="preserve">d</t>
    </r>
    <r>
      <rPr>
        <sz val="10"/>
        <rFont val="Arial"/>
        <family val="0"/>
      </rPr>
      <t xml:space="preserve">, rad</t>
    </r>
    <r>
      <rPr>
        <vertAlign val="superscript"/>
        <sz val="12"/>
        <rFont val="Arial"/>
        <family val="2"/>
      </rPr>
      <t xml:space="preserve">-1</t>
    </r>
  </si>
  <si>
    <r>
      <rPr>
        <b val="true"/>
        <sz val="10"/>
        <rFont val="Arial"/>
        <family val="2"/>
      </rPr>
      <t xml:space="preserve">Second Stage      </t>
    </r>
    <r>
      <rPr>
        <b val="true"/>
        <sz val="10"/>
        <rFont val="Times New Roman"/>
        <family val="1"/>
      </rPr>
      <t xml:space="preserve">→</t>
    </r>
  </si>
  <si>
    <r>
      <rPr>
        <sz val="10"/>
        <rFont val="Arial"/>
        <family val="0"/>
      </rPr>
      <t xml:space="preserve">Wing Alone C</t>
    </r>
    <r>
      <rPr>
        <vertAlign val="subscript"/>
        <sz val="12"/>
        <rFont val="Arial"/>
        <family val="2"/>
      </rPr>
      <t xml:space="preserve">N</t>
    </r>
    <r>
      <rPr>
        <vertAlign val="subscript"/>
        <sz val="12"/>
        <rFont val="Symbol"/>
        <family val="1"/>
        <charset val="2"/>
      </rPr>
      <t xml:space="preserve">a</t>
    </r>
    <r>
      <rPr>
        <sz val="10"/>
        <rFont val="Arial"/>
        <family val="0"/>
      </rPr>
      <t xml:space="preserve"> (based on Swing), rad</t>
    </r>
    <r>
      <rPr>
        <vertAlign val="superscript"/>
        <sz val="10"/>
        <rFont val="Arial"/>
        <family val="2"/>
      </rPr>
      <t xml:space="preserve">-1</t>
    </r>
  </si>
  <si>
    <r>
      <rPr>
        <sz val="10"/>
        <rFont val="Arial"/>
        <family val="0"/>
      </rPr>
      <t xml:space="preserve">Naked (single panel) Fin  Ass'y CNa (based on Sref), rad</t>
    </r>
    <r>
      <rPr>
        <vertAlign val="superscript"/>
        <sz val="10"/>
        <rFont val="Arial"/>
        <family val="2"/>
      </rPr>
      <t xml:space="preserve">-1</t>
    </r>
  </si>
  <si>
    <r>
      <rPr>
        <sz val="10"/>
        <rFont val="Arial"/>
        <family val="0"/>
      </rPr>
      <t xml:space="preserve">Body-Tail Lift Interference, K</t>
    </r>
    <r>
      <rPr>
        <vertAlign val="subscript"/>
        <sz val="12"/>
        <rFont val="Arial"/>
        <family val="2"/>
      </rPr>
      <t xml:space="preserve">W(B)</t>
    </r>
    <r>
      <rPr>
        <sz val="10"/>
        <rFont val="Arial"/>
        <family val="2"/>
      </rPr>
      <t xml:space="preserve">,       Eq. (14)</t>
    </r>
  </si>
  <si>
    <r>
      <rPr>
        <sz val="10"/>
        <rFont val="Arial"/>
        <family val="0"/>
      </rPr>
      <t xml:space="preserve">Tail + K(W)B  C</t>
    </r>
    <r>
      <rPr>
        <vertAlign val="subscript"/>
        <sz val="12"/>
        <rFont val="Arial"/>
        <family val="2"/>
      </rPr>
      <t xml:space="preserve">N</t>
    </r>
    <r>
      <rPr>
        <vertAlign val="subscript"/>
        <sz val="12"/>
        <rFont val="Symbol"/>
        <family val="1"/>
        <charset val="2"/>
      </rPr>
      <t xml:space="preserve">a</t>
    </r>
    <r>
      <rPr>
        <sz val="10"/>
        <rFont val="Arial"/>
        <family val="0"/>
      </rPr>
      <t xml:space="preserve">, rad</t>
    </r>
    <r>
      <rPr>
        <vertAlign val="superscript"/>
        <sz val="10"/>
        <rFont val="Arial"/>
        <family val="2"/>
      </rPr>
      <t xml:space="preserve">-1</t>
    </r>
  </si>
  <si>
    <r>
      <rPr>
        <sz val="10"/>
        <rFont val="Arial"/>
        <family val="0"/>
      </rPr>
      <t xml:space="preserve">Fin-Body Lift Interference, K</t>
    </r>
    <r>
      <rPr>
        <vertAlign val="subscript"/>
        <sz val="12"/>
        <rFont val="Arial"/>
        <family val="2"/>
      </rPr>
      <t xml:space="preserve">B(W</t>
    </r>
    <r>
      <rPr>
        <sz val="10"/>
        <rFont val="Arial"/>
        <family val="0"/>
      </rPr>
      <t xml:space="preserve">),          Eq. (21)</t>
    </r>
  </si>
  <si>
    <r>
      <rPr>
        <sz val="10"/>
        <rFont val="Arial"/>
        <family val="0"/>
      </rPr>
      <t xml:space="preserve">Tail Assembly </t>
    </r>
    <r>
      <rPr>
        <sz val="10"/>
        <rFont val="Symbol"/>
        <family val="1"/>
        <charset val="2"/>
      </rPr>
      <t xml:space="preserve">a</t>
    </r>
    <r>
      <rPr>
        <sz val="10"/>
        <rFont val="Arial"/>
        <family val="0"/>
      </rPr>
      <t xml:space="preserve"> and </t>
    </r>
    <r>
      <rPr>
        <sz val="10"/>
        <rFont val="Symbol"/>
        <family val="1"/>
        <charset val="2"/>
      </rPr>
      <t xml:space="preserve">d</t>
    </r>
    <r>
      <rPr>
        <sz val="10"/>
        <rFont val="Arial"/>
        <family val="0"/>
      </rPr>
      <t xml:space="preserve"> Center of Pressure, in</t>
    </r>
  </si>
  <si>
    <t xml:space="preserve">Trailing Vortex Spanwise Location at Stage 2, in</t>
  </si>
  <si>
    <r>
      <rPr>
        <sz val="10"/>
        <rFont val="Arial"/>
        <family val="0"/>
      </rPr>
      <t xml:space="preserve">Trailing Vortex Strength,  (1/U)    d</t>
    </r>
    <r>
      <rPr>
        <sz val="10"/>
        <rFont val="Arial"/>
        <family val="2"/>
      </rPr>
      <t xml:space="preserve">Γ</t>
    </r>
    <r>
      <rPr>
        <sz val="10"/>
        <rFont val="Arial"/>
        <family val="0"/>
      </rPr>
      <t xml:space="preserve">/d</t>
    </r>
    <r>
      <rPr>
        <sz val="10"/>
        <rFont val="Symbol"/>
        <family val="1"/>
        <charset val="2"/>
      </rPr>
      <t xml:space="preserve">a</t>
    </r>
    <r>
      <rPr>
        <sz val="10"/>
        <rFont val="Arial"/>
        <family val="0"/>
      </rPr>
      <t xml:space="preserve">, in</t>
    </r>
  </si>
  <si>
    <t xml:space="preserve">dε/dα</t>
  </si>
  <si>
    <r>
      <rPr>
        <sz val="10"/>
        <rFont val="Arial"/>
        <family val="0"/>
      </rPr>
      <t xml:space="preserve">Fin-Body Lift Interference, k</t>
    </r>
    <r>
      <rPr>
        <vertAlign val="subscript"/>
        <sz val="12"/>
        <rFont val="Arial"/>
        <family val="2"/>
      </rPr>
      <t xml:space="preserve">W(B)</t>
    </r>
    <r>
      <rPr>
        <sz val="10"/>
        <rFont val="Arial"/>
        <family val="2"/>
      </rPr>
      <t xml:space="preserve">,         Eq. (19)</t>
    </r>
  </si>
  <si>
    <t xml:space="preserve">s-r</t>
  </si>
</sst>
</file>

<file path=xl/styles.xml><?xml version="1.0" encoding="utf-8"?>
<styleSheet xmlns="http://schemas.openxmlformats.org/spreadsheetml/2006/main">
  <numFmts count="1">
    <numFmt numFmtId="164" formatCode="General"/>
  </numFmts>
  <fonts count="2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2"/>
      <color rgb="FF000000"/>
      <name val="Calibri"/>
      <family val="2"/>
    </font>
    <font>
      <b val="true"/>
      <sz val="12"/>
      <color rgb="FF000000"/>
      <name val="Arial"/>
      <family val="2"/>
    </font>
    <font>
      <b val="true"/>
      <sz val="1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vertAlign val="subscript"/>
      <sz val="11"/>
      <name val="Arial"/>
      <family val="2"/>
    </font>
    <font>
      <vertAlign val="subscript"/>
      <sz val="11"/>
      <name val="Symbol"/>
      <family val="1"/>
      <charset val="2"/>
    </font>
    <font>
      <sz val="9"/>
      <name val="Arial"/>
      <family val="2"/>
    </font>
    <font>
      <sz val="9"/>
      <name val="Calibri"/>
      <family val="2"/>
    </font>
    <font>
      <vertAlign val="subscript"/>
      <sz val="12"/>
      <name val="Arial"/>
      <family val="2"/>
    </font>
    <font>
      <vertAlign val="subscript"/>
      <sz val="12"/>
      <name val="Symbol"/>
      <family val="1"/>
      <charset val="2"/>
    </font>
    <font>
      <vertAlign val="superscript"/>
      <sz val="12"/>
      <name val="Arial"/>
      <family val="2"/>
    </font>
    <font>
      <sz val="10"/>
      <name val="Calibri"/>
      <family val="2"/>
    </font>
    <font>
      <b val="true"/>
      <u val="single"/>
      <sz val="10"/>
      <name val="Arial"/>
      <family val="2"/>
    </font>
    <font>
      <vertAlign val="superscript"/>
      <sz val="10"/>
      <name val="Arial"/>
      <family val="2"/>
    </font>
    <font>
      <sz val="12"/>
      <name val="Arial"/>
      <family val="2"/>
    </font>
    <font>
      <sz val="10"/>
      <name val="Symbol"/>
      <family val="1"/>
      <charset val="2"/>
    </font>
    <font>
      <vertAlign val="subscript"/>
      <sz val="10"/>
      <name val="Arial"/>
      <family val="2"/>
    </font>
    <font>
      <vertAlign val="subscript"/>
      <sz val="10"/>
      <name val="Symbol"/>
      <family val="1"/>
      <charset val="2"/>
    </font>
    <font>
      <sz val="11"/>
      <color rgb="FFFFFFFF"/>
      <name val="Calibri"/>
      <family val="2"/>
    </font>
    <font>
      <b val="true"/>
      <sz val="14"/>
      <color rgb="FF000000"/>
      <name val="Calibri"/>
      <family val="2"/>
    </font>
    <font>
      <b val="true"/>
      <sz val="2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99FF"/>
        <bgColor rgb="FF9999FF"/>
      </patternFill>
    </fill>
    <fill>
      <patternFill patternType="solid">
        <fgColor rgb="FF9999FF"/>
        <bgColor rgb="FFCC99FF"/>
      </patternFill>
    </fill>
    <fill>
      <patternFill patternType="solid">
        <fgColor rgb="FFFFCC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CCCF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C0C0C0"/>
      </left>
      <right/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>
        <color rgb="FFC0C0C0"/>
      </bottom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0</xdr:colOff>
      <xdr:row>30</xdr:row>
      <xdr:rowOff>28440</xdr:rowOff>
    </xdr:from>
    <xdr:to>
      <xdr:col>23</xdr:col>
      <xdr:colOff>231840</xdr:colOff>
      <xdr:row>42</xdr:row>
      <xdr:rowOff>124200</xdr:rowOff>
    </xdr:to>
    <xdr:grpSp>
      <xdr:nvGrpSpPr>
        <xdr:cNvPr id="1" name="Group 14"/>
        <xdr:cNvGrpSpPr/>
      </xdr:nvGrpSpPr>
      <xdr:grpSpPr>
        <a:xfrm>
          <a:off x="15055200" y="9667800"/>
          <a:ext cx="5735520" cy="2038680"/>
          <a:chOff x="15055200" y="9667800"/>
          <a:chExt cx="5735520" cy="2038680"/>
        </a:xfrm>
      </xdr:grpSpPr>
      <xdr:sp>
        <xdr:nvSpPr>
          <xdr:cNvPr id="2" name="Rectangle 2"/>
          <xdr:cNvSpPr/>
        </xdr:nvSpPr>
        <xdr:spPr>
          <a:xfrm>
            <a:off x="15055200" y="9667800"/>
            <a:ext cx="5735520" cy="2038680"/>
          </a:xfrm>
          <a:prstGeom prst="rect">
            <a:avLst/>
          </a:prstGeom>
          <a:solidFill>
            <a:srgbClr val="ffffff"/>
          </a:solidFill>
          <a:ln w="25560">
            <a:solidFill>
              <a:srgbClr val="385d8a"/>
            </a:solidFill>
            <a:miter/>
          </a:ln>
        </xdr:spPr>
        <xdr:style>
          <a:lnRef idx="0"/>
          <a:fillRef idx="0"/>
          <a:effectRef idx="0"/>
          <a:fontRef idx="minor"/>
        </xdr:style>
        <xdr:txBody>
          <a:bodyPr lIns="20160" rIns="20160" tIns="20160" bIns="20160" anchor="ctr">
            <a:noAutofit/>
          </a:bodyPr>
          <a:p>
            <a:pPr algn="ctr"/>
            <a:r>
              <a:rPr lang="en-US" sz="1100" b="0" u="none" strike="noStrike">
                <a:solidFill>
                  <a:srgbClr val="ffffff"/>
                </a:solidFill>
                <a:effectLst/>
                <a:uFillTx/>
                <a:latin typeface="Calibri"/>
              </a:rPr>
              <a:t>fpr</a:t>
            </a:r>
            <a:endParaRPr lang="en-US" sz="1100" b="0" u="none" strike="noStrike">
              <a:effectLst/>
              <a:uFillTx/>
              <a:latin typeface="Times New Roman"/>
            </a:endParaRPr>
          </a:p>
        </xdr:txBody>
      </xdr:sp>
      <xdr:grpSp>
        <xdr:nvGrpSpPr>
          <xdr:cNvPr id="3" name="Group 10"/>
          <xdr:cNvGrpSpPr/>
        </xdr:nvGrpSpPr>
        <xdr:grpSpPr>
          <a:xfrm>
            <a:off x="15497640" y="10372680"/>
            <a:ext cx="4980600" cy="828720"/>
            <a:chOff x="15497640" y="10372680"/>
            <a:chExt cx="4980600" cy="828720"/>
          </a:xfrm>
        </xdr:grpSpPr>
        <xdr:grpSp>
          <xdr:nvGrpSpPr>
            <xdr:cNvPr id="4" name="Group 6"/>
            <xdr:cNvGrpSpPr/>
          </xdr:nvGrpSpPr>
          <xdr:grpSpPr>
            <a:xfrm>
              <a:off x="15497640" y="10648800"/>
              <a:ext cx="4578480" cy="237960"/>
              <a:chOff x="15497640" y="10648800"/>
              <a:chExt cx="4578480" cy="237960"/>
            </a:xfrm>
          </xdr:grpSpPr>
          <xdr:sp>
            <xdr:nvSpPr>
              <xdr:cNvPr id="5" name="Flowchart: Decision 4"/>
              <xdr:cNvSpPr/>
            </xdr:nvSpPr>
            <xdr:spPr>
              <a:xfrm>
                <a:off x="15497640" y="10648800"/>
                <a:ext cx="2042640" cy="227880"/>
              </a:xfrm>
              <a:prstGeom prst="flowChartDecision">
                <a:avLst/>
              </a:prstGeom>
              <a:solidFill>
                <a:srgbClr val="4f81bd"/>
              </a:solidFill>
              <a:ln w="0">
                <a:noFill/>
              </a:ln>
            </xdr:spPr>
            <xdr:style>
              <a:lnRef idx="0"/>
              <a:fillRef idx="0"/>
              <a:effectRef idx="0"/>
              <a:fontRef idx="minor"/>
            </xdr:style>
          </xdr:sp>
          <xdr:sp>
            <xdr:nvSpPr>
              <xdr:cNvPr id="6" name="Rectangle 5"/>
              <xdr:cNvSpPr/>
            </xdr:nvSpPr>
            <xdr:spPr>
              <a:xfrm>
                <a:off x="16524000" y="10648800"/>
                <a:ext cx="3552120" cy="237960"/>
              </a:xfrm>
              <a:prstGeom prst="rect">
                <a:avLst/>
              </a:prstGeom>
              <a:solidFill>
                <a:srgbClr val="4f81bd"/>
              </a:solidFill>
              <a:ln w="0">
                <a:noFill/>
              </a:ln>
            </xdr:spPr>
            <xdr:style>
              <a:lnRef idx="0"/>
              <a:fillRef idx="0"/>
              <a:effectRef idx="0"/>
              <a:fontRef idx="minor"/>
            </xdr:style>
          </xdr:sp>
        </xdr:grpSp>
        <xdr:sp>
          <xdr:nvSpPr>
            <xdr:cNvPr id="7" name="Pentagon 8"/>
            <xdr:cNvSpPr/>
          </xdr:nvSpPr>
          <xdr:spPr>
            <a:xfrm flipH="1">
              <a:off x="19954800" y="10372680"/>
              <a:ext cx="523080" cy="828720"/>
            </a:xfrm>
            <a:custGeom>
              <a:avLst/>
              <a:gdLst>
                <a:gd name="textAreaLeft" fmla="*/ -360 w 523080"/>
                <a:gd name="textAreaRight" fmla="*/ 523080 w 523080"/>
                <a:gd name="textAreaTop" fmla="*/ 0 h 828720"/>
                <a:gd name="textAreaBottom" fmla="*/ 829080 h 828720"/>
              </a:gdLst>
              <a:ahLst/>
              <a:cxnLst/>
              <a:rect l="textAreaLeft" t="textAreaTop" r="textAreaRight" b="textAreaBottom"/>
              <a:pathLst>
                <a:path w="21600" h="21600">
                  <a:moveTo>
                    <a:pt x="0" y="0"/>
                  </a:moveTo>
                  <a:lnTo>
                    <a:pt x="10800" y="0"/>
                  </a:lnTo>
                  <a:lnTo>
                    <a:pt x="21600" y="10800"/>
                  </a:lnTo>
                  <a:lnTo>
                    <a:pt x="10800" y="21600"/>
                  </a:lnTo>
                  <a:lnTo>
                    <a:pt x="0" y="21600"/>
                  </a:lnTo>
                  <a:close/>
                </a:path>
              </a:pathLst>
            </a:custGeom>
            <a:solidFill>
              <a:srgbClr val="4f81bd"/>
            </a:solidFill>
            <a:ln w="0">
              <a:noFill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8" name="Pentagon 9"/>
            <xdr:cNvSpPr/>
          </xdr:nvSpPr>
          <xdr:spPr>
            <a:xfrm flipH="1">
              <a:off x="18284400" y="10372680"/>
              <a:ext cx="523080" cy="828720"/>
            </a:xfrm>
            <a:custGeom>
              <a:avLst/>
              <a:gdLst>
                <a:gd name="textAreaLeft" fmla="*/ -360 w 523080"/>
                <a:gd name="textAreaRight" fmla="*/ 523080 w 523080"/>
                <a:gd name="textAreaTop" fmla="*/ 0 h 828720"/>
                <a:gd name="textAreaBottom" fmla="*/ 829080 h 828720"/>
              </a:gdLst>
              <a:ahLst/>
              <a:cxnLst/>
              <a:rect l="textAreaLeft" t="textAreaTop" r="textAreaRight" b="textAreaBottom"/>
              <a:pathLst>
                <a:path w="21600" h="21600">
                  <a:moveTo>
                    <a:pt x="0" y="0"/>
                  </a:moveTo>
                  <a:lnTo>
                    <a:pt x="10800" y="0"/>
                  </a:lnTo>
                  <a:lnTo>
                    <a:pt x="21600" y="10800"/>
                  </a:lnTo>
                  <a:lnTo>
                    <a:pt x="10800" y="21600"/>
                  </a:lnTo>
                  <a:lnTo>
                    <a:pt x="0" y="21600"/>
                  </a:lnTo>
                  <a:close/>
                </a:path>
              </a:pathLst>
            </a:custGeom>
            <a:solidFill>
              <a:srgbClr val="4f81bd"/>
            </a:solidFill>
            <a:ln w="0">
              <a:noFill/>
            </a:ln>
          </xdr:spPr>
          <xdr:style>
            <a:lnRef idx="0"/>
            <a:fillRef idx="0"/>
            <a:effectRef idx="0"/>
            <a:fontRef idx="minor"/>
          </xdr:style>
        </xdr:sp>
      </xdr:grpSp>
      <xdr:grpSp>
        <xdr:nvGrpSpPr>
          <xdr:cNvPr id="9" name="Group 14"/>
          <xdr:cNvGrpSpPr/>
        </xdr:nvGrpSpPr>
        <xdr:grpSpPr>
          <a:xfrm>
            <a:off x="18043200" y="11255760"/>
            <a:ext cx="2471760" cy="249120"/>
            <a:chOff x="18043200" y="11255760"/>
            <a:chExt cx="2471760" cy="249120"/>
          </a:xfrm>
        </xdr:grpSpPr>
        <xdr:sp>
          <xdr:nvSpPr>
            <xdr:cNvPr id="10" name="TextBox 11"/>
            <xdr:cNvSpPr/>
          </xdr:nvSpPr>
          <xdr:spPr>
            <a:xfrm>
              <a:off x="18043200" y="11255760"/>
              <a:ext cx="765720" cy="21852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/>
            <a:fillRef idx="0"/>
            <a:effectRef idx="0"/>
            <a:fontRef idx="minor"/>
          </xdr:style>
          <xdr:txBody>
            <a:bodyPr wrap="none" lIns="20160" rIns="20160" tIns="20160" bIns="20160" anchor="t">
              <a:spAutoFit/>
            </a:bodyPr>
            <a:p>
              <a:r>
                <a:rPr lang="en-US" sz="1400" b="1" u="none" strike="noStrike">
                  <a:solidFill>
                    <a:srgbClr val="000000"/>
                  </a:solidFill>
                  <a:effectLst/>
                  <a:uFillTx/>
                  <a:latin typeface="Calibri"/>
                </a:rPr>
                <a:t>2nd Stage</a:t>
              </a:r>
              <a:endParaRPr lang="en-US" sz="1400" b="0" u="none" strike="noStrike">
                <a:effectLst/>
                <a:uFillTx/>
                <a:latin typeface="Times New Roman"/>
              </a:endParaRPr>
            </a:p>
          </xdr:txBody>
        </xdr:sp>
        <xdr:sp>
          <xdr:nvSpPr>
            <xdr:cNvPr id="11" name="TextBox 12"/>
            <xdr:cNvSpPr/>
          </xdr:nvSpPr>
          <xdr:spPr>
            <a:xfrm>
              <a:off x="19809360" y="11286360"/>
              <a:ext cx="705600" cy="21852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/>
            <a:fillRef idx="0"/>
            <a:effectRef idx="0"/>
            <a:fontRef idx="minor"/>
          </xdr:style>
          <xdr:txBody>
            <a:bodyPr wrap="none" lIns="20160" rIns="20160" tIns="20160" bIns="20160" anchor="t">
              <a:spAutoFit/>
            </a:bodyPr>
            <a:p>
              <a:r>
                <a:rPr lang="en-US" sz="1400" b="1" u="none" strike="noStrike">
                  <a:solidFill>
                    <a:srgbClr val="000000"/>
                  </a:solidFill>
                  <a:effectLst/>
                  <a:uFillTx/>
                  <a:latin typeface="Calibri"/>
                </a:rPr>
                <a:t>1st Stage</a:t>
              </a:r>
              <a:endParaRPr lang="en-US" sz="1400" b="0" u="none" strike="noStrike">
                <a:effectLst/>
                <a:uFillTx/>
                <a:latin typeface="Times New Roman"/>
              </a:endParaRPr>
            </a:p>
          </xdr:txBody>
        </xdr:sp>
      </xdr:grpSp>
      <xdr:sp>
        <xdr:nvSpPr>
          <xdr:cNvPr id="12" name="TextBox 13"/>
          <xdr:cNvSpPr/>
        </xdr:nvSpPr>
        <xdr:spPr>
          <a:xfrm>
            <a:off x="16192080" y="9810720"/>
            <a:ext cx="3461400" cy="40968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wrap="none" lIns="20160" rIns="20160" tIns="20160" bIns="20160" anchor="t">
            <a:noAutofit/>
          </a:bodyPr>
          <a:p>
            <a:r>
              <a:rPr lang="en-US" sz="2000" b="1" u="none" strike="noStrike">
                <a:solidFill>
                  <a:srgbClr val="000000"/>
                </a:solidFill>
                <a:effectLst/>
                <a:uFillTx/>
                <a:latin typeface="Calibri"/>
              </a:rPr>
              <a:t>2 Stage Rocket Nomenclature</a:t>
            </a:r>
            <a:endParaRPr lang="en-US" sz="2000" b="0" u="none" strike="noStrike">
              <a:effectLst/>
              <a:uFillTx/>
              <a:latin typeface="Times New Roman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T3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1.56"/>
    <col collapsed="false" customWidth="true" hidden="false" outlineLevel="0" max="2" min="2" style="0" width="10.56"/>
    <col collapsed="false" customWidth="true" hidden="false" outlineLevel="0" max="4" min="4" style="0" width="18.99"/>
    <col collapsed="false" customWidth="true" hidden="false" outlineLevel="0" max="5" min="5" style="0" width="17.85"/>
    <col collapsed="false" customWidth="true" hidden="false" outlineLevel="0" max="6" min="6" style="0" width="12.85"/>
    <col collapsed="false" customWidth="true" hidden="false" outlineLevel="0" max="8" min="8" style="0" width="9.85"/>
    <col collapsed="false" customWidth="true" hidden="false" outlineLevel="0" max="10" min="9" style="0" width="17.14"/>
    <col collapsed="false" customWidth="true" hidden="false" outlineLevel="0" max="11" min="11" style="0" width="12.14"/>
    <col collapsed="false" customWidth="true" hidden="false" outlineLevel="0" max="12" min="12" style="0" width="9.99"/>
    <col collapsed="false" customWidth="true" hidden="false" outlineLevel="0" max="14" min="14" style="0" width="10.99"/>
    <col collapsed="false" customWidth="true" hidden="false" outlineLevel="0" max="16" min="15" style="0" width="12.7"/>
    <col collapsed="false" customWidth="true" hidden="false" outlineLevel="0" max="17" min="17" style="0" width="11.99"/>
    <col collapsed="false" customWidth="true" hidden="false" outlineLevel="0" max="18" min="18" style="0" width="11.85"/>
    <col collapsed="false" customWidth="true" hidden="false" outlineLevel="0" max="19" min="19" style="0" width="13.14"/>
    <col collapsed="false" customWidth="true" hidden="false" outlineLevel="0" max="20" min="20" style="0" width="12.56"/>
    <col collapsed="false" customWidth="true" hidden="false" outlineLevel="0" max="21" min="21" style="0" width="14.56"/>
    <col collapsed="false" customWidth="true" hidden="false" outlineLevel="0" max="22" min="22" style="0" width="10.99"/>
    <col collapsed="false" customWidth="true" hidden="false" outlineLevel="0" max="23" min="23" style="0" width="14.99"/>
    <col collapsed="false" customWidth="true" hidden="false" outlineLevel="0" max="24" min="24" style="0" width="10.71"/>
    <col collapsed="false" customWidth="true" hidden="false" outlineLevel="0" max="25" min="25" style="0" width="14.85"/>
    <col collapsed="false" customWidth="true" hidden="false" outlineLevel="0" max="26" min="26" style="0" width="14.7"/>
    <col collapsed="false" customWidth="true" hidden="false" outlineLevel="0" max="27" min="27" style="0" width="10.71"/>
    <col collapsed="false" customWidth="true" hidden="false" outlineLevel="0" max="29" min="29" style="0" width="12.14"/>
    <col collapsed="false" customWidth="true" hidden="false" outlineLevel="0" max="30" min="30" style="0" width="11.7"/>
    <col collapsed="false" customWidth="true" hidden="false" outlineLevel="0" max="32" min="32" style="0" width="12.28"/>
    <col collapsed="false" customWidth="true" hidden="false" outlineLevel="0" max="33" min="33" style="0" width="11.56"/>
    <col collapsed="false" customWidth="true" hidden="false" outlineLevel="0" max="34" min="34" style="0" width="12.42"/>
    <col collapsed="false" customWidth="true" hidden="false" outlineLevel="0" max="41" min="41" style="0" width="12.99"/>
    <col collapsed="false" customWidth="true" hidden="false" outlineLevel="0" max="42" min="42" style="0" width="11.42"/>
    <col collapsed="false" customWidth="true" hidden="false" outlineLevel="0" max="43" min="43" style="0" width="16.99"/>
    <col collapsed="false" customWidth="true" hidden="false" outlineLevel="0" max="45" min="44" style="0" width="11.99"/>
    <col collapsed="false" customWidth="true" hidden="false" outlineLevel="0" max="46" min="46" style="0" width="11.28"/>
  </cols>
  <sheetData>
    <row r="3" customFormat="false" ht="12.75" hidden="false" customHeight="false" outlineLevel="0" collapsed="false">
      <c r="A3" s="1" t="s">
        <v>0</v>
      </c>
    </row>
    <row r="4" customFormat="false" ht="78" hidden="false" customHeight="true" outlineLevel="0" collapsed="false">
      <c r="D4" s="2"/>
      <c r="I4" s="3" t="s">
        <v>1</v>
      </c>
    </row>
    <row r="5" customFormat="false" ht="45.75" hidden="false" customHeight="true" outlineLevel="0" collapsed="false">
      <c r="A5" s="4" t="s">
        <v>2</v>
      </c>
      <c r="B5" s="5"/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I5" s="6" t="s">
        <v>9</v>
      </c>
      <c r="J5" s="6" t="s">
        <v>10</v>
      </c>
      <c r="K5" s="6" t="s">
        <v>11</v>
      </c>
      <c r="L5" s="7" t="s">
        <v>12</v>
      </c>
      <c r="M5" s="7" t="s">
        <v>13</v>
      </c>
      <c r="N5" s="7" t="s">
        <v>14</v>
      </c>
      <c r="O5" s="8"/>
      <c r="P5" s="7" t="s">
        <v>15</v>
      </c>
      <c r="Q5" s="7" t="s">
        <v>16</v>
      </c>
      <c r="R5" s="7" t="s">
        <v>17</v>
      </c>
      <c r="S5" s="7" t="s">
        <v>18</v>
      </c>
    </row>
    <row r="6" customFormat="false" ht="12.75" hidden="false" customHeight="false" outlineLevel="0" collapsed="false">
      <c r="B6" s="9"/>
      <c r="C6" s="10" t="n">
        <v>0.05</v>
      </c>
      <c r="D6" s="0" t="n">
        <f aca="false">180*ATAN((I14-I15)/(H14-H15))/PI()</f>
        <v>-0</v>
      </c>
      <c r="E6" s="0" t="n">
        <f aca="false">PI()*MAX(I6:I16)^2</f>
        <v>13.3316625847736</v>
      </c>
      <c r="F6" s="0" t="n">
        <f aca="false">2*MAX(I6:I16)</f>
        <v>4.12</v>
      </c>
      <c r="G6" s="10" t="n">
        <v>0</v>
      </c>
      <c r="H6" s="10" t="n">
        <v>0</v>
      </c>
      <c r="I6" s="10" t="n">
        <v>0.05</v>
      </c>
      <c r="J6" s="11" t="b">
        <f aca="false">TRUE()</f>
        <v>1</v>
      </c>
      <c r="K6" s="0" t="n">
        <f aca="false">PI()*I6^2/2</f>
        <v>0.00392699081698724</v>
      </c>
      <c r="L6" s="0" t="n">
        <f aca="false">IF(AND(I6&gt;0,J6=TRUE()),0,9*PI()*I21^2*(SIN(I19))^4/(8*$E$6))</f>
        <v>0</v>
      </c>
      <c r="N6" s="0" t="n">
        <f aca="false">I21*(COS(I19)-1+((SIN(I19))^4-4*(COS(I19)*(SIN(I19))^4/5-COS(I19)*((SIN(I19))^2+2)/15+2/15))/(SIN(I19)^4))</f>
        <v>-0.0196501667422177</v>
      </c>
      <c r="O6" s="0" t="n">
        <f aca="false">L6*N6</f>
        <v>-0</v>
      </c>
      <c r="P6" s="0" t="n">
        <f aca="false">IF(AND(I6&gt;0,J6=TRUE()),-0.0054*0.85*(1+(C6^2+C6^4)/4)*(2*I6/F6),0)</f>
        <v>-0.000111477570919296</v>
      </c>
      <c r="Q6" s="12" t="n">
        <f aca="false">IF((B26=1),L17+AA26,L17+AQ26+AA29)</f>
        <v>18.7497537141506</v>
      </c>
      <c r="R6" s="13" t="n">
        <f aca="false">P6+IF(B26=1,O17+AA26*AC26,O17+AA26*AC26+AA29*AC29+AO26*AC26+AP26*Z26)</f>
        <v>1486.59437247668</v>
      </c>
      <c r="S6" s="14" t="n">
        <f aca="false">R6/Q6</f>
        <v>79.2860746407959</v>
      </c>
    </row>
    <row r="7" customFormat="false" ht="12.75" hidden="false" customHeight="false" outlineLevel="0" collapsed="false">
      <c r="G7" s="10" t="n">
        <v>1</v>
      </c>
      <c r="H7" s="10" t="n">
        <v>2.5</v>
      </c>
      <c r="I7" s="10" t="n">
        <v>0.487</v>
      </c>
      <c r="J7" s="15"/>
      <c r="K7" s="0" t="n">
        <f aca="false">PI()*I7^2</f>
        <v>0.745088388059238</v>
      </c>
      <c r="L7" s="0" t="n">
        <f aca="false">2*(K7-K6)/$E$6</f>
        <v>0.111188142143463</v>
      </c>
      <c r="M7" s="0" t="n">
        <f aca="false">K7*(H7-H6)*(K6/K7+I6/I7+1)/3</f>
        <v>0.687927633325947</v>
      </c>
      <c r="N7" s="0" t="n">
        <f aca="false">IF((K6=K7),0,(H7*K7-H6*K6-M7)/(K7-K6))</f>
        <v>1.58507086471769</v>
      </c>
      <c r="O7" s="0" t="n">
        <f aca="false">L7*N7</f>
        <v>0.176241084613693</v>
      </c>
    </row>
    <row r="8" customFormat="false" ht="12.75" hidden="false" customHeight="false" outlineLevel="0" collapsed="false">
      <c r="C8" s="0" t="s">
        <v>19</v>
      </c>
      <c r="G8" s="10" t="n">
        <v>2</v>
      </c>
      <c r="H8" s="10" t="n">
        <v>5</v>
      </c>
      <c r="I8" s="10" t="n">
        <v>0.907</v>
      </c>
      <c r="J8" s="15"/>
      <c r="K8" s="0" t="n">
        <f aca="false">PI()*I8^2</f>
        <v>2.58442805488299</v>
      </c>
      <c r="L8" s="0" t="n">
        <f aca="false">2*(K8-K7)/$E$6</f>
        <v>0.275935526439815</v>
      </c>
      <c r="M8" s="0" t="n">
        <f aca="false">K8*(H8-H7)*(K7/K8+I7/I8+1)/3</f>
        <v>3.93098849363893</v>
      </c>
      <c r="N8" s="0" t="n">
        <f aca="false">IF((K7=K8),0,(H8*K8-H7*K7-M8)/(K8-K7))</f>
        <v>3.87553802008608</v>
      </c>
      <c r="O8" s="0" t="n">
        <f aca="false">L8*N8</f>
        <v>1.06939862380997</v>
      </c>
    </row>
    <row r="9" customFormat="false" ht="12.75" hidden="false" customHeight="false" outlineLevel="0" collapsed="false">
      <c r="C9" s="0" t="n">
        <f aca="false">SQRT(1-C6^2)</f>
        <v>0.998749217771909</v>
      </c>
      <c r="G9" s="10" t="n">
        <v>3</v>
      </c>
      <c r="H9" s="10" t="n">
        <v>7.5</v>
      </c>
      <c r="I9" s="10" t="n">
        <v>1.261</v>
      </c>
      <c r="J9" s="15"/>
      <c r="K9" s="0" t="n">
        <f aca="false">PI()*I9^2</f>
        <v>4.99551245191885</v>
      </c>
      <c r="L9" s="0" t="n">
        <f aca="false">2*(K9-K8)/$E$6</f>
        <v>0.36170798378735</v>
      </c>
      <c r="M9" s="0" t="n">
        <f aca="false">K9*(H9-H8)*(K8/K9+I8/I9+1)/3</f>
        <v>9.31088737309512</v>
      </c>
      <c r="N9" s="0" t="n">
        <f aca="false">IF((K8=K9),0,(H9*K9-H8*K8-M9)/(K9-K8))</f>
        <v>6.31803505535055</v>
      </c>
      <c r="O9" s="0" t="n">
        <f aca="false">L9*N9</f>
        <v>2.28528372136865</v>
      </c>
    </row>
    <row r="10" customFormat="false" ht="71.25" hidden="false" customHeight="true" outlineLevel="0" collapsed="false">
      <c r="D10" s="16" t="s">
        <v>20</v>
      </c>
      <c r="E10" s="16" t="s">
        <v>21</v>
      </c>
      <c r="G10" s="10" t="n">
        <v>4</v>
      </c>
      <c r="H10" s="10" t="n">
        <v>10</v>
      </c>
      <c r="I10" s="10" t="n">
        <v>1.549</v>
      </c>
      <c r="J10" s="15"/>
      <c r="K10" s="0" t="n">
        <f aca="false">PI()*I10^2</f>
        <v>7.537940554616</v>
      </c>
      <c r="L10" s="0" t="n">
        <f aca="false">2*(K10-K9)/$E$6</f>
        <v>0.381412008671882</v>
      </c>
      <c r="M10" s="0" t="n">
        <f aca="false">K10*(H10-H9)*(K9/K10+I9/I10+1)/3</f>
        <v>15.5582428160605</v>
      </c>
      <c r="N10" s="0" t="n">
        <f aca="false">IF((K9=K10),0,(H10*K10-H9*K9-M10)/(K10-K9))</f>
        <v>8.79270462633452</v>
      </c>
      <c r="O10" s="0" t="n">
        <f aca="false">L10*N10</f>
        <v>3.3536431331888</v>
      </c>
    </row>
    <row r="11" customFormat="false" ht="12.75" hidden="false" customHeight="false" outlineLevel="0" collapsed="false">
      <c r="G11" s="10" t="n">
        <v>5</v>
      </c>
      <c r="H11" s="10" t="n">
        <v>12.5</v>
      </c>
      <c r="I11" s="10" t="n">
        <v>1.773</v>
      </c>
      <c r="J11" s="15"/>
      <c r="K11" s="0" t="n">
        <f aca="false">PI()*I11^2</f>
        <v>9.87568761274647</v>
      </c>
      <c r="L11" s="0" t="n">
        <f aca="false">2*(K11-K10)/$E$6</f>
        <v>0.350706004335941</v>
      </c>
      <c r="M11" s="0" t="n">
        <f aca="false">K11*(H11-H10)*(K10/K11+I10/I11+1)/3</f>
        <v>21.701354978792</v>
      </c>
      <c r="N11" s="0" t="n">
        <f aca="false">IF((K10=K11),0,(H11*K11-H10*K10-M11)/(K11-K10))</f>
        <v>11.2780955247843</v>
      </c>
      <c r="O11" s="0" t="n">
        <f aca="false">L11*N11</f>
        <v>3.95529581801615</v>
      </c>
    </row>
    <row r="12" customFormat="false" ht="127.5" hidden="false" customHeight="false" outlineLevel="0" collapsed="false">
      <c r="D12" s="16" t="s">
        <v>22</v>
      </c>
      <c r="E12" s="17" t="s">
        <v>23</v>
      </c>
      <c r="G12" s="10" t="n">
        <v>6</v>
      </c>
      <c r="H12" s="10" t="n">
        <v>15</v>
      </c>
      <c r="I12" s="10" t="n">
        <v>1.932</v>
      </c>
      <c r="J12" s="15"/>
      <c r="K12" s="0" t="n">
        <f aca="false">PI()*I12^2</f>
        <v>11.7263841370129</v>
      </c>
      <c r="L12" s="0" t="n">
        <f aca="false">2*(K12-K11)/$E$6</f>
        <v>0.277639268545575</v>
      </c>
      <c r="M12" s="0" t="n">
        <f aca="false">K12*(H12-H11)*(K11/K12+I11/I12+1)/3</f>
        <v>26.9694969355845</v>
      </c>
      <c r="N12" s="0" t="n">
        <f aca="false">IF((K11=K12),0,(H12*K12-H11*K11-M12)/(K12-K11))</f>
        <v>13.7678812415654</v>
      </c>
      <c r="O12" s="0" t="n">
        <f aca="false">L12*N12</f>
        <v>3.82250447733057</v>
      </c>
    </row>
    <row r="13" customFormat="false" ht="12.75" hidden="false" customHeight="false" outlineLevel="0" collapsed="false">
      <c r="G13" s="10" t="n">
        <v>7</v>
      </c>
      <c r="H13" s="10" t="n">
        <v>17.5</v>
      </c>
      <c r="I13" s="10" t="n">
        <v>2.028</v>
      </c>
      <c r="J13" s="15"/>
    </row>
    <row r="14" customFormat="false" ht="12.75" hidden="false" customHeight="false" outlineLevel="0" collapsed="false">
      <c r="G14" s="10" t="n">
        <v>8</v>
      </c>
      <c r="H14" s="10" t="n">
        <v>20</v>
      </c>
      <c r="I14" s="10" t="n">
        <v>2.06</v>
      </c>
      <c r="J14" s="15"/>
      <c r="K14" s="0" t="n">
        <f aca="false">PI()*I14^2</f>
        <v>13.3316625847736</v>
      </c>
      <c r="L14" s="0" t="n">
        <f aca="false">2*(K14-K12)/$E$6</f>
        <v>0.240821943632765</v>
      </c>
      <c r="M14" s="0" t="n">
        <f aca="false">K14*(H14-H12)*(K12/K14+I12/I14+1)/3</f>
        <v>62.6022235927695</v>
      </c>
      <c r="N14" s="0" t="n">
        <f aca="false">IF((K12=K14),0,(H14*K14-H12*K12-M14)/(K14-K12))</f>
        <v>17.5267201068804</v>
      </c>
      <c r="O14" s="0" t="n">
        <f aca="false">L14*N14</f>
        <v>4.22081880164641</v>
      </c>
    </row>
    <row r="15" customFormat="false" ht="12.75" hidden="false" customHeight="false" outlineLevel="0" collapsed="false">
      <c r="G15" s="10" t="n">
        <v>9</v>
      </c>
      <c r="H15" s="10" t="n">
        <v>86</v>
      </c>
      <c r="I15" s="10" t="n">
        <v>2.06</v>
      </c>
      <c r="J15" s="15"/>
      <c r="K15" s="0" t="n">
        <f aca="false">PI()*I15^2</f>
        <v>13.3316625847736</v>
      </c>
      <c r="L15" s="0" t="n">
        <f aca="false">2*(K15-K14)/$E$6</f>
        <v>0</v>
      </c>
      <c r="M15" s="0" t="n">
        <f aca="false">K15*(H15-H14)*(K14/K15+I14/I15+1)/3</f>
        <v>879.889730595061</v>
      </c>
      <c r="N15" s="0" t="n">
        <f aca="false">IF((K14=K15),0,(H15*K15-H14*K14-M15)/(K15-K14))</f>
        <v>0</v>
      </c>
      <c r="O15" s="0" t="n">
        <f aca="false">L15*N15</f>
        <v>0</v>
      </c>
    </row>
    <row r="16" customFormat="false" ht="12.75" hidden="false" customHeight="false" outlineLevel="0" collapsed="false">
      <c r="G16" s="10" t="n">
        <v>10</v>
      </c>
      <c r="H16" s="18" t="n">
        <f aca="false">D26+G26</f>
        <v>93.16</v>
      </c>
      <c r="I16" s="10" t="n">
        <v>2.06</v>
      </c>
      <c r="J16" s="15"/>
      <c r="K16" s="0" t="n">
        <f aca="false">PI()*I16^2</f>
        <v>13.3316625847736</v>
      </c>
      <c r="L16" s="0" t="n">
        <v>0</v>
      </c>
      <c r="M16" s="0" t="n">
        <f aca="false">K16*(H16-H15)*(K15/K16+I15/I16+1)/3</f>
        <v>95.4547041069793</v>
      </c>
      <c r="N16" s="0" t="n">
        <f aca="false">IF((K15=K16),0,(H16*K16-H15*K15-M16)/(K16-K15))</f>
        <v>0</v>
      </c>
      <c r="O16" s="0" t="n">
        <f aca="false">L16*N16</f>
        <v>0</v>
      </c>
    </row>
    <row r="17" customFormat="false" ht="12.75" hidden="false" customHeight="false" outlineLevel="0" collapsed="false">
      <c r="J17" s="15"/>
      <c r="L17" s="0" t="n">
        <f aca="false">SUM(L6:L16)</f>
        <v>1.99941087755679</v>
      </c>
      <c r="O17" s="0" t="n">
        <f aca="false">SUM(O6:O16)</f>
        <v>18.8831856599742</v>
      </c>
    </row>
    <row r="18" customFormat="false" ht="12.75" hidden="false" customHeight="false" outlineLevel="0" collapsed="false">
      <c r="D18" s="19" t="s">
        <v>24</v>
      </c>
      <c r="I18" s="20" t="s">
        <v>25</v>
      </c>
      <c r="J18" s="15"/>
      <c r="S18" s="21"/>
      <c r="T18" s="21"/>
      <c r="U18" s="21"/>
    </row>
    <row r="19" customFormat="false" ht="12.75" hidden="false" customHeight="false" outlineLevel="0" collapsed="false">
      <c r="D19" s="0" t="s">
        <v>26</v>
      </c>
      <c r="E19" s="10"/>
      <c r="I19" s="0" t="n">
        <f aca="false">PI()/2-ATAN((I7-I6)/(H7-H6))</f>
        <v>1.39774472393474</v>
      </c>
    </row>
    <row r="20" customFormat="false" ht="12.75" hidden="false" customHeight="false" outlineLevel="0" collapsed="false">
      <c r="D20" s="0" t="s">
        <v>27</v>
      </c>
      <c r="E20" s="14"/>
      <c r="I20" s="20" t="s">
        <v>28</v>
      </c>
      <c r="J20" s="15"/>
    </row>
    <row r="21" customFormat="false" ht="12.75" hidden="false" customHeight="false" outlineLevel="0" collapsed="false">
      <c r="I21" s="0" t="n">
        <f aca="false">I6/SIN(I19)</f>
        <v>0.0507581284130926</v>
      </c>
    </row>
    <row r="22" customFormat="false" ht="12.75" hidden="false" customHeight="false" outlineLevel="0" collapsed="false">
      <c r="B22" s="22"/>
    </row>
    <row r="23" customFormat="false" ht="12.75" hidden="false" customHeight="false" outlineLevel="0" collapsed="false">
      <c r="B23" s="23"/>
    </row>
    <row r="25" customFormat="false" ht="64.5" hidden="false" customHeight="true" outlineLevel="0" collapsed="false">
      <c r="A25" s="24" t="s">
        <v>29</v>
      </c>
      <c r="B25" s="7" t="s">
        <v>30</v>
      </c>
      <c r="C25" s="6" t="s">
        <v>31</v>
      </c>
      <c r="D25" s="6" t="s">
        <v>32</v>
      </c>
      <c r="E25" s="6" t="s">
        <v>33</v>
      </c>
      <c r="F25" s="6" t="s">
        <v>34</v>
      </c>
      <c r="G25" s="6" t="s">
        <v>35</v>
      </c>
      <c r="H25" s="6" t="s">
        <v>36</v>
      </c>
      <c r="I25" s="6" t="s">
        <v>37</v>
      </c>
      <c r="J25" s="6"/>
      <c r="K25" s="6" t="s">
        <v>38</v>
      </c>
      <c r="L25" s="6" t="s">
        <v>39</v>
      </c>
      <c r="M25" s="6" t="s">
        <v>40</v>
      </c>
      <c r="N25" s="6" t="s">
        <v>41</v>
      </c>
      <c r="O25" s="6" t="s">
        <v>42</v>
      </c>
      <c r="P25" s="6"/>
      <c r="Q25" s="6" t="s">
        <v>43</v>
      </c>
      <c r="R25" s="6" t="s">
        <v>44</v>
      </c>
      <c r="S25" s="6" t="s">
        <v>45</v>
      </c>
      <c r="T25" s="6" t="s">
        <v>46</v>
      </c>
      <c r="U25" s="6" t="s">
        <v>47</v>
      </c>
      <c r="V25" s="6" t="s">
        <v>48</v>
      </c>
      <c r="W25" s="6" t="s">
        <v>49</v>
      </c>
      <c r="X25" s="6" t="s">
        <v>50</v>
      </c>
      <c r="Y25" s="6" t="s">
        <v>51</v>
      </c>
      <c r="Z25" s="6" t="s">
        <v>52</v>
      </c>
      <c r="AA25" s="6" t="s">
        <v>53</v>
      </c>
      <c r="AC25" s="6" t="s">
        <v>54</v>
      </c>
      <c r="AF25" s="6" t="s">
        <v>55</v>
      </c>
      <c r="AG25" s="6" t="s">
        <v>56</v>
      </c>
      <c r="AH25" s="6" t="s">
        <v>57</v>
      </c>
      <c r="AI25" s="6" t="s">
        <v>58</v>
      </c>
      <c r="AJ25" s="6" t="s">
        <v>59</v>
      </c>
      <c r="AK25" s="6" t="s">
        <v>60</v>
      </c>
      <c r="AL25" s="6" t="s">
        <v>61</v>
      </c>
      <c r="AM25" s="25" t="s">
        <v>62</v>
      </c>
      <c r="AN25" s="6" t="s">
        <v>63</v>
      </c>
      <c r="AO25" s="6" t="s">
        <v>64</v>
      </c>
      <c r="AP25" s="6" t="s">
        <v>65</v>
      </c>
      <c r="AQ25" s="26" t="s">
        <v>66</v>
      </c>
      <c r="AR25" s="6" t="s">
        <v>67</v>
      </c>
      <c r="AS25" s="6" t="s">
        <v>68</v>
      </c>
      <c r="AT25" s="6" t="s">
        <v>69</v>
      </c>
    </row>
    <row r="26" customFormat="false" ht="12.75" hidden="false" customHeight="false" outlineLevel="0" collapsed="false">
      <c r="B26" s="10" t="n">
        <v>1</v>
      </c>
      <c r="C26" s="10" t="n">
        <v>6</v>
      </c>
      <c r="D26" s="10" t="n">
        <v>90.16</v>
      </c>
      <c r="E26" s="10" t="n">
        <v>83.16</v>
      </c>
      <c r="F26" s="10" t="n">
        <v>10</v>
      </c>
      <c r="G26" s="10" t="n">
        <v>3</v>
      </c>
      <c r="H26" s="10" t="n">
        <v>4</v>
      </c>
      <c r="I26" s="0" t="n">
        <f aca="false">TAN(D6*PI()/180)</f>
        <v>-0</v>
      </c>
      <c r="K26" s="0" t="n">
        <f aca="false">I26*F26^2/2+(F26+G26)*(H26-F26*I26)/2</f>
        <v>26</v>
      </c>
      <c r="L26" s="0" t="n">
        <f aca="false">H26-3*F26*I26/4</f>
        <v>4</v>
      </c>
      <c r="M26" s="0" t="n">
        <f aca="false">2*L26^2/K26</f>
        <v>1.23076923076923</v>
      </c>
      <c r="N26" s="0" t="n">
        <f aca="false">ATAN((D26+G26/4-E26-F26/4)/H26)</f>
        <v>0.919719605350417</v>
      </c>
      <c r="O26" s="0" t="n">
        <f aca="false">M26*SQRT(1-(C6*COS(N26))^2)/COS(N26)</f>
        <v>2.02989491668438</v>
      </c>
      <c r="Q26" s="11" t="n">
        <v>2.06</v>
      </c>
      <c r="R26" s="27" t="n">
        <f aca="false">Q26+H26</f>
        <v>6.06</v>
      </c>
      <c r="S26" s="14" t="n">
        <f aca="false">2*PI()*O26*COS(N26)/(SQRT(1-(C6*COS(N26))^2)*(O26*SQRT(1+4/O26^2)+2))</f>
        <v>1.5945810585125</v>
      </c>
      <c r="T26" s="0" t="n">
        <f aca="false">2*(F26+G26-F26*G26/(F26+G26))/3</f>
        <v>7.12820512820513</v>
      </c>
      <c r="U26" s="0" t="n">
        <f aca="false">(C26/2)*(K26/E6)*S26</f>
        <v>9.32946823196899</v>
      </c>
      <c r="V26" s="14" t="n">
        <f aca="false">E26+T26/4+(F26+2*G26)*(D26-E26)/(3*(F26+G26))</f>
        <v>87.8138461538462</v>
      </c>
      <c r="W26" s="14" t="n">
        <f aca="false">2*((1+(Q26/R26)^4)*(ATAN((R26/Q26-Q26/R26)/2)/2+PI()/4)-((Q26/R26)^2)*((R26/Q26-Q26/R26)+2*ATAN(Q26/R26)))/(PI()*(1-Q26/R26)^2)</f>
        <v>1.29071403128326</v>
      </c>
      <c r="X26" s="0" t="n">
        <f aca="false">U26*W26</f>
        <v>12.0416755514138</v>
      </c>
      <c r="Y26" s="14" t="n">
        <f aca="false">(((1-(Q26/R26)^2)^2)-(2/PI())*((1+(Q26/R26)^4)*(ATAN((R26/Q26-Q26/R26)/2)/2+PI()/4)-((Q26/R26)^2)*(R26/Q26-Q26/R26+2*ATAN(Q26/R26))))/(1-Q26/R26)^2</f>
        <v>0.504709075383843</v>
      </c>
      <c r="Z26" s="14" t="n">
        <f aca="false">E26+F26/4+(R26-Q26)*TAN(N26)*((Q26/(Q26-R26))+(SQRT(R26*(R26-2*Q26))*ACOSH((R26-Q26)/Q26)-R26+Q26+PI()*Q26/2)/(((R26-Q26)*Q26/SQRT(R26*(R26-2*Q26)))*ACOSH((R26-Q26)/Q26)+(R26-Q26)^2/Q26-PI()*(R26-Q26)/2))</f>
        <v>87.1340931815728</v>
      </c>
      <c r="AA26" s="14" t="n">
        <f aca="false">X26+U26*Y26</f>
        <v>16.7503428365938</v>
      </c>
      <c r="AB26" s="0" t="n">
        <f aca="false">V26*X26+U26*Y26*Z26</f>
        <v>1467.71129829428</v>
      </c>
      <c r="AC26" s="14" t="n">
        <f aca="false">AB26/AA26</f>
        <v>87.622761671948</v>
      </c>
      <c r="AF26" s="0" t="n">
        <f aca="false">SQRT(AD29^2+Q26^2-Q29^2)</f>
        <v>6.56683771381053</v>
      </c>
      <c r="AG26" s="0" t="n">
        <f aca="false">Q26^2/AF26</f>
        <v>0.646216670022987</v>
      </c>
      <c r="AH26" s="0" t="n">
        <f aca="false">S29*W29*C29/(16*PI()*(AD29-Q29)*H26)</f>
        <v>0.0115821117815146</v>
      </c>
      <c r="AI26" s="0" t="n">
        <f aca="false">F26*R26-G26*Q26</f>
        <v>54.42</v>
      </c>
      <c r="AJ26" s="0" t="n">
        <f aca="false">F26-G26</f>
        <v>7</v>
      </c>
      <c r="AK26" s="0" t="e">
        <f aca="false">AI26*LN((R26-AF26)/(AF26-Q26))-AJ26*(H26+AF26*LN((R26-AF26)/(AF26-Q26)))</f>
        <v>#VALUE!</v>
      </c>
      <c r="AL26" s="0" t="n">
        <f aca="false">-(AI26+AF26*AJ26)*LN((R26+AF26)/(AF26+Q26))-AJ26*H26</f>
        <v>-66.2424071957061</v>
      </c>
      <c r="AM26" s="0" t="n">
        <f aca="false">-(AI26-AJ26*AG26)*LN((R26-AG26)/(Q26-AG26))-AJ26*H26</f>
        <v>-94.9949526458042</v>
      </c>
      <c r="AN26" s="0" t="n">
        <f aca="false">(AI26+AJ26*AG26)*LN((R26+AG26)/(Q26+AG26))-AJ26*H26</f>
        <v>25.4902606134137</v>
      </c>
      <c r="AO26" s="14" t="e">
        <f aca="false">IF(B26=1,AH26*(AK26+AL26+AM26+AN26),IF((H26+Q26)&gt;(H29+Q29),AH26*(AK26+AL26+AM26+AN26),-AF29*AA26))</f>
        <v>#VALUE!</v>
      </c>
      <c r="AP26" s="14" t="n">
        <f aca="false">-4*AE29*((AD29^2-Q29^2)/AD29-AF26+Q26^2/AF26)/E6</f>
        <v>-0.553406822589255</v>
      </c>
      <c r="AQ26" s="14" t="e">
        <f aca="false">AA26+AO26+AP26</f>
        <v>#VALUE!</v>
      </c>
      <c r="AR26" s="14" t="n">
        <f aca="false">(PI()^2*(R26/Q26+1)^2/(4*(R26/Q26)^2)+PI()*((R26/Q26)^2+1)^2/((R26/Q26)^2*(R26/Q26-1)^2)*ASIN(((R26/Q26)^2-1)/((R26/Q26)^2+1))-2*PI()*(R26/Q26+1)/((R26/Q26)*(R26/Q26-1))+((R26/Q26)^2+1)^2/((R26/Q26)^2*(R26/Q26-1)^2)*(ASIN(((R26/Q26)^2-1)/((R26/Q26)^2+1)))^2-(4*(R26/Q26+1)/((R26/Q26)*(R26/Q26-1)))*ASIN(((R26/Q26)^2-1)/((R26/Q26)^2+1))+(8/(R26/Q26-1)^2)*LN(((R26/Q26)^2+1)/(2*R26/Q26)))/PI()^2</f>
        <v>0.934826283664972</v>
      </c>
      <c r="AS26" s="14" t="n">
        <f aca="false">W26-AR26</f>
        <v>0.355887747618287</v>
      </c>
      <c r="AT26" s="14" t="n">
        <f aca="false">(AR26+AS26)*S26*(K26/E6)</f>
        <v>4.01389185047126</v>
      </c>
    </row>
    <row r="28" customFormat="false" ht="66" hidden="false" customHeight="true" outlineLevel="0" collapsed="false">
      <c r="A28" s="28" t="s">
        <v>70</v>
      </c>
      <c r="B28" s="29"/>
      <c r="C28" s="6" t="s">
        <v>31</v>
      </c>
      <c r="D28" s="6" t="s">
        <v>32</v>
      </c>
      <c r="E28" s="6" t="s">
        <v>33</v>
      </c>
      <c r="F28" s="6" t="s">
        <v>34</v>
      </c>
      <c r="G28" s="6" t="s">
        <v>35</v>
      </c>
      <c r="H28" s="6" t="s">
        <v>36</v>
      </c>
      <c r="I28" s="6" t="s">
        <v>37</v>
      </c>
      <c r="J28" s="6"/>
      <c r="K28" s="6" t="s">
        <v>38</v>
      </c>
      <c r="L28" s="6" t="s">
        <v>39</v>
      </c>
      <c r="M28" s="6" t="s">
        <v>40</v>
      </c>
      <c r="N28" s="6" t="s">
        <v>41</v>
      </c>
      <c r="O28" s="6" t="s">
        <v>42</v>
      </c>
      <c r="P28" s="6"/>
      <c r="Q28" s="6" t="s">
        <v>43</v>
      </c>
      <c r="R28" s="6" t="s">
        <v>44</v>
      </c>
      <c r="S28" s="6" t="s">
        <v>71</v>
      </c>
      <c r="T28" s="6" t="s">
        <v>46</v>
      </c>
      <c r="U28" s="6" t="s">
        <v>72</v>
      </c>
      <c r="V28" s="6" t="s">
        <v>48</v>
      </c>
      <c r="W28" s="6" t="s">
        <v>73</v>
      </c>
      <c r="X28" s="6" t="s">
        <v>74</v>
      </c>
      <c r="Y28" s="6" t="s">
        <v>75</v>
      </c>
      <c r="Z28" s="6" t="s">
        <v>52</v>
      </c>
      <c r="AA28" s="6" t="s">
        <v>53</v>
      </c>
      <c r="AC28" s="6" t="s">
        <v>76</v>
      </c>
      <c r="AD28" s="6" t="s">
        <v>77</v>
      </c>
      <c r="AE28" s="6" t="s">
        <v>78</v>
      </c>
      <c r="AF28" s="7" t="s">
        <v>79</v>
      </c>
      <c r="AG28" s="30"/>
      <c r="AJ28" s="31"/>
      <c r="AR28" s="6" t="s">
        <v>80</v>
      </c>
      <c r="AS28" s="6" t="s">
        <v>68</v>
      </c>
      <c r="AT28" s="6" t="s">
        <v>69</v>
      </c>
    </row>
    <row r="29" customFormat="false" ht="12.75" hidden="false" customHeight="false" outlineLevel="0" collapsed="false">
      <c r="C29" s="10" t="n">
        <v>4</v>
      </c>
      <c r="D29" s="10" t="n">
        <v>88</v>
      </c>
      <c r="E29" s="10" t="n">
        <v>80</v>
      </c>
      <c r="F29" s="10" t="n">
        <v>12</v>
      </c>
      <c r="G29" s="10" t="n">
        <v>4</v>
      </c>
      <c r="H29" s="10" t="n">
        <v>6</v>
      </c>
      <c r="I29" s="0" t="n">
        <f aca="false">(I10-I11)/(H11-H10)</f>
        <v>-0.0896</v>
      </c>
      <c r="K29" s="0" t="n">
        <f aca="false">I29*F29^2/2+(F29+G29)*(H29-F29*I29)/2</f>
        <v>50.1504</v>
      </c>
      <c r="L29" s="0" t="n">
        <f aca="false">H29-3*F29*I29/4</f>
        <v>6.8064</v>
      </c>
      <c r="M29" s="0" t="n">
        <f aca="false">2*L29^2/K29</f>
        <v>1.8475258805513</v>
      </c>
      <c r="N29" s="0" t="n">
        <f aca="false">ATAN((D29+G29/4-E29-F29/4)/H29)</f>
        <v>0.785398163397448</v>
      </c>
      <c r="O29" s="0" t="n">
        <f aca="false">M29*SQRT(1-(C6*COS(N29))^2)/COS(N29)</f>
        <v>2.61116264888181</v>
      </c>
      <c r="Q29" s="11" t="n">
        <v>2</v>
      </c>
      <c r="R29" s="0" t="n">
        <f aca="false">Q29+H29</f>
        <v>8</v>
      </c>
      <c r="S29" s="14" t="n">
        <f aca="false">2*PI()*O29*COS(N29)/(SQRT(1-(C6*COS(N29))^2)*(O29*SQRT(1+4/O29^2)+2))</f>
        <v>2.19476853912471</v>
      </c>
      <c r="T29" s="0" t="n">
        <f aca="false">2*(F29+G29-F29*G29/(F29+G29))/3</f>
        <v>8.66666666666667</v>
      </c>
      <c r="U29" s="0" t="n">
        <f aca="false">(C29/2)*(K29/E6)*S29</f>
        <v>16.5123471201906</v>
      </c>
      <c r="V29" s="14" t="n">
        <f aca="false">E29+T29/4+(F29+2*G29)*(D29-E29)/(3*(F29+G29))</f>
        <v>85.5</v>
      </c>
      <c r="W29" s="14" t="n">
        <f aca="false">2*((1+(Q29/R29)^4)*(ATAN((R29/Q29-Q29/R29)/2)/2+PI()/4)-((Q29/R29)^2)*((R29/Q29-Q29/R29)+2*ATAN(Q29/R29)))/(PI()*(1-Q29/R29)^2)</f>
        <v>1.20646441874879</v>
      </c>
      <c r="X29" s="0" t="n">
        <f aca="false">U29*W29</f>
        <v>19.921559270539</v>
      </c>
      <c r="Y29" s="14" t="n">
        <f aca="false">(((1-(Q29/R29)^2)^2)-(2/PI())*((1+(Q29/R29)^4)*(ATAN(((R29/Q29)-Q29/R29)/2)/2+PI()/4)-((Q29/R29)^2)*(R29/Q29-Q29/R29+2*ATAN(Q29/R29))))/(1-Q29/R29)^2</f>
        <v>0.356035581251211</v>
      </c>
      <c r="Z29" s="14" t="n">
        <f aca="false">E29+F29/4+(R29-Q29)*TAN(N29)*((Q29/(Q29-R29))+(SQRT(R29*(R29-2*Q29))*ACOSH((R29-Q29)/Q29)-R29+Q29+PI()*Q29/2)/(((R29-Q29)*Q29/SQRT(R29*(R29-2*Q29)))*ACOSH((R29-Q29)/Q29)+(R29-Q29)^2/Q29-PI()*(R29-Q29)/2))</f>
        <v>84.4657456097904</v>
      </c>
      <c r="AA29" s="14" t="n">
        <f aca="false">X29+U29*Y29</f>
        <v>25.8005423752978</v>
      </c>
      <c r="AB29" s="0" t="n">
        <f aca="false">V29*X29+U29*Y29*Z29</f>
        <v>2199.86600900189</v>
      </c>
      <c r="AC29" s="14" t="n">
        <f aca="false">AB29/AA29</f>
        <v>85.2643319276929</v>
      </c>
      <c r="AD29" s="0" t="n">
        <f aca="false">Q29+H29*(((PI()/4-PI()*(Q29/(Q29+H29))^2/4-(Q29/(H29+Q29)))+((1+(Q29/(H29+Q29))^2)^2/(2*(1-(Q29/(H29+Q29))^2)))*(ASIN((1-(Q29/(H29+Q29))^2)/(1+(Q29/(H29+Q29))^2))))/(2*(1-(Q29/(H29+Q29)))))</f>
        <v>6.54826370571041</v>
      </c>
      <c r="AE29" s="0" t="n">
        <f aca="false">W29*U29*K29/(2*(AD29-Q29))</f>
        <v>109.830281474982</v>
      </c>
      <c r="AF29" s="0" t="n">
        <f aca="false">2*S29/(M29*PI())</f>
        <v>0.756272516929596</v>
      </c>
      <c r="AR29" s="14" t="n">
        <f aca="false">(PI()^2*(R29/Q29+1)^2/(4*(R29/Q29)^2)+PI()*((R29/Q29)^2+1)^2/((R29/Q29)^2*(R29/Q29-1)^2)*ASIN(((R29/Q29)^2-1)/((R29/Q29)^2+1))-2*PI()*(R29/Q29+1)/((R29/Q29)*(R29/Q29-1))+((R29/Q29)^2+1)^2/((R29/Q29)^2*(R29/Q29-1)^2)*(ASIN(((R29/Q29)^2-1)/((R29/Q29)^2+1)))^2-(4*(R29/Q29+1)/((R29/Q29)*(R29/Q29-1)))*ASIN(((R29/Q29)^2-1)/((R29/Q29)^2+1))+(8/(R29/Q29-1)^2)*LN(((R29/Q29)^2+1)/(2*R29/Q29)))/PI()^2</f>
        <v>0.93875817784303</v>
      </c>
      <c r="AS29" s="14" t="n">
        <f aca="false">W29-AR29</f>
        <v>0.267706240905759</v>
      </c>
      <c r="AT29" s="14" t="n">
        <f aca="false">(AR29+AS29)*S29*K29/E6</f>
        <v>9.96077963526948</v>
      </c>
    </row>
    <row r="32" customFormat="false" ht="12.75" hidden="false" customHeight="false" outlineLevel="0" collapsed="false">
      <c r="S32" s="0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2008-11-01T18:14:49Z</dcterms:created>
  <dc:creator>Owner</dc:creator>
  <dc:description/>
  <dc:language>en-US</dc:language>
  <cp:lastModifiedBy>Charles</cp:lastModifiedBy>
  <dcterms:modified xsi:type="dcterms:W3CDTF">2016-04-24T18:00:29Z</dcterms:modified>
  <cp:revision>0</cp:revision>
  <dc:subject/>
  <dc:title/>
</cp:coreProperties>
</file>