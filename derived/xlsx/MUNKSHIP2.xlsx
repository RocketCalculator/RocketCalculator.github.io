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<sst xmlns="http://schemas.openxmlformats.org/spreadsheetml/2006/main" count="128" uniqueCount="27">
  <si>
    <t xml:space="preserve">Note that the sample case shown here is for an ogive-cylinder. If results</t>
  </si>
  <si>
    <t xml:space="preserve">for another ogive are desired, simply change radius profile in columns N &amp; O.</t>
  </si>
  <si>
    <t xml:space="preserve">Otherwise, just input each profile point pair one at a time.</t>
  </si>
  <si>
    <t xml:space="preserve">Total Fore Body Drag Coefficient</t>
  </si>
  <si>
    <t xml:space="preserve">Fore Body Base Drag Coefficient</t>
  </si>
  <si>
    <t xml:space="preserve">Max Body Diameter, in</t>
  </si>
  <si>
    <t xml:space="preserve">Cylindrcal Wake Diameter, in</t>
  </si>
  <si>
    <t xml:space="preserve">Base Body Station, in </t>
  </si>
  <si>
    <t xml:space="preserve">Fore Wake Convergence Angle, rad</t>
  </si>
  <si>
    <t xml:space="preserve">Step Size, in</t>
  </si>
  <si>
    <t xml:space="preserve">Ogive Radius, in</t>
  </si>
  <si>
    <t xml:space="preserve">Cylinder Radius, in</t>
  </si>
  <si>
    <t xml:space="preserve">Ogive Length, in</t>
  </si>
  <si>
    <t xml:space="preserve">Free Stream Mach number</t>
  </si>
  <si>
    <t xml:space="preserve">Body Station Index</t>
  </si>
  <si>
    <t xml:space="preserve">Body Station, in aft of Nose Tip</t>
  </si>
  <si>
    <t xml:space="preserve">Body Radius, in</t>
  </si>
  <si>
    <t xml:space="preserve">Incompressible Pressure Coefficient</t>
  </si>
  <si>
    <t xml:space="preserve">Compressible Pressure Coefficient</t>
  </si>
  <si>
    <t xml:space="preserve">Minimum Pressure Coefficent</t>
  </si>
  <si>
    <r>
      <rPr>
        <sz val="10"/>
        <rFont val="Arial"/>
        <family val="0"/>
      </rPr>
      <t xml:space="preserve">Step Drag Area, in</t>
    </r>
    <r>
      <rPr>
        <vertAlign val="superscript"/>
        <sz val="10"/>
        <rFont val="Arial"/>
        <family val="2"/>
      </rPr>
      <t xml:space="preserve">2</t>
    </r>
  </si>
  <si>
    <r>
      <rPr>
        <sz val="10"/>
        <rFont val="Arial"/>
        <family val="0"/>
      </rPr>
      <t xml:space="preserve">Total Forebody Drag Area, in</t>
    </r>
    <r>
      <rPr>
        <vertAlign val="superscript"/>
        <sz val="10"/>
        <rFont val="Arial"/>
        <family val="2"/>
      </rPr>
      <t xml:space="preserve">2</t>
    </r>
  </si>
  <si>
    <t xml:space="preserve">To generate the body radius profile in columns P &amp; </t>
  </si>
  <si>
    <t xml:space="preserve">Q, stop at the aftermost body station. MUNKSHIP</t>
  </si>
  <si>
    <t xml:space="preserve">will auto matically generate a non-thrusting wake </t>
  </si>
  <si>
    <t xml:space="preserve">profile behind the body.</t>
  </si>
  <si>
    <t xml:space="preserve">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</si>
</sst>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vertAlign val="superscript"/>
      <sz val="10"/>
      <name val="Arial"/>
      <family val="2"/>
    </font>
    <font>
      <b val="true"/>
      <sz val="14"/>
      <color rgb="FF000000"/>
      <name val="Arial"/>
      <family val="2"/>
    </font>
    <font>
      <b val="true"/>
      <sz val="12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CC00"/>
        <bgColor rgb="FFFFFF00"/>
      </patternFill>
    </fill>
    <fill>
      <patternFill patternType="solid">
        <fgColor rgb="FFCCFFFF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2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>
        <color rgb="FFC0C0C0"/>
      </right>
      <top style="thin"/>
      <bottom/>
      <diagonal/>
    </border>
    <border diagonalUp="false" diagonalDown="false">
      <left style="thin">
        <color rgb="FFC0C0C0"/>
      </left>
      <right style="thin">
        <color rgb="FFC0C0C0"/>
      </right>
      <top style="thin"/>
      <bottom style="thin">
        <color rgb="FFC0C0C0"/>
      </bottom>
      <diagonal/>
    </border>
    <border diagonalUp="false" diagonalDown="false">
      <left style="thin">
        <color rgb="FFC0C0C0"/>
      </left>
      <right style="thin"/>
      <top style="thin"/>
      <bottom style="thin">
        <color rgb="FFC0C0C0"/>
      </bottom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 style="thin">
        <color rgb="FFC0C0C0"/>
      </top>
      <bottom style="thin">
        <color rgb="FFC0C0C0"/>
      </bottom>
      <diagonal/>
    </border>
    <border diagonalUp="false" diagonalDown="false">
      <left/>
      <right style="thin"/>
      <top style="thin">
        <color rgb="FFC0C0C0"/>
      </top>
      <bottom style="thin">
        <color rgb="FFC0C0C0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>
        <color rgb="FFC0C0C0"/>
      </top>
      <bottom style="thin"/>
      <diagonal/>
    </border>
    <border diagonalUp="false" diagonalDown="false">
      <left/>
      <right style="thin"/>
      <top style="thin">
        <color rgb="FFC0C0C0"/>
      </top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>
        <color rgb="FFC0C0C0"/>
      </right>
      <top/>
      <bottom style="thin">
        <color rgb="FFC0C0C0"/>
      </bottom>
      <diagonal/>
    </border>
    <border diagonalUp="false" diagonalDown="false">
      <left/>
      <right/>
      <top style="thin"/>
      <bottom style="thin">
        <color rgb="FFC0C0C0"/>
      </bottom>
      <diagonal/>
    </border>
    <border diagonalUp="false" diagonalDown="false">
      <left style="thin">
        <color rgb="FFC0C0C0"/>
      </left>
      <right/>
      <top style="thin"/>
      <bottom style="thin">
        <color rgb="FFC0C0C0"/>
      </bottom>
      <diagonal/>
    </border>
    <border diagonalUp="false" diagonalDown="false"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1" u="none" strike="noStrike">
                <a:solidFill>
                  <a:srgbClr val="000000"/>
                </a:solidFill>
                <a:uFillTx/>
                <a:latin typeface="Arial"/>
              </a:rPr>
              <a:t>Body Profile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Sheet1!$Q$6</c:f>
              <c:strCache>
                <c:ptCount val="1"/>
                <c:pt idx="0">
                  <c:v>Body Radius, in</c:v>
                </c:pt>
              </c:strCache>
            </c:strRef>
          </c:tx>
          <c:spPr>
            <a:solidFill>
              <a:srgbClr val="000080"/>
            </a:solidFill>
            <a:ln w="25200">
              <a:solidFill>
                <a:srgbClr val="00008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Sheet1!$P$7:$P$46</c:f>
              <c:numCache>
                <c:formatCode>General</c:formatCode>
                <c:ptCount val="4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</c:numCache>
            </c:numRef>
          </c:xVal>
          <c:yVal>
            <c:numRef>
              <c:f>Sheet1!$Q$7:$Q$46</c:f>
              <c:numCache>
                <c:formatCode>General</c:formatCode>
                <c:ptCount val="40"/>
                <c:pt idx="31">
                  <c:v>3.125</c:v>
                </c:pt>
                <c:pt idx="32">
                  <c:v>3.125</c:v>
                </c:pt>
                <c:pt idx="33">
                  <c:v>3.125</c:v>
                </c:pt>
                <c:pt idx="34">
                  <c:v>3.125</c:v>
                </c:pt>
                <c:pt idx="35">
                  <c:v>3.125</c:v>
                </c:pt>
                <c:pt idx="36">
                  <c:v>3.125</c:v>
                </c:pt>
                <c:pt idx="37">
                  <c:v>3.125</c:v>
                </c:pt>
                <c:pt idx="38">
                  <c:v>3.125</c:v>
                </c:pt>
                <c:pt idx="39">
                  <c:v>3.125</c:v>
                </c:pt>
              </c:numCache>
            </c:numRef>
          </c:yVal>
          <c:smooth val="1"/>
        </c:ser>
        <c:axId val="69960285"/>
        <c:axId val="40610442"/>
      </c:scatterChart>
      <c:valAx>
        <c:axId val="69960285"/>
        <c:scaling>
          <c:orientation val="minMax"/>
          <c:max val="40"/>
        </c:scaling>
        <c:delete val="0"/>
        <c:axPos val="b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2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Body Station, in Aft of Nose Tip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2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200" b="1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40610442"/>
        <c:crossesAt val="0"/>
        <c:crossBetween val="midCat"/>
      </c:valAx>
      <c:valAx>
        <c:axId val="40610442"/>
        <c:scaling>
          <c:orientation val="minMax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2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Body Radius, 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2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200" b="1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69960285"/>
        <c:crossesAt val="0"/>
        <c:crossBetween val="midCat"/>
      </c:valAx>
      <c:spPr>
        <a:noFill/>
        <a:ln w="12600">
          <a:noFill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1" u="none" strike="noStrike">
                <a:solidFill>
                  <a:srgbClr val="000000"/>
                </a:solidFill>
                <a:uFillTx/>
                <a:latin typeface="Arial"/>
              </a:rPr>
              <a:t>Ogive-Cylinder                                                                   Incompressible Flow</a:t>
            </a:r>
          </a:p>
        </c:rich>
      </c:tx>
      <c:layout>
        <c:manualLayout>
          <c:xMode val="edge"/>
          <c:yMode val="edge"/>
          <c:x val="0.339674222576603"/>
          <c:y val="0.0261725293132328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0751794053992482"/>
          <c:y val="0.131595477386935"/>
          <c:w val="0.90898735619091"/>
          <c:h val="0.760573701842546"/>
        </c:manualLayout>
      </c:layout>
      <c:scatterChart>
        <c:scatterStyle val="line"/>
        <c:varyColors val="0"/>
        <c:ser>
          <c:idx val="0"/>
          <c:order val="0"/>
          <c:spPr>
            <a:solidFill>
              <a:srgbClr val="000080"/>
            </a:solidFill>
            <a:ln w="25200">
              <a:solidFill>
                <a:srgbClr val="00008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52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Sheet1!$R$7:$R$115</c:f>
              <c:numCache>
                <c:formatCode>General</c:formatCode>
                <c:ptCount val="10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</c:numCache>
            </c:numRef>
          </c:xVal>
          <c:yVal>
            <c:numRef>
              <c:f>Sheet1!$S$7:$S$115</c:f>
              <c:numCache>
                <c:formatCode>General</c:formatCode>
                <c:ptCount val="109"/>
                <c:pt idx="0">
                  <c:v>1</c:v>
                </c:pt>
              </c:numCache>
            </c:numRef>
          </c:yVal>
          <c:smooth val="1"/>
        </c:ser>
        <c:axId val="96580355"/>
        <c:axId val="13133492"/>
      </c:scatterChart>
      <c:valAx>
        <c:axId val="96580355"/>
        <c:scaling>
          <c:orientation val="minMax"/>
        </c:scaling>
        <c:delete val="0"/>
        <c:axPos val="b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2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Body Station, inches Aft of Nose Tip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2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200" b="1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13133492"/>
        <c:crossesAt val="0"/>
        <c:crossBetween val="midCat"/>
      </c:valAx>
      <c:valAx>
        <c:axId val="13133492"/>
        <c:scaling>
          <c:orientation val="minMax"/>
          <c:max val="0.2"/>
          <c:min val="-0.5"/>
        </c:scaling>
        <c:delete val="0"/>
        <c:axPos val="l"/>
        <c:majorGridlines>
          <c:spPr>
            <a:ln w="0">
              <a:solidFill>
                <a:srgbClr val="000000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200" b="1" u="none" strike="noStrike">
                    <a:solidFill>
                      <a:srgbClr val="000000"/>
                    </a:solidFill>
                    <a:uFillTx/>
                    <a:latin typeface="Arial"/>
                  </a:rPr>
                  <a:t>Pressure Coefficient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25200">
            <a:solidFill>
              <a:srgbClr val="000000"/>
            </a:solidFill>
            <a:round/>
          </a:ln>
        </c:spPr>
        <c:txPr>
          <a:bodyPr/>
          <a:lstStyle/>
          <a:p>
            <a:pPr>
              <a:defRPr sz="1200" b="1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96580355"/>
        <c:crossesAt val="0"/>
        <c:crossBetween val="midCat"/>
      </c:valAx>
      <c:spPr>
        <a:noFill/>
        <a:ln w="12600">
          <a:noFill/>
        </a:ln>
      </c:spPr>
    </c:plotArea>
    <c:plotVisOnly val="1"/>
    <c:dispBlanksAs val="gap"/>
  </c:chart>
  <c:spPr>
    <a:solidFill>
      <a:srgbClr val="ffffff"/>
    </a:solidFill>
    <a:ln w="0">
      <a:solidFill>
        <a:srgbClr val="000000"/>
      </a:solidFill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623520</xdr:colOff>
      <xdr:row>33</xdr:row>
      <xdr:rowOff>0</xdr:rowOff>
    </xdr:from>
    <xdr:to>
      <xdr:col>12</xdr:col>
      <xdr:colOff>684360</xdr:colOff>
      <xdr:row>53</xdr:row>
      <xdr:rowOff>162000</xdr:rowOff>
    </xdr:to>
    <xdr:graphicFrame>
      <xdr:nvGraphicFramePr>
        <xdr:cNvPr id="1" name="Chart 3"/>
        <xdr:cNvGraphicFramePr/>
      </xdr:nvGraphicFramePr>
      <xdr:xfrm>
        <a:off x="2538000" y="5657760"/>
        <a:ext cx="6360840" cy="3400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674280</xdr:colOff>
      <xdr:row>10</xdr:row>
      <xdr:rowOff>0</xdr:rowOff>
    </xdr:from>
    <xdr:to>
      <xdr:col>13</xdr:col>
      <xdr:colOff>720</xdr:colOff>
      <xdr:row>31</xdr:row>
      <xdr:rowOff>37800</xdr:rowOff>
    </xdr:to>
    <xdr:graphicFrame>
      <xdr:nvGraphicFramePr>
        <xdr:cNvPr id="2" name="Chart 9"/>
        <xdr:cNvGraphicFramePr/>
      </xdr:nvGraphicFramePr>
      <xdr:xfrm>
        <a:off x="2588760" y="1933560"/>
        <a:ext cx="6320520" cy="3438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W197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4" min="4" style="0" width="10.85"/>
    <col collapsed="false" customWidth="true" hidden="false" outlineLevel="0" max="5" min="5" style="0" width="10.41"/>
    <col collapsed="false" customWidth="true" hidden="false" outlineLevel="0" max="9" min="9" style="0" width="11.42"/>
    <col collapsed="false" customWidth="true" hidden="false" outlineLevel="0" max="13" min="10" style="0" width="9.85"/>
    <col collapsed="false" customWidth="true" hidden="false" outlineLevel="0" max="14" min="14" style="0" width="12.42"/>
    <col collapsed="false" customWidth="true" hidden="false" outlineLevel="0" max="15" min="15" style="0" width="11.56"/>
    <col collapsed="false" customWidth="true" hidden="false" outlineLevel="0" max="16" min="16" style="0" width="14.56"/>
    <col collapsed="false" customWidth="true" hidden="false" outlineLevel="0" max="18" min="18" style="0" width="14.41"/>
    <col collapsed="false" customWidth="true" hidden="false" outlineLevel="0" max="20" min="19" style="0" width="13.56"/>
    <col collapsed="false" customWidth="true" hidden="false" outlineLevel="0" max="21" min="21" style="0" width="11.7"/>
    <col collapsed="false" customWidth="true" hidden="false" outlineLevel="0" max="23" min="23" style="0" width="13.41"/>
  </cols>
  <sheetData>
    <row r="2" customFormat="false" ht="12.75" hidden="false" customHeight="false" outlineLevel="0" collapsed="false">
      <c r="E2" s="1" t="s">
        <v>0</v>
      </c>
      <c r="F2" s="2"/>
      <c r="G2" s="3"/>
      <c r="H2" s="3"/>
      <c r="I2" s="3"/>
      <c r="J2" s="3"/>
      <c r="K2" s="4"/>
    </row>
    <row r="3" customFormat="false" ht="12.75" hidden="false" customHeight="false" outlineLevel="0" collapsed="false">
      <c r="E3" s="5" t="s">
        <v>1</v>
      </c>
      <c r="F3" s="6"/>
      <c r="G3" s="7"/>
      <c r="H3" s="7"/>
      <c r="I3" s="7"/>
      <c r="J3" s="7"/>
      <c r="K3" s="8"/>
    </row>
    <row r="4" customFormat="false" ht="12.75" hidden="false" customHeight="false" outlineLevel="0" collapsed="false">
      <c r="E4" s="9" t="s">
        <v>2</v>
      </c>
      <c r="F4" s="10"/>
      <c r="G4" s="9"/>
      <c r="H4" s="11"/>
      <c r="I4" s="12"/>
      <c r="J4" s="11"/>
      <c r="K4" s="13"/>
    </row>
    <row r="6" customFormat="false" ht="37.5" hidden="false" customHeight="true" outlineLevel="0" collapsed="false">
      <c r="D6" s="14" t="s">
        <v>3</v>
      </c>
      <c r="E6" s="15" t="s">
        <v>4</v>
      </c>
      <c r="F6" s="15" t="s">
        <v>5</v>
      </c>
      <c r="G6" s="15" t="s">
        <v>6</v>
      </c>
      <c r="H6" s="14" t="s">
        <v>7</v>
      </c>
      <c r="I6" s="15" t="s">
        <v>8</v>
      </c>
      <c r="J6" s="15" t="s">
        <v>9</v>
      </c>
      <c r="K6" s="15" t="s">
        <v>10</v>
      </c>
      <c r="L6" s="15" t="s">
        <v>11</v>
      </c>
      <c r="M6" s="15" t="s">
        <v>12</v>
      </c>
      <c r="N6" s="15" t="s">
        <v>13</v>
      </c>
      <c r="O6" s="15" t="s">
        <v>14</v>
      </c>
      <c r="P6" s="15" t="s">
        <v>15</v>
      </c>
      <c r="Q6" s="15" t="s">
        <v>16</v>
      </c>
      <c r="R6" s="15" t="str">
        <f aca="false">P6</f>
        <v>Body Station, in aft of Nose Tip</v>
      </c>
      <c r="S6" s="15" t="s">
        <v>17</v>
      </c>
      <c r="T6" s="15" t="s">
        <v>18</v>
      </c>
      <c r="U6" s="15" t="s">
        <v>19</v>
      </c>
      <c r="V6" s="15" t="s">
        <v>20</v>
      </c>
      <c r="W6" s="15" t="s">
        <v>21</v>
      </c>
    </row>
    <row r="7" customFormat="false" ht="12.75" hidden="false" customHeight="false" outlineLevel="0" collapsed="false">
      <c r="D7" s="16" t="n">
        <v>0.3755</v>
      </c>
      <c r="E7" s="16" t="n">
        <v>0.0813</v>
      </c>
      <c r="F7" s="17" t="n">
        <f aca="false">2*Q115</f>
        <v>6.25</v>
      </c>
      <c r="G7" s="18" t="n">
        <f aca="false">F7*SQRT(D7/(2*(1-SQRT(E7))))</f>
        <v>3.20299989615657</v>
      </c>
      <c r="H7" s="19" t="n">
        <f aca="false">P115</f>
        <v>108</v>
      </c>
      <c r="I7" s="16" t="n">
        <v>0.2</v>
      </c>
      <c r="J7" s="16" t="n">
        <v>1</v>
      </c>
      <c r="K7" s="20" t="n">
        <v>3</v>
      </c>
      <c r="L7" s="20" t="n">
        <v>3.125</v>
      </c>
      <c r="M7" s="20" t="n">
        <v>30</v>
      </c>
      <c r="N7" s="20" t="n">
        <v>0</v>
      </c>
      <c r="O7" s="0" t="n">
        <v>1</v>
      </c>
      <c r="P7" s="21" t="n">
        <v>0</v>
      </c>
      <c r="Q7" s="21" t="e">
        <f aca="false">IF(P7&lt;$M$7+$J$7,rB($M$7,$K$7,P7),$L$7)</f>
        <v>#VALUE!</v>
      </c>
      <c r="R7" s="0" t="n">
        <f aca="false">P7</f>
        <v>0</v>
      </c>
      <c r="S7" s="0" t="n">
        <v>1</v>
      </c>
      <c r="T7" s="0" t="e">
        <f aca="false">((1+0.2*N7^2)^(1.4/0.4)-1)/(0.7*N7^2)</f>
        <v>#DIV/0!</v>
      </c>
      <c r="U7" s="0" t="e">
        <f aca="false">MIN(T8:T115)</f>
        <v>#VALUE!</v>
      </c>
      <c r="V7" s="0" t="e">
        <f aca="false">PI()*T8*Q8^2</f>
        <v>#VALUE!</v>
      </c>
      <c r="W7" s="22" t="e">
        <f aca="false">SUM(V7:V21)</f>
        <v>#VALUE!</v>
      </c>
    </row>
    <row r="8" customFormat="false" ht="12.75" hidden="false" customHeight="false" outlineLevel="0" collapsed="false">
      <c r="O8" s="0" t="n">
        <f aca="false">O7+1</f>
        <v>2</v>
      </c>
      <c r="P8" s="21" t="n">
        <f aca="false">P7+$J$7</f>
        <v>1</v>
      </c>
      <c r="Q8" s="21" t="e">
        <f aca="false">IF(P8&lt;$M$7+$J$7,rB($M$7,$K$7,P8),$L$7)</f>
        <v>#VALUE!</v>
      </c>
      <c r="R8" s="0" t="n">
        <f aca="false">P8</f>
        <v>1</v>
      </c>
      <c r="S8" s="0" t="e">
        <f aca="false">Cp($P$7:$Q$146,2,$J$7,P8)</f>
        <v>#VALUE!</v>
      </c>
      <c r="T8" s="0" t="e">
        <f aca="false">S8/(SQRT(1-$N$7^2)+(S8/2)*(1-SQRT(1-$N$7^2)))</f>
        <v>#VALUE!</v>
      </c>
      <c r="V8" s="0" t="e">
        <f aca="false">$J$7*(Q8*(Q9-Q7)*T8/(P9-P7))</f>
        <v>#VALUE!</v>
      </c>
      <c r="W8" s="23"/>
    </row>
    <row r="9" customFormat="false" ht="12.75" hidden="false" customHeight="false" outlineLevel="0" collapsed="false">
      <c r="O9" s="0" t="n">
        <f aca="false">O8+1</f>
        <v>3</v>
      </c>
      <c r="P9" s="21" t="n">
        <f aca="false">P8+$J$7</f>
        <v>2</v>
      </c>
      <c r="Q9" s="21" t="e">
        <f aca="false">IF(P9&lt;$M$7+$J$7,rB($M$7,$K$7,P9),$L$7)</f>
        <v>#VALUE!</v>
      </c>
      <c r="R9" s="0" t="n">
        <f aca="false">P9</f>
        <v>2</v>
      </c>
      <c r="S9" s="0" t="e">
        <f aca="false">Cp($P$7:$Q$146,2,$J$7,P9)</f>
        <v>#VALUE!</v>
      </c>
      <c r="T9" s="0" t="e">
        <f aca="false">S9/(SQRT(1-$N$7^2)+(S9/2)*(1-SQRT(1-$N$7^2)))</f>
        <v>#VALUE!</v>
      </c>
      <c r="V9" s="0" t="e">
        <f aca="false">$J$7*(Q9*(Q10-Q8)*T9/(P10-P8))</f>
        <v>#VALUE!</v>
      </c>
    </row>
    <row r="10" customFormat="false" ht="12.75" hidden="false" customHeight="false" outlineLevel="0" collapsed="false">
      <c r="O10" s="0" t="n">
        <f aca="false">O9+1</f>
        <v>4</v>
      </c>
      <c r="P10" s="21" t="n">
        <f aca="false">P9+$J$7</f>
        <v>3</v>
      </c>
      <c r="Q10" s="21" t="e">
        <f aca="false">IF(P10&lt;$M$7+$J$7,rB($M$7,$K$7,P10),$L$7)</f>
        <v>#VALUE!</v>
      </c>
      <c r="R10" s="0" t="n">
        <f aca="false">P10</f>
        <v>3</v>
      </c>
      <c r="S10" s="0" t="e">
        <f aca="false">Cp($P$7:$Q$146,2,$J$7,P10)</f>
        <v>#VALUE!</v>
      </c>
      <c r="T10" s="0" t="e">
        <f aca="false">S10/(SQRT(1-$N$7^2)+(S10/2)*(1-SQRT(1-$N$7^2)))</f>
        <v>#VALUE!</v>
      </c>
      <c r="V10" s="0" t="e">
        <f aca="false">$J$7*(Q10*(Q11-Q9)*T10/(P11-P9))</f>
        <v>#VALUE!</v>
      </c>
    </row>
    <row r="11" customFormat="false" ht="12.75" hidden="false" customHeight="false" outlineLevel="0" collapsed="false">
      <c r="O11" s="0" t="n">
        <f aca="false">O10+1</f>
        <v>5</v>
      </c>
      <c r="P11" s="21" t="n">
        <f aca="false">P10+$J$7</f>
        <v>4</v>
      </c>
      <c r="Q11" s="21" t="e">
        <f aca="false">IF(P11&lt;$M$7+$J$7,rB($M$7,$K$7,P11),$L$7)</f>
        <v>#VALUE!</v>
      </c>
      <c r="R11" s="0" t="n">
        <f aca="false">P11</f>
        <v>4</v>
      </c>
      <c r="S11" s="0" t="e">
        <f aca="false">Cp($P$7:$Q$146,2,$J$7,P11)</f>
        <v>#VALUE!</v>
      </c>
      <c r="T11" s="0" t="e">
        <f aca="false">S11/(SQRT(1-$N$7^2)+(S11/2)*(1-SQRT(1-$N$7^2)))</f>
        <v>#VALUE!</v>
      </c>
      <c r="V11" s="0" t="e">
        <f aca="false">$J$7*(Q11*(Q12-Q10)*T11/(P12-P10))</f>
        <v>#VALUE!</v>
      </c>
    </row>
    <row r="12" customFormat="false" ht="12.75" hidden="false" customHeight="false" outlineLevel="0" collapsed="false">
      <c r="O12" s="0" t="n">
        <f aca="false">O11+1</f>
        <v>6</v>
      </c>
      <c r="P12" s="21" t="n">
        <f aca="false">P11+$J$7</f>
        <v>5</v>
      </c>
      <c r="Q12" s="21" t="e">
        <f aca="false">IF(P12&lt;$M$7+$J$7,rB($M$7,$K$7,P12),$L$7)</f>
        <v>#VALUE!</v>
      </c>
      <c r="R12" s="0" t="n">
        <f aca="false">P12</f>
        <v>5</v>
      </c>
      <c r="S12" s="0" t="e">
        <f aca="false">Cp($P$7:$Q$146,2,$J$7,P12)</f>
        <v>#VALUE!</v>
      </c>
      <c r="T12" s="0" t="e">
        <f aca="false">S12/(SQRT(1-$N$7^2)+(S12/2)*(1-SQRT(1-$N$7^2)))</f>
        <v>#VALUE!</v>
      </c>
      <c r="V12" s="0" t="e">
        <f aca="false">$J$7*(Q12*(Q13-Q11)*T12/(P13-P11))</f>
        <v>#VALUE!</v>
      </c>
    </row>
    <row r="13" customFormat="false" ht="12.75" hidden="false" customHeight="false" outlineLevel="0" collapsed="false">
      <c r="O13" s="0" t="n">
        <f aca="false">O12+1</f>
        <v>7</v>
      </c>
      <c r="P13" s="21" t="n">
        <f aca="false">P12+$J$7</f>
        <v>6</v>
      </c>
      <c r="Q13" s="21" t="e">
        <f aca="false">IF(P13&lt;$M$7+$J$7,rB($M$7,$K$7,P13),$L$7)</f>
        <v>#VALUE!</v>
      </c>
      <c r="R13" s="0" t="n">
        <f aca="false">P13</f>
        <v>6</v>
      </c>
      <c r="S13" s="0" t="e">
        <f aca="false">Cp($P$7:$Q$146,2,$J$7,P13)</f>
        <v>#VALUE!</v>
      </c>
      <c r="T13" s="0" t="e">
        <f aca="false">S13/(SQRT(1-$N$7^2)+(S13/2)*(1-SQRT(1-$N$7^2)))</f>
        <v>#VALUE!</v>
      </c>
      <c r="V13" s="0" t="e">
        <f aca="false">$J$7*(Q13*(Q14-Q12)*T13/(P14-P12))</f>
        <v>#VALUE!</v>
      </c>
    </row>
    <row r="14" customFormat="false" ht="12.75" hidden="false" customHeight="false" outlineLevel="0" collapsed="false">
      <c r="O14" s="0" t="n">
        <f aca="false">O13+1</f>
        <v>8</v>
      </c>
      <c r="P14" s="21" t="n">
        <f aca="false">P13+$J$7</f>
        <v>7</v>
      </c>
      <c r="Q14" s="21" t="e">
        <f aca="false">IF(P14&lt;$M$7+$J$7,rB($M$7,$K$7,P14),$L$7)</f>
        <v>#VALUE!</v>
      </c>
      <c r="R14" s="0" t="n">
        <f aca="false">P14</f>
        <v>7</v>
      </c>
      <c r="S14" s="0" t="e">
        <f aca="false">Cp($P$7:$Q$146,2,$J$7,P14)</f>
        <v>#VALUE!</v>
      </c>
      <c r="T14" s="0" t="e">
        <f aca="false">S14/(SQRT(1-$N$7^2)+(S14/2)*(1-SQRT(1-$N$7^2)))</f>
        <v>#VALUE!</v>
      </c>
      <c r="V14" s="0" t="e">
        <f aca="false">$J$7*(Q14*(Q15-Q13)*T14/(P15-P13))</f>
        <v>#VALUE!</v>
      </c>
    </row>
    <row r="15" customFormat="false" ht="12.75" hidden="false" customHeight="false" outlineLevel="0" collapsed="false">
      <c r="O15" s="0" t="n">
        <f aca="false">O14+1</f>
        <v>9</v>
      </c>
      <c r="P15" s="21" t="n">
        <f aca="false">P14+$J$7</f>
        <v>8</v>
      </c>
      <c r="Q15" s="21" t="e">
        <f aca="false">IF(P15&lt;$M$7+$J$7,rB($M$7,$K$7,P15),$L$7)</f>
        <v>#VALUE!</v>
      </c>
      <c r="R15" s="0" t="n">
        <f aca="false">P15</f>
        <v>8</v>
      </c>
      <c r="S15" s="0" t="e">
        <f aca="false">Cp($P$7:$Q$146,2,$J$7,P15)</f>
        <v>#VALUE!</v>
      </c>
      <c r="T15" s="0" t="e">
        <f aca="false">S15/(SQRT(1-$N$7^2)+(S15/2)*(1-SQRT(1-$N$7^2)))</f>
        <v>#VALUE!</v>
      </c>
      <c r="V15" s="0" t="e">
        <f aca="false">$J$7*(Q15*(Q16-Q14)*T15/(P16-P14))</f>
        <v>#VALUE!</v>
      </c>
    </row>
    <row r="16" customFormat="false" ht="12.75" hidden="false" customHeight="false" outlineLevel="0" collapsed="false">
      <c r="O16" s="0" t="n">
        <f aca="false">O15+1</f>
        <v>10</v>
      </c>
      <c r="P16" s="21" t="n">
        <f aca="false">P15+$J$7</f>
        <v>9</v>
      </c>
      <c r="Q16" s="21" t="e">
        <f aca="false">IF(P16&lt;$M$7+$J$7,rB($M$7,$K$7,P16),$L$7)</f>
        <v>#VALUE!</v>
      </c>
      <c r="R16" s="0" t="n">
        <f aca="false">P16</f>
        <v>9</v>
      </c>
      <c r="S16" s="0" t="e">
        <f aca="false">Cp($P$7:$Q$146,2,$J$7,P16)</f>
        <v>#VALUE!</v>
      </c>
      <c r="T16" s="0" t="e">
        <f aca="false">S16/(SQRT(1-$N$7^2)+(S16/2)*(1-SQRT(1-$N$7^2)))</f>
        <v>#VALUE!</v>
      </c>
      <c r="V16" s="0" t="e">
        <f aca="false">$J$7*(Q16*(Q17-Q15)*T16/(P17-P15))</f>
        <v>#VALUE!</v>
      </c>
    </row>
    <row r="17" customFormat="false" ht="12.75" hidden="false" customHeight="false" outlineLevel="0" collapsed="false">
      <c r="O17" s="0" t="n">
        <f aca="false">O16+1</f>
        <v>11</v>
      </c>
      <c r="P17" s="21" t="n">
        <f aca="false">P16+$J$7</f>
        <v>10</v>
      </c>
      <c r="Q17" s="21" t="e">
        <f aca="false">IF(P17&lt;$M$7+$J$7,rB($M$7,$K$7,P17),$L$7)</f>
        <v>#VALUE!</v>
      </c>
      <c r="R17" s="0" t="n">
        <f aca="false">P17</f>
        <v>10</v>
      </c>
      <c r="S17" s="0" t="e">
        <f aca="false">Cp($P$7:$Q$146,2,$J$7,P17)</f>
        <v>#VALUE!</v>
      </c>
      <c r="T17" s="0" t="e">
        <f aca="false">S17/(SQRT(1-$N$7^2)+(S17/2)*(1-SQRT(1-$N$7^2)))</f>
        <v>#VALUE!</v>
      </c>
      <c r="V17" s="0" t="e">
        <f aca="false">$J$7*(Q17*(Q18-Q16)*T17/(P18-P16))</f>
        <v>#VALUE!</v>
      </c>
    </row>
    <row r="18" customFormat="false" ht="12.75" hidden="false" customHeight="false" outlineLevel="0" collapsed="false">
      <c r="O18" s="0" t="n">
        <f aca="false">O17+1</f>
        <v>12</v>
      </c>
      <c r="P18" s="21" t="n">
        <f aca="false">P17+$J$7</f>
        <v>11</v>
      </c>
      <c r="Q18" s="21" t="e">
        <f aca="false">IF(P18&lt;$M$7+$J$7,rB($M$7,$K$7,P18),$L$7)</f>
        <v>#VALUE!</v>
      </c>
      <c r="R18" s="0" t="n">
        <f aca="false">P18</f>
        <v>11</v>
      </c>
      <c r="S18" s="0" t="e">
        <f aca="false">Cp($P$7:$Q$146,2,$J$7,P18)</f>
        <v>#VALUE!</v>
      </c>
      <c r="T18" s="0" t="e">
        <f aca="false">S18/(SQRT(1-$N$7^2)+(S18/2)*(1-SQRT(1-$N$7^2)))</f>
        <v>#VALUE!</v>
      </c>
      <c r="V18" s="0" t="e">
        <f aca="false">$J$7*(Q18*(Q19-Q17)*T18/(P19-P17))</f>
        <v>#VALUE!</v>
      </c>
    </row>
    <row r="19" customFormat="false" ht="12.75" hidden="false" customHeight="false" outlineLevel="0" collapsed="false">
      <c r="O19" s="0" t="n">
        <f aca="false">O18+1</f>
        <v>13</v>
      </c>
      <c r="P19" s="21" t="n">
        <f aca="false">P18+$J$7</f>
        <v>12</v>
      </c>
      <c r="Q19" s="21" t="e">
        <f aca="false">IF(P19&lt;$M$7+$J$7,rB($M$7,$K$7,P19),$L$7)</f>
        <v>#VALUE!</v>
      </c>
      <c r="R19" s="0" t="n">
        <f aca="false">P19</f>
        <v>12</v>
      </c>
      <c r="S19" s="0" t="e">
        <f aca="false">Cp($P$7:$Q$146,2,$J$7,P19)</f>
        <v>#VALUE!</v>
      </c>
      <c r="T19" s="0" t="e">
        <f aca="false">S19/(SQRT(1-$N$7^2)+(S19/2)*(1-SQRT(1-$N$7^2)))</f>
        <v>#VALUE!</v>
      </c>
      <c r="V19" s="0" t="e">
        <f aca="false">$J$7*(Q19*(Q20-Q18)*T19/(P20-P18))</f>
        <v>#VALUE!</v>
      </c>
    </row>
    <row r="20" customFormat="false" ht="12.75" hidden="false" customHeight="false" outlineLevel="0" collapsed="false">
      <c r="O20" s="0" t="n">
        <f aca="false">O19+1</f>
        <v>14</v>
      </c>
      <c r="P20" s="21" t="n">
        <f aca="false">P19+$J$7</f>
        <v>13</v>
      </c>
      <c r="Q20" s="21" t="e">
        <f aca="false">IF(P20&lt;$M$7+$J$7,rB($M$7,$K$7,P20),$L$7)</f>
        <v>#VALUE!</v>
      </c>
      <c r="R20" s="0" t="n">
        <f aca="false">P20</f>
        <v>13</v>
      </c>
      <c r="S20" s="0" t="e">
        <f aca="false">Cp($P$7:$Q$146,2,$J$7,P20)</f>
        <v>#VALUE!</v>
      </c>
      <c r="T20" s="0" t="e">
        <f aca="false">S20/(SQRT(1-$N$7^2)+(S20/2)*(1-SQRT(1-$N$7^2)))</f>
        <v>#VALUE!</v>
      </c>
      <c r="V20" s="0" t="e">
        <f aca="false">$J$7*(Q20*(Q21-Q19)*T20/(P21-P19))</f>
        <v>#VALUE!</v>
      </c>
    </row>
    <row r="21" customFormat="false" ht="12.75" hidden="false" customHeight="false" outlineLevel="0" collapsed="false">
      <c r="O21" s="0" t="n">
        <f aca="false">O20+1</f>
        <v>15</v>
      </c>
      <c r="P21" s="21" t="n">
        <f aca="false">P20+$J$7</f>
        <v>14</v>
      </c>
      <c r="Q21" s="21" t="e">
        <f aca="false">IF(P21&lt;$M$7+$J$7,rB($M$7,$K$7,P21),$L$7)</f>
        <v>#VALUE!</v>
      </c>
      <c r="R21" s="0" t="n">
        <f aca="false">P21</f>
        <v>14</v>
      </c>
      <c r="S21" s="0" t="e">
        <f aca="false">Cp($P$7:$Q$146,2,$J$7,P21)</f>
        <v>#VALUE!</v>
      </c>
      <c r="T21" s="0" t="e">
        <f aca="false">S21/(SQRT(1-$N$7^2)+(S21/2)*(1-SQRT(1-$N$7^2)))</f>
        <v>#VALUE!</v>
      </c>
      <c r="V21" s="0" t="e">
        <f aca="false">$J$7*(Q21*(Q22-Q20)*T21/(P22-P20))</f>
        <v>#VALUE!</v>
      </c>
    </row>
    <row r="22" customFormat="false" ht="12.75" hidden="false" customHeight="false" outlineLevel="0" collapsed="false">
      <c r="O22" s="0" t="n">
        <f aca="false">O21+1</f>
        <v>16</v>
      </c>
      <c r="P22" s="21" t="n">
        <f aca="false">P21+$J$7</f>
        <v>15</v>
      </c>
      <c r="Q22" s="21" t="e">
        <f aca="false">IF(P22&lt;$M$7+$J$7,rB($M$7,$K$7,P22),$L$7)</f>
        <v>#VALUE!</v>
      </c>
      <c r="R22" s="0" t="n">
        <f aca="false">P22</f>
        <v>15</v>
      </c>
      <c r="S22" s="0" t="e">
        <f aca="false">Cp($P$7:$Q$146,2,$J$7,P22)</f>
        <v>#VALUE!</v>
      </c>
      <c r="T22" s="0" t="e">
        <f aca="false">S22/(SQRT(1-$N$7^2)+(S22/2)*(1-SQRT(1-$N$7^2)))</f>
        <v>#VALUE!</v>
      </c>
      <c r="V22" s="0" t="e">
        <f aca="false">$J$7*(Q22*(Q23-Q21)*T22/(P23-P21))</f>
        <v>#VALUE!</v>
      </c>
    </row>
    <row r="23" customFormat="false" ht="12.75" hidden="false" customHeight="false" outlineLevel="0" collapsed="false">
      <c r="O23" s="0" t="n">
        <f aca="false">O22+1</f>
        <v>17</v>
      </c>
      <c r="P23" s="21" t="n">
        <f aca="false">P22+$J$7</f>
        <v>16</v>
      </c>
      <c r="Q23" s="21" t="e">
        <f aca="false">IF(P23&lt;$M$7+$J$7,rB($M$7,$K$7,P23),$L$7)</f>
        <v>#VALUE!</v>
      </c>
      <c r="R23" s="0" t="n">
        <f aca="false">P23</f>
        <v>16</v>
      </c>
      <c r="S23" s="0" t="e">
        <f aca="false">Cp($P$7:$Q$146,2,$J$7,P23)</f>
        <v>#VALUE!</v>
      </c>
      <c r="T23" s="0" t="e">
        <f aca="false">S23/(SQRT(1-$N$7^2)+(S23/2)*(1-SQRT(1-$N$7^2)))</f>
        <v>#VALUE!</v>
      </c>
      <c r="V23" s="0" t="e">
        <f aca="false">$J$7*(Q23*(Q24-Q22)*T23/(P24-P22))</f>
        <v>#VALUE!</v>
      </c>
    </row>
    <row r="24" customFormat="false" ht="12.75" hidden="false" customHeight="false" outlineLevel="0" collapsed="false">
      <c r="O24" s="0" t="n">
        <f aca="false">O23+1</f>
        <v>18</v>
      </c>
      <c r="P24" s="21" t="n">
        <f aca="false">P23+$J$7</f>
        <v>17</v>
      </c>
      <c r="Q24" s="21" t="e">
        <f aca="false">IF(P24&lt;$M$7+$J$7,rB($M$7,$K$7,P24),$L$7)</f>
        <v>#VALUE!</v>
      </c>
      <c r="R24" s="0" t="n">
        <f aca="false">P24</f>
        <v>17</v>
      </c>
      <c r="S24" s="0" t="e">
        <f aca="false">Cp($P$7:$Q$146,2,$J$7,P24)</f>
        <v>#VALUE!</v>
      </c>
      <c r="T24" s="0" t="e">
        <f aca="false">S24/(SQRT(1-$N$7^2)+(S24/2)*(1-SQRT(1-$N$7^2)))</f>
        <v>#VALUE!</v>
      </c>
      <c r="V24" s="0" t="e">
        <f aca="false">$J$7*(Q24*(Q25-Q23)*T24/(P25-P23))</f>
        <v>#VALUE!</v>
      </c>
    </row>
    <row r="25" customFormat="false" ht="12.75" hidden="false" customHeight="false" outlineLevel="0" collapsed="false">
      <c r="O25" s="0" t="n">
        <f aca="false">O24+1</f>
        <v>19</v>
      </c>
      <c r="P25" s="21" t="n">
        <f aca="false">P24+$J$7</f>
        <v>18</v>
      </c>
      <c r="Q25" s="21" t="e">
        <f aca="false">IF(P25&lt;$M$7+$J$7,rB($M$7,$K$7,P25),$L$7)</f>
        <v>#VALUE!</v>
      </c>
      <c r="R25" s="0" t="n">
        <f aca="false">P25</f>
        <v>18</v>
      </c>
      <c r="S25" s="0" t="e">
        <f aca="false">Cp($P$7:$Q$146,2,$J$7,P25)</f>
        <v>#VALUE!</v>
      </c>
      <c r="T25" s="0" t="e">
        <f aca="false">S25/(SQRT(1-$N$7^2)+(S25/2)*(1-SQRT(1-$N$7^2)))</f>
        <v>#VALUE!</v>
      </c>
      <c r="V25" s="0" t="e">
        <f aca="false">$J$7*(Q25*(Q26-Q24)*T25/(P26-P24))</f>
        <v>#VALUE!</v>
      </c>
    </row>
    <row r="26" customFormat="false" ht="12.75" hidden="false" customHeight="false" outlineLevel="0" collapsed="false">
      <c r="O26" s="0" t="n">
        <f aca="false">O25+1</f>
        <v>20</v>
      </c>
      <c r="P26" s="21" t="n">
        <f aca="false">P25+$J$7</f>
        <v>19</v>
      </c>
      <c r="Q26" s="21" t="e">
        <f aca="false">IF(P26&lt;$M$7+$J$7,rB($M$7,$K$7,P26),$L$7)</f>
        <v>#VALUE!</v>
      </c>
      <c r="R26" s="0" t="n">
        <f aca="false">P26</f>
        <v>19</v>
      </c>
      <c r="S26" s="0" t="e">
        <f aca="false">Cp($P$7:$Q$146,2,$J$7,P26)</f>
        <v>#VALUE!</v>
      </c>
      <c r="T26" s="0" t="e">
        <f aca="false">S26/(SQRT(1-$N$7^2)+(S26/2)*(1-SQRT(1-$N$7^2)))</f>
        <v>#VALUE!</v>
      </c>
      <c r="V26" s="0" t="e">
        <f aca="false">$J$7*(Q26*(Q27-Q25)*T26/(P27-P25))</f>
        <v>#VALUE!</v>
      </c>
    </row>
    <row r="27" customFormat="false" ht="12.75" hidden="false" customHeight="false" outlineLevel="0" collapsed="false">
      <c r="O27" s="0" t="n">
        <f aca="false">O26+1</f>
        <v>21</v>
      </c>
      <c r="P27" s="21" t="n">
        <f aca="false">P26+$J$7</f>
        <v>20</v>
      </c>
      <c r="Q27" s="21" t="e">
        <f aca="false">IF(P27&lt;$M$7+$J$7,rB($M$7,$K$7,P27),$L$7)</f>
        <v>#VALUE!</v>
      </c>
      <c r="R27" s="0" t="n">
        <f aca="false">P27</f>
        <v>20</v>
      </c>
      <c r="S27" s="0" t="e">
        <f aca="false">Cp($P$7:$Q$146,2,$J$7,P27)</f>
        <v>#VALUE!</v>
      </c>
      <c r="T27" s="0" t="e">
        <f aca="false">S27/(SQRT(1-$N$7^2)+(S27/2)*(1-SQRT(1-$N$7^2)))</f>
        <v>#VALUE!</v>
      </c>
      <c r="V27" s="0" t="e">
        <f aca="false">$J$7*(Q27*(Q28-Q26)*T27/(P28-P26))</f>
        <v>#VALUE!</v>
      </c>
    </row>
    <row r="28" customFormat="false" ht="12.75" hidden="false" customHeight="false" outlineLevel="0" collapsed="false">
      <c r="O28" s="0" t="n">
        <f aca="false">O27+1</f>
        <v>22</v>
      </c>
      <c r="P28" s="21" t="n">
        <f aca="false">P27+$J$7</f>
        <v>21</v>
      </c>
      <c r="Q28" s="21" t="e">
        <f aca="false">IF(P28&lt;$M$7+$J$7,rB($M$7,$K$7,P28),$L$7)</f>
        <v>#VALUE!</v>
      </c>
      <c r="R28" s="0" t="n">
        <f aca="false">P28</f>
        <v>21</v>
      </c>
      <c r="S28" s="0" t="e">
        <f aca="false">Cp($P$7:$Q$146,2,$J$7,P28)</f>
        <v>#VALUE!</v>
      </c>
      <c r="T28" s="0" t="e">
        <f aca="false">S28/(SQRT(1-$N$7^2)+(S28/2)*(1-SQRT(1-$N$7^2)))</f>
        <v>#VALUE!</v>
      </c>
      <c r="V28" s="0" t="e">
        <f aca="false">$J$7*(Q28*(Q29-Q27)*T28/(P29-P27))</f>
        <v>#VALUE!</v>
      </c>
    </row>
    <row r="29" customFormat="false" ht="12.75" hidden="false" customHeight="false" outlineLevel="0" collapsed="false">
      <c r="O29" s="0" t="n">
        <f aca="false">O28+1</f>
        <v>23</v>
      </c>
      <c r="P29" s="21" t="n">
        <f aca="false">P28+$J$7</f>
        <v>22</v>
      </c>
      <c r="Q29" s="21" t="e">
        <f aca="false">IF(P29&lt;$M$7+$J$7,rB($M$7,$K$7,P29),$L$7)</f>
        <v>#VALUE!</v>
      </c>
      <c r="R29" s="0" t="n">
        <f aca="false">P29</f>
        <v>22</v>
      </c>
      <c r="S29" s="0" t="e">
        <f aca="false">Cp($P$7:$Q$146,2,$J$7,P29)</f>
        <v>#VALUE!</v>
      </c>
      <c r="T29" s="0" t="e">
        <f aca="false">S29/(SQRT(1-$N$7^2)+(S29/2)*(1-SQRT(1-$N$7^2)))</f>
        <v>#VALUE!</v>
      </c>
      <c r="V29" s="0" t="e">
        <f aca="false">$J$7*(Q29*(Q30-Q28)*T29/(P30-P28))</f>
        <v>#VALUE!</v>
      </c>
    </row>
    <row r="30" customFormat="false" ht="12.75" hidden="false" customHeight="false" outlineLevel="0" collapsed="false">
      <c r="O30" s="0" t="n">
        <f aca="false">O29+1</f>
        <v>24</v>
      </c>
      <c r="P30" s="21" t="n">
        <f aca="false">P29+$J$7</f>
        <v>23</v>
      </c>
      <c r="Q30" s="21" t="e">
        <f aca="false">IF(P30&lt;$M$7+$J$7,rB($M$7,$K$7,P30),$L$7)</f>
        <v>#VALUE!</v>
      </c>
      <c r="R30" s="0" t="n">
        <f aca="false">P30</f>
        <v>23</v>
      </c>
      <c r="S30" s="0" t="e">
        <f aca="false">Cp($P$7:$Q$146,2,$J$7,P30)</f>
        <v>#VALUE!</v>
      </c>
      <c r="T30" s="0" t="e">
        <f aca="false">S30/(SQRT(1-$N$7^2)+(S30/2)*(1-SQRT(1-$N$7^2)))</f>
        <v>#VALUE!</v>
      </c>
      <c r="V30" s="0" t="e">
        <f aca="false">$J$7*(Q30*(Q31-Q29)*T30/(P31-P29))</f>
        <v>#VALUE!</v>
      </c>
    </row>
    <row r="31" customFormat="false" ht="12.75" hidden="false" customHeight="false" outlineLevel="0" collapsed="false">
      <c r="O31" s="0" t="n">
        <f aca="false">O30+1</f>
        <v>25</v>
      </c>
      <c r="P31" s="21" t="n">
        <f aca="false">P30+$J$7</f>
        <v>24</v>
      </c>
      <c r="Q31" s="21" t="e">
        <f aca="false">IF(P31&lt;$M$7+$J$7,rB($M$7,$K$7,P31),$L$7)</f>
        <v>#VALUE!</v>
      </c>
      <c r="R31" s="0" t="n">
        <f aca="false">P31</f>
        <v>24</v>
      </c>
      <c r="S31" s="0" t="e">
        <f aca="false">Cp($P$7:$Q$146,2,$J$7,P31)</f>
        <v>#VALUE!</v>
      </c>
      <c r="T31" s="0" t="e">
        <f aca="false">S31/(SQRT(1-$N$7^2)+(S31/2)*(1-SQRT(1-$N$7^2)))</f>
        <v>#VALUE!</v>
      </c>
      <c r="V31" s="0" t="e">
        <f aca="false">$J$7*(Q31*(Q32-Q30)*T31/(P32-P30))</f>
        <v>#VALUE!</v>
      </c>
    </row>
    <row r="32" customFormat="false" ht="12.75" hidden="false" customHeight="false" outlineLevel="0" collapsed="false">
      <c r="O32" s="0" t="n">
        <f aca="false">O31+1</f>
        <v>26</v>
      </c>
      <c r="P32" s="21" t="n">
        <f aca="false">P31+$J$7</f>
        <v>25</v>
      </c>
      <c r="Q32" s="21" t="e">
        <f aca="false">IF(P32&lt;$M$7+$J$7,rB($M$7,$K$7,P32),$L$7)</f>
        <v>#VALUE!</v>
      </c>
      <c r="R32" s="0" t="n">
        <f aca="false">P32</f>
        <v>25</v>
      </c>
      <c r="S32" s="0" t="e">
        <f aca="false">Cp($P$7:$Q$146,2,$J$7,P32)</f>
        <v>#VALUE!</v>
      </c>
      <c r="T32" s="0" t="e">
        <f aca="false">S32/(SQRT(1-$N$7^2)+(S32/2)*(1-SQRT(1-$N$7^2)))</f>
        <v>#VALUE!</v>
      </c>
      <c r="V32" s="0" t="e">
        <f aca="false">$J$7*(Q32*(Q33-Q31)*T32/(P33-P31))</f>
        <v>#VALUE!</v>
      </c>
    </row>
    <row r="33" customFormat="false" ht="12.75" hidden="false" customHeight="false" outlineLevel="0" collapsed="false">
      <c r="O33" s="0" t="n">
        <f aca="false">O32+1</f>
        <v>27</v>
      </c>
      <c r="P33" s="21" t="n">
        <f aca="false">P32+$J$7</f>
        <v>26</v>
      </c>
      <c r="Q33" s="21" t="e">
        <f aca="false">IF(P33&lt;$M$7+$J$7,rB($M$7,$K$7,P33),$L$7)</f>
        <v>#VALUE!</v>
      </c>
      <c r="R33" s="0" t="n">
        <f aca="false">P33</f>
        <v>26</v>
      </c>
      <c r="S33" s="0" t="e">
        <f aca="false">Cp($P$7:$Q$146,2,$J$7,P33)</f>
        <v>#VALUE!</v>
      </c>
      <c r="T33" s="0" t="e">
        <f aca="false">S33/(SQRT(1-$N$7^2)+(S33/2)*(1-SQRT(1-$N$7^2)))</f>
        <v>#VALUE!</v>
      </c>
      <c r="V33" s="0" t="e">
        <f aca="false">$J$7*(Q33*(Q34-Q32)*T33/(P34-P32))</f>
        <v>#VALUE!</v>
      </c>
    </row>
    <row r="34" customFormat="false" ht="12.75" hidden="false" customHeight="false" outlineLevel="0" collapsed="false">
      <c r="O34" s="0" t="n">
        <f aca="false">O33+1</f>
        <v>28</v>
      </c>
      <c r="P34" s="21" t="n">
        <f aca="false">P33+$J$7</f>
        <v>27</v>
      </c>
      <c r="Q34" s="21" t="e">
        <f aca="false">IF(P34&lt;$M$7+$J$7,rB($M$7,$K$7,P34),$L$7)</f>
        <v>#VALUE!</v>
      </c>
      <c r="R34" s="0" t="n">
        <f aca="false">P34</f>
        <v>27</v>
      </c>
      <c r="S34" s="0" t="e">
        <f aca="false">Cp($P$7:$Q$146,2,$J$7,P34)</f>
        <v>#VALUE!</v>
      </c>
      <c r="T34" s="0" t="e">
        <f aca="false">S34/(SQRT(1-$N$7^2)+(S34/2)*(1-SQRT(1-$N$7^2)))</f>
        <v>#VALUE!</v>
      </c>
      <c r="V34" s="0" t="e">
        <f aca="false">$J$7*(Q34*(Q35-Q33)*T34/(P35-P33))</f>
        <v>#VALUE!</v>
      </c>
    </row>
    <row r="35" customFormat="false" ht="12.75" hidden="false" customHeight="false" outlineLevel="0" collapsed="false">
      <c r="O35" s="0" t="n">
        <f aca="false">O34+1</f>
        <v>29</v>
      </c>
      <c r="P35" s="21" t="n">
        <f aca="false">P34+$J$7</f>
        <v>28</v>
      </c>
      <c r="Q35" s="21" t="e">
        <f aca="false">IF(P35&lt;$M$7+$J$7,rB($M$7,$K$7,P35),$L$7)</f>
        <v>#VALUE!</v>
      </c>
      <c r="R35" s="0" t="n">
        <f aca="false">P35</f>
        <v>28</v>
      </c>
      <c r="S35" s="0" t="e">
        <f aca="false">Cp($P$7:$Q$146,2,$J$7,P35)</f>
        <v>#VALUE!</v>
      </c>
      <c r="T35" s="0" t="e">
        <f aca="false">S35/(SQRT(1-$N$7^2)+(S35/2)*(1-SQRT(1-$N$7^2)))</f>
        <v>#VALUE!</v>
      </c>
      <c r="V35" s="0" t="e">
        <f aca="false">$J$7*(Q35*(Q36-Q34)*T35/(P36-P34))</f>
        <v>#VALUE!</v>
      </c>
    </row>
    <row r="36" customFormat="false" ht="12.75" hidden="false" customHeight="false" outlineLevel="0" collapsed="false">
      <c r="O36" s="0" t="n">
        <f aca="false">O35+1</f>
        <v>30</v>
      </c>
      <c r="P36" s="21" t="n">
        <f aca="false">P35+$J$7</f>
        <v>29</v>
      </c>
      <c r="Q36" s="21" t="e">
        <f aca="false">IF(P36&lt;$M$7+$J$7,rB($M$7,$K$7,P36),$L$7)</f>
        <v>#VALUE!</v>
      </c>
      <c r="R36" s="0" t="n">
        <f aca="false">P36</f>
        <v>29</v>
      </c>
      <c r="S36" s="0" t="e">
        <f aca="false">Cp($P$7:$Q$146,2,$J$7,P36)</f>
        <v>#VALUE!</v>
      </c>
      <c r="T36" s="0" t="e">
        <f aca="false">S36/(SQRT(1-$N$7^2)+(S36/2)*(1-SQRT(1-$N$7^2)))</f>
        <v>#VALUE!</v>
      </c>
      <c r="V36" s="0" t="e">
        <f aca="false">$J$7*(Q36*(Q37-Q35)*T36/(P37-P35))</f>
        <v>#VALUE!</v>
      </c>
    </row>
    <row r="37" customFormat="false" ht="12.75" hidden="false" customHeight="false" outlineLevel="0" collapsed="false">
      <c r="O37" s="0" t="n">
        <f aca="false">O36+1</f>
        <v>31</v>
      </c>
      <c r="P37" s="21" t="n">
        <f aca="false">P36+$J$7</f>
        <v>30</v>
      </c>
      <c r="Q37" s="21" t="e">
        <f aca="false">IF(P37&lt;$M$7+$J$7,rB($M$7,$K$7,P37),$L$7)</f>
        <v>#VALUE!</v>
      </c>
      <c r="R37" s="0" t="n">
        <f aca="false">P37</f>
        <v>30</v>
      </c>
      <c r="S37" s="0" t="e">
        <f aca="false">Cp($P$7:$Q$146,2,$J$7,P37)</f>
        <v>#VALUE!</v>
      </c>
      <c r="T37" s="0" t="e">
        <f aca="false">S37/(SQRT(1-$N$7^2)+(S37/2)*(1-SQRT(1-$N$7^2)))</f>
        <v>#VALUE!</v>
      </c>
      <c r="V37" s="0" t="e">
        <f aca="false">$J$7*(Q37*(Q38-Q36)*T37/(P38-P36))</f>
        <v>#VALUE!</v>
      </c>
    </row>
    <row r="38" customFormat="false" ht="12.75" hidden="false" customHeight="false" outlineLevel="0" collapsed="false">
      <c r="O38" s="0" t="n">
        <f aca="false">O37+1</f>
        <v>32</v>
      </c>
      <c r="P38" s="21" t="n">
        <f aca="false">P37+$J$7</f>
        <v>31</v>
      </c>
      <c r="Q38" s="21" t="n">
        <f aca="false">IF(P38&lt;$M$7+$J$7,rB($M$7,$K$7,P38),$L$7)</f>
        <v>3.125</v>
      </c>
      <c r="R38" s="0" t="n">
        <f aca="false">P38</f>
        <v>31</v>
      </c>
      <c r="S38" s="0" t="e">
        <f aca="false">Cp($P$7:$Q$146,2,$J$7,P38)</f>
        <v>#VALUE!</v>
      </c>
      <c r="T38" s="0" t="e">
        <f aca="false">S38/(SQRT(1-$N$7^2)+(S38/2)*(1-SQRT(1-$N$7^2)))</f>
        <v>#VALUE!</v>
      </c>
      <c r="V38" s="0" t="e">
        <f aca="false">$J$7*(Q38*(Q39-Q37)*T38/(P39-P37))</f>
        <v>#VALUE!</v>
      </c>
    </row>
    <row r="39" customFormat="false" ht="12.75" hidden="false" customHeight="false" outlineLevel="0" collapsed="false">
      <c r="O39" s="0" t="n">
        <f aca="false">O38+1</f>
        <v>33</v>
      </c>
      <c r="P39" s="21" t="n">
        <f aca="false">P38+$J$7</f>
        <v>32</v>
      </c>
      <c r="Q39" s="21" t="n">
        <f aca="false">IF(P39&lt;$M$7+$J$7,rB($M$7,$K$7,P39),$L$7)</f>
        <v>3.125</v>
      </c>
      <c r="R39" s="0" t="n">
        <f aca="false">P39</f>
        <v>32</v>
      </c>
      <c r="S39" s="0" t="e">
        <f aca="false">Cp($P$7:$Q$146,2,$J$7,P39)</f>
        <v>#VALUE!</v>
      </c>
      <c r="T39" s="0" t="e">
        <f aca="false">S39/(SQRT(1-$N$7^2)+(S39/2)*(1-SQRT(1-$N$7^2)))</f>
        <v>#VALUE!</v>
      </c>
      <c r="V39" s="0" t="e">
        <f aca="false">$J$7*(Q39*(Q40-Q38)*T39/(P40-P38))</f>
        <v>#VALUE!</v>
      </c>
    </row>
    <row r="40" customFormat="false" ht="12.75" hidden="false" customHeight="false" outlineLevel="0" collapsed="false">
      <c r="O40" s="0" t="n">
        <f aca="false">O39+1</f>
        <v>34</v>
      </c>
      <c r="P40" s="21" t="n">
        <f aca="false">P39+$J$7</f>
        <v>33</v>
      </c>
      <c r="Q40" s="21" t="n">
        <f aca="false">IF(P40&lt;$M$7+$J$7,rB($M$7,$K$7,P40),$L$7)</f>
        <v>3.125</v>
      </c>
      <c r="R40" s="0" t="n">
        <f aca="false">P40</f>
        <v>33</v>
      </c>
      <c r="S40" s="0" t="e">
        <f aca="false">Cp($P$7:$Q$146,2,$J$7,P40)</f>
        <v>#VALUE!</v>
      </c>
      <c r="T40" s="0" t="e">
        <f aca="false">S40/(SQRT(1-$N$7^2)+(S40/2)*(1-SQRT(1-$N$7^2)))</f>
        <v>#VALUE!</v>
      </c>
      <c r="V40" s="0" t="e">
        <f aca="false">$J$7*(Q40*(Q41-Q39)*T40/(P41-P39))</f>
        <v>#VALUE!</v>
      </c>
    </row>
    <row r="41" customFormat="false" ht="12.75" hidden="false" customHeight="false" outlineLevel="0" collapsed="false">
      <c r="O41" s="0" t="n">
        <f aca="false">O40+1</f>
        <v>35</v>
      </c>
      <c r="P41" s="21" t="n">
        <f aca="false">P40+$J$7</f>
        <v>34</v>
      </c>
      <c r="Q41" s="21" t="n">
        <f aca="false">IF(P41&lt;$M$7+$J$7,rB($M$7,$K$7,P41),$L$7)</f>
        <v>3.125</v>
      </c>
      <c r="R41" s="0" t="n">
        <f aca="false">P41</f>
        <v>34</v>
      </c>
      <c r="S41" s="0" t="e">
        <f aca="false">Cp($P$7:$Q$146,2,$J$7,P41)</f>
        <v>#VALUE!</v>
      </c>
      <c r="T41" s="0" t="e">
        <f aca="false">S41/(SQRT(1-$N$7^2)+(S41/2)*(1-SQRT(1-$N$7^2)))</f>
        <v>#VALUE!</v>
      </c>
      <c r="V41" s="0" t="e">
        <f aca="false">$J$7*(Q41*(Q42-Q40)*T41/(P42-P40))</f>
        <v>#VALUE!</v>
      </c>
    </row>
    <row r="42" customFormat="false" ht="12.75" hidden="false" customHeight="false" outlineLevel="0" collapsed="false">
      <c r="O42" s="0" t="n">
        <f aca="false">O41+1</f>
        <v>36</v>
      </c>
      <c r="P42" s="21" t="n">
        <f aca="false">P41+$J$7</f>
        <v>35</v>
      </c>
      <c r="Q42" s="21" t="n">
        <f aca="false">IF(P42&lt;$M$7+$J$7,rB($M$7,$K$7,P42),$L$7)</f>
        <v>3.125</v>
      </c>
      <c r="R42" s="0" t="n">
        <f aca="false">P42</f>
        <v>35</v>
      </c>
      <c r="S42" s="0" t="e">
        <f aca="false">Cp($P$7:$Q$146,2,$J$7,P42)</f>
        <v>#VALUE!</v>
      </c>
      <c r="T42" s="0" t="e">
        <f aca="false">S42/(SQRT(1-$N$7^2)+(S42/2)*(1-SQRT(1-$N$7^2)))</f>
        <v>#VALUE!</v>
      </c>
      <c r="V42" s="0" t="e">
        <f aca="false">$J$7*(Q42*(Q43-Q41)*T42/(P43-P41))</f>
        <v>#VALUE!</v>
      </c>
    </row>
    <row r="43" customFormat="false" ht="12.75" hidden="false" customHeight="false" outlineLevel="0" collapsed="false">
      <c r="O43" s="0" t="n">
        <f aca="false">O42+1</f>
        <v>37</v>
      </c>
      <c r="P43" s="21" t="n">
        <f aca="false">P42+$J$7</f>
        <v>36</v>
      </c>
      <c r="Q43" s="21" t="n">
        <f aca="false">IF(P43&lt;$M$7+$J$7,rB($M$7,$K$7,P43),$L$7)</f>
        <v>3.125</v>
      </c>
      <c r="R43" s="0" t="n">
        <f aca="false">P43</f>
        <v>36</v>
      </c>
      <c r="S43" s="0" t="e">
        <f aca="false">Cp($P$7:$Q$146,2,$J$7,P43)</f>
        <v>#VALUE!</v>
      </c>
      <c r="T43" s="0" t="e">
        <f aca="false">S43/(SQRT(1-$N$7^2)+(S43/2)*(1-SQRT(1-$N$7^2)))</f>
        <v>#VALUE!</v>
      </c>
      <c r="V43" s="0" t="e">
        <f aca="false">$J$7*(Q43*(Q44-Q42)*T43/(P44-P42))</f>
        <v>#VALUE!</v>
      </c>
    </row>
    <row r="44" customFormat="false" ht="12.75" hidden="false" customHeight="false" outlineLevel="0" collapsed="false">
      <c r="O44" s="0" t="n">
        <f aca="false">O43+1</f>
        <v>38</v>
      </c>
      <c r="P44" s="21" t="n">
        <f aca="false">P43+$J$7</f>
        <v>37</v>
      </c>
      <c r="Q44" s="21" t="n">
        <f aca="false">IF(P44&lt;$M$7+$J$7,rB($M$7,$K$7,P44),$L$7)</f>
        <v>3.125</v>
      </c>
      <c r="R44" s="0" t="n">
        <f aca="false">P44</f>
        <v>37</v>
      </c>
      <c r="S44" s="0" t="e">
        <f aca="false">Cp($P$7:$Q$146,2,$J$7,P44)</f>
        <v>#VALUE!</v>
      </c>
      <c r="T44" s="0" t="e">
        <f aca="false">S44/(SQRT(1-$N$7^2)+(S44/2)*(1-SQRT(1-$N$7^2)))</f>
        <v>#VALUE!</v>
      </c>
      <c r="V44" s="0" t="e">
        <f aca="false">$J$7*(Q44*(Q45-Q43)*T44/(P45-P43))</f>
        <v>#VALUE!</v>
      </c>
    </row>
    <row r="45" customFormat="false" ht="12.75" hidden="false" customHeight="false" outlineLevel="0" collapsed="false">
      <c r="O45" s="0" t="n">
        <f aca="false">O44+1</f>
        <v>39</v>
      </c>
      <c r="P45" s="21" t="n">
        <f aca="false">P44+$J$7</f>
        <v>38</v>
      </c>
      <c r="Q45" s="21" t="n">
        <f aca="false">IF(P45&lt;$M$7+$J$7,rB($M$7,$K$7,P45),$L$7)</f>
        <v>3.125</v>
      </c>
      <c r="R45" s="0" t="n">
        <f aca="false">P45</f>
        <v>38</v>
      </c>
      <c r="S45" s="0" t="e">
        <f aca="false">Cp($P$7:$Q$146,2,$J$7,P45)</f>
        <v>#VALUE!</v>
      </c>
      <c r="T45" s="0" t="e">
        <f aca="false">S45/(SQRT(1-$N$7^2)+(S45/2)*(1-SQRT(1-$N$7^2)))</f>
        <v>#VALUE!</v>
      </c>
      <c r="V45" s="0" t="e">
        <f aca="false">$J$7*(Q45*(Q46-Q44)*T45/(P46-P44))</f>
        <v>#VALUE!</v>
      </c>
    </row>
    <row r="46" customFormat="false" ht="12.75" hidden="false" customHeight="false" outlineLevel="0" collapsed="false">
      <c r="O46" s="0" t="n">
        <f aca="false">O45+1</f>
        <v>40</v>
      </c>
      <c r="P46" s="21" t="n">
        <f aca="false">P45+$J$7</f>
        <v>39</v>
      </c>
      <c r="Q46" s="21" t="n">
        <f aca="false">IF(P46&lt;$M$7+$J$7,rB($M$7,$K$7,P46),$L$7)</f>
        <v>3.125</v>
      </c>
      <c r="R46" s="0" t="n">
        <f aca="false">P46</f>
        <v>39</v>
      </c>
      <c r="S46" s="0" t="e">
        <f aca="false">Cp($P$7:$Q$146,2,$J$7,P46)</f>
        <v>#VALUE!</v>
      </c>
      <c r="T46" s="0" t="e">
        <f aca="false">S46/(SQRT(1-$N$7^2)+(S46/2)*(1-SQRT(1-$N$7^2)))</f>
        <v>#VALUE!</v>
      </c>
      <c r="V46" s="0" t="e">
        <f aca="false">$J$7*(Q46*(Q47-Q45)*T46/(P47-P45))</f>
        <v>#VALUE!</v>
      </c>
    </row>
    <row r="47" customFormat="false" ht="12.75" hidden="false" customHeight="false" outlineLevel="0" collapsed="false">
      <c r="O47" s="0" t="n">
        <f aca="false">O46+1</f>
        <v>41</v>
      </c>
      <c r="P47" s="21" t="n">
        <f aca="false">P46+$J$7</f>
        <v>40</v>
      </c>
      <c r="Q47" s="21" t="n">
        <f aca="false">IF(P47&lt;$M$7+$J$7,rB($M$7,$K$7,P47),$L$7)</f>
        <v>3.125</v>
      </c>
      <c r="R47" s="0" t="n">
        <f aca="false">P47</f>
        <v>40</v>
      </c>
      <c r="S47" s="0" t="e">
        <f aca="false">Cp($P$7:$Q$146,2,$J$7,P47)</f>
        <v>#VALUE!</v>
      </c>
      <c r="T47" s="0" t="e">
        <f aca="false">S47/(SQRT(1-$N$7^2)+(S47/2)*(1-SQRT(1-$N$7^2)))</f>
        <v>#VALUE!</v>
      </c>
      <c r="V47" s="0" t="e">
        <f aca="false">$J$7*(Q47*(Q48-Q46)*T47/(P48-P46))</f>
        <v>#VALUE!</v>
      </c>
    </row>
    <row r="48" customFormat="false" ht="12.75" hidden="false" customHeight="false" outlineLevel="0" collapsed="false">
      <c r="O48" s="0" t="n">
        <f aca="false">O47+1</f>
        <v>42</v>
      </c>
      <c r="P48" s="21" t="n">
        <f aca="false">P47+$J$7</f>
        <v>41</v>
      </c>
      <c r="Q48" s="21" t="n">
        <f aca="false">IF(P48&lt;$M$7+$J$7,rB($M$7,$K$7,P48),$L$7)</f>
        <v>3.125</v>
      </c>
      <c r="R48" s="0" t="n">
        <f aca="false">P48</f>
        <v>41</v>
      </c>
      <c r="S48" s="0" t="e">
        <f aca="false">Cp($P$7:$Q$146,2,$J$7,P48)</f>
        <v>#VALUE!</v>
      </c>
      <c r="T48" s="0" t="e">
        <f aca="false">S48/(SQRT(1-$N$7^2)+(S48/2)*(1-SQRT(1-$N$7^2)))</f>
        <v>#VALUE!</v>
      </c>
      <c r="V48" s="0" t="e">
        <f aca="false">$J$7*(Q48*(Q49-Q47)*T48/(P49-P47))</f>
        <v>#VALUE!</v>
      </c>
    </row>
    <row r="49" customFormat="false" ht="12.75" hidden="false" customHeight="false" outlineLevel="0" collapsed="false">
      <c r="O49" s="0" t="n">
        <f aca="false">O48+1</f>
        <v>43</v>
      </c>
      <c r="P49" s="21" t="n">
        <f aca="false">P48+$J$7</f>
        <v>42</v>
      </c>
      <c r="Q49" s="21" t="n">
        <f aca="false">IF(P49&lt;$M$7+$J$7,rB($M$7,$K$7,P49),$L$7)</f>
        <v>3.125</v>
      </c>
      <c r="R49" s="0" t="n">
        <f aca="false">P49</f>
        <v>42</v>
      </c>
      <c r="S49" s="0" t="e">
        <f aca="false">Cp($P$7:$Q$146,2,$J$7,P49)</f>
        <v>#VALUE!</v>
      </c>
      <c r="T49" s="0" t="e">
        <f aca="false">S49/(SQRT(1-$N$7^2)+(S49/2)*(1-SQRT(1-$N$7^2)))</f>
        <v>#VALUE!</v>
      </c>
      <c r="V49" s="0" t="e">
        <f aca="false">$J$7*(Q49*(Q50-Q48)*T49/(P50-P48))</f>
        <v>#VALUE!</v>
      </c>
    </row>
    <row r="50" customFormat="false" ht="12.75" hidden="false" customHeight="false" outlineLevel="0" collapsed="false">
      <c r="O50" s="0" t="n">
        <f aca="false">O49+1</f>
        <v>44</v>
      </c>
      <c r="P50" s="21" t="n">
        <f aca="false">P49+$J$7</f>
        <v>43</v>
      </c>
      <c r="Q50" s="21" t="n">
        <f aca="false">IF(P50&lt;$M$7+$J$7,rB($M$7,$K$7,P50),$L$7)</f>
        <v>3.125</v>
      </c>
      <c r="R50" s="0" t="n">
        <f aca="false">P50</f>
        <v>43</v>
      </c>
      <c r="S50" s="0" t="e">
        <f aca="false">Cp($P$7:$Q$146,2,$J$7,P50)</f>
        <v>#VALUE!</v>
      </c>
      <c r="T50" s="0" t="e">
        <f aca="false">S50/(SQRT(1-$N$7^2)+(S50/2)*(1-SQRT(1-$N$7^2)))</f>
        <v>#VALUE!</v>
      </c>
      <c r="V50" s="0" t="e">
        <f aca="false">$J$7*(Q50*(Q51-Q49)*T50/(P51-P49))</f>
        <v>#VALUE!</v>
      </c>
    </row>
    <row r="51" customFormat="false" ht="12.75" hidden="false" customHeight="false" outlineLevel="0" collapsed="false">
      <c r="O51" s="0" t="n">
        <f aca="false">O50+1</f>
        <v>45</v>
      </c>
      <c r="P51" s="21" t="n">
        <f aca="false">P50+$J$7</f>
        <v>44</v>
      </c>
      <c r="Q51" s="21" t="n">
        <f aca="false">IF(P51&lt;$M$7+$J$7,rB($M$7,$K$7,P51),$L$7)</f>
        <v>3.125</v>
      </c>
      <c r="R51" s="0" t="n">
        <f aca="false">P51</f>
        <v>44</v>
      </c>
      <c r="S51" s="0" t="e">
        <f aca="false">Cp($P$7:$Q$146,2,$J$7,P51)</f>
        <v>#VALUE!</v>
      </c>
      <c r="T51" s="0" t="e">
        <f aca="false">S51/(SQRT(1-$N$7^2)+(S51/2)*(1-SQRT(1-$N$7^2)))</f>
        <v>#VALUE!</v>
      </c>
      <c r="V51" s="0" t="e">
        <f aca="false">$J$7*(Q51*(Q52-Q50)*T51/(P52-P50))</f>
        <v>#VALUE!</v>
      </c>
    </row>
    <row r="52" customFormat="false" ht="12.75" hidden="false" customHeight="false" outlineLevel="0" collapsed="false">
      <c r="O52" s="0" t="n">
        <f aca="false">O51+1</f>
        <v>46</v>
      </c>
      <c r="P52" s="21" t="n">
        <f aca="false">P51+$J$7</f>
        <v>45</v>
      </c>
      <c r="Q52" s="21" t="n">
        <f aca="false">IF(P52&lt;$M$7+$J$7,rB($M$7,$K$7,P52),$L$7)</f>
        <v>3.125</v>
      </c>
      <c r="R52" s="0" t="n">
        <f aca="false">P52</f>
        <v>45</v>
      </c>
      <c r="S52" s="0" t="e">
        <f aca="false">Cp($P$7:$Q$146,2,$J$7,P52)</f>
        <v>#VALUE!</v>
      </c>
      <c r="T52" s="0" t="e">
        <f aca="false">S52/(SQRT(1-$N$7^2)+(S52/2)*(1-SQRT(1-$N$7^2)))</f>
        <v>#VALUE!</v>
      </c>
      <c r="V52" s="0" t="e">
        <f aca="false">$J$7*(Q52*(Q53-Q51)*T52/(P53-P51))</f>
        <v>#VALUE!</v>
      </c>
    </row>
    <row r="53" customFormat="false" ht="12.75" hidden="false" customHeight="false" outlineLevel="0" collapsed="false">
      <c r="O53" s="0" t="n">
        <f aca="false">O52+1</f>
        <v>47</v>
      </c>
      <c r="P53" s="21" t="n">
        <f aca="false">P52+$J$7</f>
        <v>46</v>
      </c>
      <c r="Q53" s="21" t="n">
        <f aca="false">IF(P53&lt;$M$7+$J$7,rB($M$7,$K$7,P53),$L$7)</f>
        <v>3.125</v>
      </c>
      <c r="R53" s="0" t="n">
        <f aca="false">P53</f>
        <v>46</v>
      </c>
      <c r="S53" s="0" t="e">
        <f aca="false">Cp($P$7:$Q$146,2,$J$7,P53)</f>
        <v>#VALUE!</v>
      </c>
      <c r="T53" s="0" t="e">
        <f aca="false">S53/(SQRT(1-$N$7^2)+(S53/2)*(1-SQRT(1-$N$7^2)))</f>
        <v>#VALUE!</v>
      </c>
      <c r="V53" s="0" t="e">
        <f aca="false">$J$7*(Q53*(Q54-Q52)*T53/(P54-P52))</f>
        <v>#VALUE!</v>
      </c>
    </row>
    <row r="54" customFormat="false" ht="12.75" hidden="false" customHeight="false" outlineLevel="0" collapsed="false">
      <c r="O54" s="0" t="n">
        <f aca="false">O53+1</f>
        <v>48</v>
      </c>
      <c r="P54" s="21" t="n">
        <f aca="false">P53+$J$7</f>
        <v>47</v>
      </c>
      <c r="Q54" s="21" t="n">
        <f aca="false">IF(P54&lt;$M$7+$J$7,rB($M$7,$K$7,P54),$L$7)</f>
        <v>3.125</v>
      </c>
      <c r="R54" s="0" t="n">
        <f aca="false">P54</f>
        <v>47</v>
      </c>
      <c r="S54" s="0" t="e">
        <f aca="false">Cp($P$7:$Q$146,2,$J$7,P54)</f>
        <v>#VALUE!</v>
      </c>
      <c r="T54" s="0" t="e">
        <f aca="false">S54/(SQRT(1-$N$7^2)+(S54/2)*(1-SQRT(1-$N$7^2)))</f>
        <v>#VALUE!</v>
      </c>
      <c r="V54" s="0" t="e">
        <f aca="false">$J$7*(Q54*(Q55-Q53)*T54/(P55-P53))</f>
        <v>#VALUE!</v>
      </c>
    </row>
    <row r="55" customFormat="false" ht="12.75" hidden="false" customHeight="false" outlineLevel="0" collapsed="false">
      <c r="O55" s="0" t="n">
        <f aca="false">O54+1</f>
        <v>49</v>
      </c>
      <c r="P55" s="21" t="n">
        <f aca="false">P54+$J$7</f>
        <v>48</v>
      </c>
      <c r="Q55" s="21" t="n">
        <f aca="false">IF(P55&lt;$M$7+$J$7,rB($M$7,$K$7,P55),$L$7)</f>
        <v>3.125</v>
      </c>
      <c r="R55" s="0" t="n">
        <f aca="false">P55</f>
        <v>48</v>
      </c>
      <c r="S55" s="0" t="e">
        <f aca="false">Cp($P$7:$Q$146,2,$J$7,P55)</f>
        <v>#VALUE!</v>
      </c>
      <c r="T55" s="0" t="e">
        <f aca="false">S55/(SQRT(1-$N$7^2)+(S55/2)*(1-SQRT(1-$N$7^2)))</f>
        <v>#VALUE!</v>
      </c>
      <c r="V55" s="0" t="e">
        <f aca="false">$J$7*(Q55*(Q56-Q54)*T55/(P56-P54))</f>
        <v>#VALUE!</v>
      </c>
    </row>
    <row r="56" customFormat="false" ht="12.75" hidden="false" customHeight="false" outlineLevel="0" collapsed="false">
      <c r="O56" s="0" t="n">
        <f aca="false">O55+1</f>
        <v>50</v>
      </c>
      <c r="P56" s="21" t="n">
        <f aca="false">P55+$J$7</f>
        <v>49</v>
      </c>
      <c r="Q56" s="21" t="n">
        <f aca="false">IF(P56&lt;$M$7+$J$7,rB($M$7,$K$7,P56),$L$7)</f>
        <v>3.125</v>
      </c>
      <c r="R56" s="0" t="n">
        <f aca="false">P56</f>
        <v>49</v>
      </c>
      <c r="S56" s="0" t="e">
        <f aca="false">Cp($P$7:$Q$146,2,$J$7,P56)</f>
        <v>#VALUE!</v>
      </c>
      <c r="T56" s="0" t="e">
        <f aca="false">S56/(SQRT(1-$N$7^2)+(S56/2)*(1-SQRT(1-$N$7^2)))</f>
        <v>#VALUE!</v>
      </c>
      <c r="V56" s="0" t="e">
        <f aca="false">$J$7*(Q56*(Q57-Q55)*T56/(P57-P55))</f>
        <v>#VALUE!</v>
      </c>
    </row>
    <row r="57" customFormat="false" ht="12.75" hidden="false" customHeight="false" outlineLevel="0" collapsed="false">
      <c r="O57" s="0" t="n">
        <f aca="false">O56+1</f>
        <v>51</v>
      </c>
      <c r="P57" s="21" t="n">
        <f aca="false">P56+$J$7</f>
        <v>50</v>
      </c>
      <c r="Q57" s="21" t="n">
        <f aca="false">IF(P57&lt;$M$7+$J$7,rB($M$7,$K$7,P57),$L$7)</f>
        <v>3.125</v>
      </c>
      <c r="R57" s="0" t="n">
        <f aca="false">P57</f>
        <v>50</v>
      </c>
      <c r="S57" s="0" t="e">
        <f aca="false">Cp($P$7:$Q$146,2,$J$7,P57)</f>
        <v>#VALUE!</v>
      </c>
      <c r="T57" s="0" t="e">
        <f aca="false">S57/(SQRT(1-$N$7^2)+(S57/2)*(1-SQRT(1-$N$7^2)))</f>
        <v>#VALUE!</v>
      </c>
      <c r="V57" s="0" t="e">
        <f aca="false">$J$7*(Q57*(Q58-Q56)*T57/(P58-P56))</f>
        <v>#VALUE!</v>
      </c>
    </row>
    <row r="58" customFormat="false" ht="12.75" hidden="false" customHeight="false" outlineLevel="0" collapsed="false">
      <c r="O58" s="0" t="n">
        <f aca="false">O57+1</f>
        <v>52</v>
      </c>
      <c r="P58" s="21" t="n">
        <f aca="false">P57+$J$7</f>
        <v>51</v>
      </c>
      <c r="Q58" s="21" t="n">
        <f aca="false">IF(P58&lt;$M$7+$J$7,rB($M$7,$K$7,P58),$L$7)</f>
        <v>3.125</v>
      </c>
      <c r="R58" s="0" t="n">
        <f aca="false">P58</f>
        <v>51</v>
      </c>
      <c r="S58" s="0" t="e">
        <f aca="false">Cp($P$7:$Q$146,2,$J$7,P58)</f>
        <v>#VALUE!</v>
      </c>
      <c r="T58" s="0" t="e">
        <f aca="false">S58/(SQRT(1-$N$7^2)+(S58/2)*(1-SQRT(1-$N$7^2)))</f>
        <v>#VALUE!</v>
      </c>
      <c r="V58" s="0" t="e">
        <f aca="false">$J$7*(Q58*(Q59-Q57)*T58/(P59-P57))</f>
        <v>#VALUE!</v>
      </c>
    </row>
    <row r="59" customFormat="false" ht="12.75" hidden="false" customHeight="false" outlineLevel="0" collapsed="false">
      <c r="O59" s="0" t="n">
        <f aca="false">O58+1</f>
        <v>53</v>
      </c>
      <c r="P59" s="21" t="n">
        <f aca="false">P58+$J$7</f>
        <v>52</v>
      </c>
      <c r="Q59" s="21" t="n">
        <f aca="false">IF(P59&lt;$M$7+$J$7,rB($M$7,$K$7,P59),$L$7)</f>
        <v>3.125</v>
      </c>
      <c r="R59" s="0" t="n">
        <f aca="false">P59</f>
        <v>52</v>
      </c>
      <c r="S59" s="0" t="e">
        <f aca="false">Cp($P$7:$Q$146,2,$J$7,P59)</f>
        <v>#VALUE!</v>
      </c>
      <c r="T59" s="0" t="e">
        <f aca="false">S59/(SQRT(1-$N$7^2)+(S59/2)*(1-SQRT(1-$N$7^2)))</f>
        <v>#VALUE!</v>
      </c>
      <c r="V59" s="0" t="e">
        <f aca="false">$J$7*(Q59*(Q60-Q58)*T59/(P60-P58))</f>
        <v>#VALUE!</v>
      </c>
    </row>
    <row r="60" customFormat="false" ht="12.75" hidden="false" customHeight="false" outlineLevel="0" collapsed="false">
      <c r="O60" s="0" t="n">
        <f aca="false">O59+1</f>
        <v>54</v>
      </c>
      <c r="P60" s="21" t="n">
        <f aca="false">P59+$J$7</f>
        <v>53</v>
      </c>
      <c r="Q60" s="21" t="n">
        <f aca="false">IF(P60&lt;$M$7+$J$7,rB($M$7,$K$7,P60),$L$7)</f>
        <v>3.125</v>
      </c>
      <c r="R60" s="0" t="n">
        <f aca="false">P60</f>
        <v>53</v>
      </c>
      <c r="S60" s="0" t="e">
        <f aca="false">Cp($P$7:$Q$146,2,$J$7,P60)</f>
        <v>#VALUE!</v>
      </c>
      <c r="T60" s="0" t="e">
        <f aca="false">S60/(SQRT(1-$N$7^2)+(S60/2)*(1-SQRT(1-$N$7^2)))</f>
        <v>#VALUE!</v>
      </c>
      <c r="V60" s="0" t="e">
        <f aca="false">$J$7*(Q60*(Q61-Q59)*T60/(P61-P59))</f>
        <v>#VALUE!</v>
      </c>
    </row>
    <row r="61" customFormat="false" ht="12.75" hidden="false" customHeight="false" outlineLevel="0" collapsed="false">
      <c r="O61" s="0" t="n">
        <f aca="false">O60+1</f>
        <v>55</v>
      </c>
      <c r="P61" s="21" t="n">
        <f aca="false">P60+$J$7</f>
        <v>54</v>
      </c>
      <c r="Q61" s="21" t="n">
        <f aca="false">IF(P61&lt;$M$7+$J$7,rB($M$7,$K$7,P61),$L$7)</f>
        <v>3.125</v>
      </c>
      <c r="R61" s="0" t="n">
        <f aca="false">P61</f>
        <v>54</v>
      </c>
      <c r="S61" s="0" t="e">
        <f aca="false">Cp($P$7:$Q$146,2,$J$7,P61)</f>
        <v>#VALUE!</v>
      </c>
      <c r="T61" s="0" t="e">
        <f aca="false">S61/(SQRT(1-$N$7^2)+(S61/2)*(1-SQRT(1-$N$7^2)))</f>
        <v>#VALUE!</v>
      </c>
      <c r="V61" s="0" t="e">
        <f aca="false">$J$7*(Q61*(Q62-Q60)*T61/(P62-P60))</f>
        <v>#VALUE!</v>
      </c>
    </row>
    <row r="62" customFormat="false" ht="12.75" hidden="false" customHeight="false" outlineLevel="0" collapsed="false">
      <c r="O62" s="0" t="n">
        <f aca="false">O61+1</f>
        <v>56</v>
      </c>
      <c r="P62" s="21" t="n">
        <f aca="false">P61+$J$7</f>
        <v>55</v>
      </c>
      <c r="Q62" s="21" t="n">
        <f aca="false">IF(P62&lt;$M$7+$J$7,rB($M$7,$K$7,P62),$L$7)</f>
        <v>3.125</v>
      </c>
      <c r="R62" s="0" t="n">
        <f aca="false">P62</f>
        <v>55</v>
      </c>
      <c r="S62" s="0" t="e">
        <f aca="false">Cp($P$7:$Q$146,2,$J$7,P62)</f>
        <v>#VALUE!</v>
      </c>
      <c r="T62" s="0" t="e">
        <f aca="false">S62/(SQRT(1-$N$7^2)+(S62/2)*(1-SQRT(1-$N$7^2)))</f>
        <v>#VALUE!</v>
      </c>
      <c r="V62" s="0" t="e">
        <f aca="false">$J$7*(Q62*(Q63-Q61)*T62/(P63-P61))</f>
        <v>#VALUE!</v>
      </c>
    </row>
    <row r="63" customFormat="false" ht="12.75" hidden="false" customHeight="false" outlineLevel="0" collapsed="false">
      <c r="O63" s="0" t="n">
        <f aca="false">O62+1</f>
        <v>57</v>
      </c>
      <c r="P63" s="21" t="n">
        <f aca="false">P62+$J$7</f>
        <v>56</v>
      </c>
      <c r="Q63" s="21" t="n">
        <f aca="false">IF(P63&lt;$M$7+$J$7,rB($M$7,$K$7,P63),$L$7)</f>
        <v>3.125</v>
      </c>
      <c r="R63" s="0" t="n">
        <f aca="false">P63</f>
        <v>56</v>
      </c>
      <c r="S63" s="0" t="e">
        <f aca="false">Cp($P$7:$Q$146,2,$J$7,P63)</f>
        <v>#VALUE!</v>
      </c>
      <c r="T63" s="0" t="e">
        <f aca="false">S63/(SQRT(1-$N$7^2)+(S63/2)*(1-SQRT(1-$N$7^2)))</f>
        <v>#VALUE!</v>
      </c>
      <c r="V63" s="0" t="e">
        <f aca="false">$J$7*(Q63*(Q64-Q62)*T63/(P64-P62))</f>
        <v>#VALUE!</v>
      </c>
    </row>
    <row r="64" customFormat="false" ht="12.75" hidden="false" customHeight="false" outlineLevel="0" collapsed="false">
      <c r="O64" s="0" t="n">
        <f aca="false">O63+1</f>
        <v>58</v>
      </c>
      <c r="P64" s="21" t="n">
        <f aca="false">P63+$J$7</f>
        <v>57</v>
      </c>
      <c r="Q64" s="21" t="n">
        <f aca="false">IF(P64&lt;$M$7+$J$7,rB($M$7,$K$7,P64),$L$7)</f>
        <v>3.125</v>
      </c>
      <c r="R64" s="0" t="n">
        <f aca="false">P64</f>
        <v>57</v>
      </c>
      <c r="S64" s="0" t="e">
        <f aca="false">Cp($P$7:$Q$146,2,$J$7,P64)</f>
        <v>#VALUE!</v>
      </c>
      <c r="T64" s="0" t="e">
        <f aca="false">S64/(SQRT(1-$N$7^2)+(S64/2)*(1-SQRT(1-$N$7^2)))</f>
        <v>#VALUE!</v>
      </c>
      <c r="V64" s="0" t="e">
        <f aca="false">$J$7*(Q64*(Q65-Q63)*T64/(P65-P63))</f>
        <v>#VALUE!</v>
      </c>
    </row>
    <row r="65" customFormat="false" ht="12.75" hidden="false" customHeight="false" outlineLevel="0" collapsed="false">
      <c r="O65" s="0" t="n">
        <f aca="false">O64+1</f>
        <v>59</v>
      </c>
      <c r="P65" s="21" t="n">
        <f aca="false">P64+$J$7</f>
        <v>58</v>
      </c>
      <c r="Q65" s="21" t="n">
        <f aca="false">IF(P65&lt;$M$7+$J$7,rB($M$7,$K$7,P65),$L$7)</f>
        <v>3.125</v>
      </c>
      <c r="R65" s="0" t="n">
        <f aca="false">P65</f>
        <v>58</v>
      </c>
      <c r="S65" s="0" t="e">
        <f aca="false">Cp($P$7:$Q$146,2,$J$7,P65)</f>
        <v>#VALUE!</v>
      </c>
      <c r="T65" s="0" t="e">
        <f aca="false">S65/(SQRT(1-$N$7^2)+(S65/2)*(1-SQRT(1-$N$7^2)))</f>
        <v>#VALUE!</v>
      </c>
      <c r="V65" s="0" t="e">
        <f aca="false">$J$7*(Q65*(Q66-Q64)*T65/(P66-P64))</f>
        <v>#VALUE!</v>
      </c>
    </row>
    <row r="66" customFormat="false" ht="12.75" hidden="false" customHeight="false" outlineLevel="0" collapsed="false">
      <c r="O66" s="0" t="n">
        <f aca="false">O65+1</f>
        <v>60</v>
      </c>
      <c r="P66" s="21" t="n">
        <f aca="false">P65+$J$7</f>
        <v>59</v>
      </c>
      <c r="Q66" s="21" t="n">
        <f aca="false">IF(P66&lt;$M$7+$J$7,rB($M$7,$K$7,P66),$L$7)</f>
        <v>3.125</v>
      </c>
      <c r="R66" s="0" t="n">
        <f aca="false">P66</f>
        <v>59</v>
      </c>
      <c r="S66" s="0" t="e">
        <f aca="false">Cp($P$7:$Q$146,2,$J$7,P66)</f>
        <v>#VALUE!</v>
      </c>
      <c r="T66" s="0" t="e">
        <f aca="false">S66/(SQRT(1-$N$7^2)+(S66/2)*(1-SQRT(1-$N$7^2)))</f>
        <v>#VALUE!</v>
      </c>
      <c r="V66" s="0" t="e">
        <f aca="false">$J$7*(Q66*(Q67-Q65)*T66/(P67-P65))</f>
        <v>#VALUE!</v>
      </c>
    </row>
    <row r="67" customFormat="false" ht="12.75" hidden="false" customHeight="false" outlineLevel="0" collapsed="false">
      <c r="O67" s="0" t="n">
        <f aca="false">O66+1</f>
        <v>61</v>
      </c>
      <c r="P67" s="21" t="n">
        <f aca="false">P66+$J$7</f>
        <v>60</v>
      </c>
      <c r="Q67" s="21" t="n">
        <f aca="false">IF(P67&lt;$M$7+$J$7,rB($M$7,$K$7,P67),$L$7)</f>
        <v>3.125</v>
      </c>
      <c r="R67" s="0" t="n">
        <f aca="false">P67</f>
        <v>60</v>
      </c>
      <c r="S67" s="0" t="e">
        <f aca="false">Cp($P$7:$Q$146,2,$J$7,P67)</f>
        <v>#VALUE!</v>
      </c>
      <c r="T67" s="0" t="e">
        <f aca="false">S67/(SQRT(1-$N$7^2)+(S67/2)*(1-SQRT(1-$N$7^2)))</f>
        <v>#VALUE!</v>
      </c>
      <c r="V67" s="0" t="e">
        <f aca="false">$J$7*(Q67*(Q68-Q66)*T67/(P68-P66))</f>
        <v>#VALUE!</v>
      </c>
    </row>
    <row r="68" customFormat="false" ht="12.75" hidden="false" customHeight="false" outlineLevel="0" collapsed="false">
      <c r="O68" s="0" t="n">
        <f aca="false">O67+1</f>
        <v>62</v>
      </c>
      <c r="P68" s="21" t="n">
        <f aca="false">P67+$J$7</f>
        <v>61</v>
      </c>
      <c r="Q68" s="21" t="n">
        <f aca="false">IF(P68&lt;$M$7+$J$7,rB($M$7,$K$7,P68),$L$7)</f>
        <v>3.125</v>
      </c>
      <c r="R68" s="0" t="n">
        <f aca="false">P68</f>
        <v>61</v>
      </c>
      <c r="S68" s="0" t="e">
        <f aca="false">Cp($P$7:$Q$146,2,$J$7,P68)</f>
        <v>#VALUE!</v>
      </c>
      <c r="T68" s="0" t="e">
        <f aca="false">S68/(SQRT(1-$N$7^2)+(S68/2)*(1-SQRT(1-$N$7^2)))</f>
        <v>#VALUE!</v>
      </c>
      <c r="V68" s="0" t="e">
        <f aca="false">$J$7*(Q68*(Q69-Q67)*T68/(P69-P67))</f>
        <v>#VALUE!</v>
      </c>
    </row>
    <row r="69" customFormat="false" ht="12.75" hidden="false" customHeight="false" outlineLevel="0" collapsed="false">
      <c r="O69" s="0" t="n">
        <f aca="false">O68+1</f>
        <v>63</v>
      </c>
      <c r="P69" s="21" t="n">
        <f aca="false">P68+$J$7</f>
        <v>62</v>
      </c>
      <c r="Q69" s="21" t="n">
        <f aca="false">IF(P69&lt;$M$7+$J$7,rB($M$7,$K$7,P69),$L$7)</f>
        <v>3.125</v>
      </c>
      <c r="R69" s="0" t="n">
        <f aca="false">P69</f>
        <v>62</v>
      </c>
      <c r="S69" s="0" t="e">
        <f aca="false">Cp($P$7:$Q$146,2,$J$7,P69)</f>
        <v>#VALUE!</v>
      </c>
      <c r="T69" s="0" t="e">
        <f aca="false">S69/(SQRT(1-$N$7^2)+(S69/2)*(1-SQRT(1-$N$7^2)))</f>
        <v>#VALUE!</v>
      </c>
      <c r="V69" s="0" t="e">
        <f aca="false">$J$7*(Q69*(Q70-Q68)*T69/(P70-P68))</f>
        <v>#VALUE!</v>
      </c>
    </row>
    <row r="70" customFormat="false" ht="12.75" hidden="false" customHeight="false" outlineLevel="0" collapsed="false">
      <c r="O70" s="0" t="n">
        <f aca="false">O69+1</f>
        <v>64</v>
      </c>
      <c r="P70" s="21" t="n">
        <f aca="false">P69+$J$7</f>
        <v>63</v>
      </c>
      <c r="Q70" s="21" t="n">
        <f aca="false">IF(P70&lt;$M$7+$J$7,rB($M$7,$K$7,P70),$L$7)</f>
        <v>3.125</v>
      </c>
      <c r="R70" s="0" t="n">
        <f aca="false">P70</f>
        <v>63</v>
      </c>
      <c r="S70" s="0" t="e">
        <f aca="false">Cp($P$7:$Q$146,2,$J$7,P70)</f>
        <v>#VALUE!</v>
      </c>
      <c r="T70" s="0" t="e">
        <f aca="false">S70/(SQRT(1-$N$7^2)+(S70/2)*(1-SQRT(1-$N$7^2)))</f>
        <v>#VALUE!</v>
      </c>
      <c r="V70" s="0" t="e">
        <f aca="false">$J$7*(Q70*(Q71-Q69)*T70/(P71-P69))</f>
        <v>#VALUE!</v>
      </c>
    </row>
    <row r="71" customFormat="false" ht="12.75" hidden="false" customHeight="false" outlineLevel="0" collapsed="false">
      <c r="O71" s="0" t="n">
        <f aca="false">O70+1</f>
        <v>65</v>
      </c>
      <c r="P71" s="21" t="n">
        <f aca="false">P70+$J$7</f>
        <v>64</v>
      </c>
      <c r="Q71" s="21" t="n">
        <f aca="false">IF(P71&lt;$M$7+$J$7,rB($M$7,$K$7,P71),$L$7)</f>
        <v>3.125</v>
      </c>
      <c r="R71" s="0" t="n">
        <f aca="false">P71</f>
        <v>64</v>
      </c>
      <c r="S71" s="0" t="e">
        <f aca="false">Cp($P$7:$Q$146,2,$J$7,P71)</f>
        <v>#VALUE!</v>
      </c>
      <c r="T71" s="0" t="e">
        <f aca="false">S71/(SQRT(1-$N$7^2)+(S71/2)*(1-SQRT(1-$N$7^2)))</f>
        <v>#VALUE!</v>
      </c>
      <c r="V71" s="0" t="e">
        <f aca="false">$J$7*(Q71*(Q72-Q70)*T71/(P72-P70))</f>
        <v>#VALUE!</v>
      </c>
    </row>
    <row r="72" customFormat="false" ht="12.75" hidden="false" customHeight="false" outlineLevel="0" collapsed="false">
      <c r="O72" s="0" t="n">
        <f aca="false">O71+1</f>
        <v>66</v>
      </c>
      <c r="P72" s="21" t="n">
        <f aca="false">P71+$J$7</f>
        <v>65</v>
      </c>
      <c r="Q72" s="21" t="n">
        <f aca="false">IF(P72&lt;$M$7+$J$7,rB($M$7,$K$7,P72),$L$7)</f>
        <v>3.125</v>
      </c>
      <c r="R72" s="0" t="n">
        <f aca="false">P72</f>
        <v>65</v>
      </c>
      <c r="S72" s="0" t="e">
        <f aca="false">Cp($P$7:$Q$146,2,$J$7,P72)</f>
        <v>#VALUE!</v>
      </c>
      <c r="T72" s="0" t="e">
        <f aca="false">S72/(SQRT(1-$N$7^2)+(S72/2)*(1-SQRT(1-$N$7^2)))</f>
        <v>#VALUE!</v>
      </c>
      <c r="V72" s="0" t="e">
        <f aca="false">$J$7*(Q72*(Q73-Q71)*T72/(P73-P71))</f>
        <v>#VALUE!</v>
      </c>
    </row>
    <row r="73" customFormat="false" ht="12.75" hidden="false" customHeight="false" outlineLevel="0" collapsed="false">
      <c r="O73" s="0" t="n">
        <f aca="false">O72+1</f>
        <v>67</v>
      </c>
      <c r="P73" s="21" t="n">
        <f aca="false">P72+$J$7</f>
        <v>66</v>
      </c>
      <c r="Q73" s="21" t="n">
        <f aca="false">IF(P73&lt;$M$7+$J$7,rB($M$7,$K$7,P73),$L$7)</f>
        <v>3.125</v>
      </c>
      <c r="R73" s="0" t="n">
        <f aca="false">P73</f>
        <v>66</v>
      </c>
      <c r="S73" s="0" t="e">
        <f aca="false">Cp($P$7:$Q$146,2,$J$7,P73)</f>
        <v>#VALUE!</v>
      </c>
      <c r="T73" s="0" t="e">
        <f aca="false">S73/(SQRT(1-$N$7^2)+(S73/2)*(1-SQRT(1-$N$7^2)))</f>
        <v>#VALUE!</v>
      </c>
      <c r="V73" s="0" t="e">
        <f aca="false">$J$7*(Q73*(Q74-Q72)*T73/(P74-P72))</f>
        <v>#VALUE!</v>
      </c>
    </row>
    <row r="74" customFormat="false" ht="12.75" hidden="false" customHeight="false" outlineLevel="0" collapsed="false">
      <c r="O74" s="0" t="n">
        <f aca="false">O73+1</f>
        <v>68</v>
      </c>
      <c r="P74" s="21" t="n">
        <f aca="false">P73+$J$7</f>
        <v>67</v>
      </c>
      <c r="Q74" s="21" t="n">
        <f aca="false">IF(P74&lt;$M$7+$J$7,rB($M$7,$K$7,P74),$L$7)</f>
        <v>3.125</v>
      </c>
      <c r="R74" s="0" t="n">
        <f aca="false">P74</f>
        <v>67</v>
      </c>
      <c r="S74" s="0" t="e">
        <f aca="false">Cp($P$7:$Q$146,2,$J$7,P74)</f>
        <v>#VALUE!</v>
      </c>
      <c r="T74" s="0" t="e">
        <f aca="false">S74/(SQRT(1-$N$7^2)+(S74/2)*(1-SQRT(1-$N$7^2)))</f>
        <v>#VALUE!</v>
      </c>
      <c r="V74" s="0" t="e">
        <f aca="false">$J$7*(Q74*(Q75-Q73)*T74/(P75-P73))</f>
        <v>#VALUE!</v>
      </c>
    </row>
    <row r="75" customFormat="false" ht="12.75" hidden="false" customHeight="false" outlineLevel="0" collapsed="false">
      <c r="O75" s="0" t="n">
        <f aca="false">O74+1</f>
        <v>69</v>
      </c>
      <c r="P75" s="21" t="n">
        <f aca="false">P74+$J$7</f>
        <v>68</v>
      </c>
      <c r="Q75" s="21" t="n">
        <f aca="false">IF(P75&lt;$M$7+$J$7,rB($M$7,$K$7,P75),$L$7)</f>
        <v>3.125</v>
      </c>
      <c r="R75" s="0" t="n">
        <f aca="false">P75</f>
        <v>68</v>
      </c>
      <c r="S75" s="0" t="e">
        <f aca="false">Cp($P$7:$Q$146,2,$J$7,P75)</f>
        <v>#VALUE!</v>
      </c>
      <c r="T75" s="0" t="e">
        <f aca="false">S75/(SQRT(1-$N$7^2)+(S75/2)*(1-SQRT(1-$N$7^2)))</f>
        <v>#VALUE!</v>
      </c>
      <c r="V75" s="0" t="e">
        <f aca="false">$J$7*(Q75*(Q76-Q74)*T75/(P76-P74))</f>
        <v>#VALUE!</v>
      </c>
    </row>
    <row r="76" customFormat="false" ht="12.75" hidden="false" customHeight="false" outlineLevel="0" collapsed="false">
      <c r="O76" s="0" t="n">
        <f aca="false">O75+1</f>
        <v>70</v>
      </c>
      <c r="P76" s="21" t="n">
        <f aca="false">P75+$J$7</f>
        <v>69</v>
      </c>
      <c r="Q76" s="21" t="n">
        <f aca="false">IF(P76&lt;$M$7+$J$7,rB($M$7,$K$7,P76),$L$7)</f>
        <v>3.125</v>
      </c>
      <c r="R76" s="0" t="n">
        <f aca="false">P76</f>
        <v>69</v>
      </c>
      <c r="S76" s="0" t="e">
        <f aca="false">Cp($P$7:$Q$146,2,$J$7,P76)</f>
        <v>#VALUE!</v>
      </c>
      <c r="T76" s="0" t="e">
        <f aca="false">S76/(SQRT(1-$N$7^2)+(S76/2)*(1-SQRT(1-$N$7^2)))</f>
        <v>#VALUE!</v>
      </c>
      <c r="V76" s="0" t="e">
        <f aca="false">$J$7*(Q76*(Q77-Q75)*T76/(P77-P75))</f>
        <v>#VALUE!</v>
      </c>
    </row>
    <row r="77" customFormat="false" ht="12.75" hidden="false" customHeight="false" outlineLevel="0" collapsed="false">
      <c r="O77" s="0" t="n">
        <f aca="false">O76+1</f>
        <v>71</v>
      </c>
      <c r="P77" s="21" t="n">
        <f aca="false">P76+$J$7</f>
        <v>70</v>
      </c>
      <c r="Q77" s="21" t="n">
        <f aca="false">IF(P77&lt;$M$7+$J$7,rB($M$7,$K$7,P77),$L$7)</f>
        <v>3.125</v>
      </c>
      <c r="R77" s="0" t="n">
        <f aca="false">P77</f>
        <v>70</v>
      </c>
      <c r="S77" s="0" t="e">
        <f aca="false">Cp($P$7:$Q$146,2,$J$7,P77)</f>
        <v>#VALUE!</v>
      </c>
      <c r="T77" s="0" t="e">
        <f aca="false">S77/(SQRT(1-$N$7^2)+(S77/2)*(1-SQRT(1-$N$7^2)))</f>
        <v>#VALUE!</v>
      </c>
      <c r="V77" s="0" t="e">
        <f aca="false">$J$7*(Q77*(Q78-Q76)*T77/(P78-P76))</f>
        <v>#VALUE!</v>
      </c>
    </row>
    <row r="78" customFormat="false" ht="12.75" hidden="false" customHeight="false" outlineLevel="0" collapsed="false">
      <c r="O78" s="0" t="n">
        <f aca="false">O77+1</f>
        <v>72</v>
      </c>
      <c r="P78" s="21" t="n">
        <f aca="false">P77+$J$7</f>
        <v>71</v>
      </c>
      <c r="Q78" s="21" t="n">
        <f aca="false">IF(P78&lt;$M$7+$J$7,rB($M$7,$K$7,P78),$L$7)</f>
        <v>3.125</v>
      </c>
      <c r="R78" s="0" t="n">
        <f aca="false">P78</f>
        <v>71</v>
      </c>
      <c r="S78" s="0" t="e">
        <f aca="false">Cp($P$7:$Q$146,2,$J$7,P78)</f>
        <v>#VALUE!</v>
      </c>
      <c r="T78" s="0" t="e">
        <f aca="false">S78/(SQRT(1-$N$7^2)+(S78/2)*(1-SQRT(1-$N$7^2)))</f>
        <v>#VALUE!</v>
      </c>
      <c r="V78" s="0" t="e">
        <f aca="false">$J$7*(Q78*(Q79-Q77)*T78/(P79-P77))</f>
        <v>#VALUE!</v>
      </c>
    </row>
    <row r="79" customFormat="false" ht="12.75" hidden="false" customHeight="false" outlineLevel="0" collapsed="false">
      <c r="O79" s="0" t="n">
        <f aca="false">O78+1</f>
        <v>73</v>
      </c>
      <c r="P79" s="21" t="n">
        <f aca="false">P78+$J$7</f>
        <v>72</v>
      </c>
      <c r="Q79" s="21" t="n">
        <f aca="false">IF(P79&lt;$M$7+$J$7,rB($M$7,$K$7,P79),$L$7)</f>
        <v>3.125</v>
      </c>
      <c r="R79" s="0" t="n">
        <f aca="false">P79</f>
        <v>72</v>
      </c>
      <c r="S79" s="0" t="e">
        <f aca="false">Cp($P$7:$Q$146,2,$J$7,P79)</f>
        <v>#VALUE!</v>
      </c>
      <c r="T79" s="0" t="e">
        <f aca="false">S79/(SQRT(1-$N$7^2)+(S79/2)*(1-SQRT(1-$N$7^2)))</f>
        <v>#VALUE!</v>
      </c>
      <c r="V79" s="0" t="e">
        <f aca="false">$J$7*(Q79*(Q80-Q78)*T79/(P80-P78))</f>
        <v>#VALUE!</v>
      </c>
    </row>
    <row r="80" customFormat="false" ht="12.75" hidden="false" customHeight="false" outlineLevel="0" collapsed="false">
      <c r="O80" s="0" t="n">
        <f aca="false">O79+1</f>
        <v>74</v>
      </c>
      <c r="P80" s="21" t="n">
        <f aca="false">P79+$J$7</f>
        <v>73</v>
      </c>
      <c r="Q80" s="21" t="n">
        <f aca="false">IF(P80&lt;$M$7+$J$7,rB($M$7,$K$7,P80),$L$7)</f>
        <v>3.125</v>
      </c>
      <c r="R80" s="0" t="n">
        <f aca="false">P80</f>
        <v>73</v>
      </c>
      <c r="S80" s="0" t="e">
        <f aca="false">Cp($P$7:$Q$146,2,$J$7,P80)</f>
        <v>#VALUE!</v>
      </c>
      <c r="T80" s="0" t="e">
        <f aca="false">S80/(SQRT(1-$N$7^2)+(S80/2)*(1-SQRT(1-$N$7^2)))</f>
        <v>#VALUE!</v>
      </c>
      <c r="V80" s="0" t="e">
        <f aca="false">$J$7*(Q80*(Q81-Q79)*T80/(P81-P79))</f>
        <v>#VALUE!</v>
      </c>
    </row>
    <row r="81" customFormat="false" ht="12.75" hidden="false" customHeight="false" outlineLevel="0" collapsed="false">
      <c r="O81" s="0" t="n">
        <f aca="false">O80+1</f>
        <v>75</v>
      </c>
      <c r="P81" s="21" t="n">
        <f aca="false">P80+$J$7</f>
        <v>74</v>
      </c>
      <c r="Q81" s="21" t="n">
        <f aca="false">IF(P81&lt;$M$7+$J$7,rB($M$7,$K$7,P81),$L$7)</f>
        <v>3.125</v>
      </c>
      <c r="R81" s="0" t="n">
        <f aca="false">P81</f>
        <v>74</v>
      </c>
      <c r="S81" s="0" t="e">
        <f aca="false">Cp($P$7:$Q$146,2,$J$7,P81)</f>
        <v>#VALUE!</v>
      </c>
      <c r="T81" s="0" t="e">
        <f aca="false">S81/(SQRT(1-$N$7^2)+(S81/2)*(1-SQRT(1-$N$7^2)))</f>
        <v>#VALUE!</v>
      </c>
      <c r="V81" s="0" t="e">
        <f aca="false">$J$7*(Q81*(Q82-Q80)*T81/(P82-P80))</f>
        <v>#VALUE!</v>
      </c>
    </row>
    <row r="82" customFormat="false" ht="12.75" hidden="false" customHeight="false" outlineLevel="0" collapsed="false">
      <c r="O82" s="0" t="n">
        <f aca="false">O81+1</f>
        <v>76</v>
      </c>
      <c r="P82" s="21" t="n">
        <f aca="false">P81+$J$7</f>
        <v>75</v>
      </c>
      <c r="Q82" s="21" t="n">
        <f aca="false">IF(P82&lt;$M$7+$J$7,rB($M$7,$K$7,P82),$L$7)</f>
        <v>3.125</v>
      </c>
      <c r="R82" s="0" t="n">
        <f aca="false">P82</f>
        <v>75</v>
      </c>
      <c r="S82" s="0" t="e">
        <f aca="false">Cp($P$7:$Q$146,2,$J$7,P82)</f>
        <v>#VALUE!</v>
      </c>
      <c r="T82" s="0" t="e">
        <f aca="false">S82/(SQRT(1-$N$7^2)+(S82/2)*(1-SQRT(1-$N$7^2)))</f>
        <v>#VALUE!</v>
      </c>
      <c r="V82" s="0" t="e">
        <f aca="false">$J$7*(Q82*(Q83-Q81)*T82/(P83-P81))</f>
        <v>#VALUE!</v>
      </c>
    </row>
    <row r="83" customFormat="false" ht="12.75" hidden="false" customHeight="false" outlineLevel="0" collapsed="false">
      <c r="O83" s="0" t="n">
        <f aca="false">O82+1</f>
        <v>77</v>
      </c>
      <c r="P83" s="21" t="n">
        <f aca="false">P82+$J$7</f>
        <v>76</v>
      </c>
      <c r="Q83" s="21" t="n">
        <f aca="false">IF(P83&lt;$M$7+$J$7,rB($M$7,$K$7,P83),$L$7)</f>
        <v>3.125</v>
      </c>
      <c r="R83" s="0" t="n">
        <f aca="false">P83</f>
        <v>76</v>
      </c>
      <c r="S83" s="0" t="e">
        <f aca="false">Cp($P$7:$Q$146,2,$J$7,P83)</f>
        <v>#VALUE!</v>
      </c>
      <c r="T83" s="0" t="e">
        <f aca="false">S83/(SQRT(1-$N$7^2)+(S83/2)*(1-SQRT(1-$N$7^2)))</f>
        <v>#VALUE!</v>
      </c>
      <c r="V83" s="0" t="e">
        <f aca="false">$J$7*(Q83*(Q84-Q82)*T83/(P84-P82))</f>
        <v>#VALUE!</v>
      </c>
    </row>
    <row r="84" customFormat="false" ht="12.75" hidden="false" customHeight="false" outlineLevel="0" collapsed="false">
      <c r="O84" s="0" t="n">
        <f aca="false">O83+1</f>
        <v>78</v>
      </c>
      <c r="P84" s="21" t="n">
        <f aca="false">P83+$J$7</f>
        <v>77</v>
      </c>
      <c r="Q84" s="21" t="n">
        <f aca="false">IF(P84&lt;$M$7+$J$7,rB($M$7,$K$7,P84),$L$7)</f>
        <v>3.125</v>
      </c>
      <c r="R84" s="0" t="n">
        <f aca="false">P84</f>
        <v>77</v>
      </c>
      <c r="S84" s="0" t="e">
        <f aca="false">Cp($P$7:$Q$146,2,$J$7,P84)</f>
        <v>#VALUE!</v>
      </c>
      <c r="T84" s="0" t="e">
        <f aca="false">S84/(SQRT(1-$N$7^2)+(S84/2)*(1-SQRT(1-$N$7^2)))</f>
        <v>#VALUE!</v>
      </c>
      <c r="V84" s="0" t="e">
        <f aca="false">$J$7*(Q84*(Q85-Q83)*T84/(P85-P83))</f>
        <v>#VALUE!</v>
      </c>
    </row>
    <row r="85" customFormat="false" ht="12.75" hidden="false" customHeight="false" outlineLevel="0" collapsed="false">
      <c r="O85" s="0" t="n">
        <f aca="false">O84+1</f>
        <v>79</v>
      </c>
      <c r="P85" s="21" t="n">
        <f aca="false">P84+$J$7</f>
        <v>78</v>
      </c>
      <c r="Q85" s="21" t="n">
        <f aca="false">IF(P85&lt;$M$7+$J$7,rB($M$7,$K$7,P85),$L$7)</f>
        <v>3.125</v>
      </c>
      <c r="R85" s="0" t="n">
        <f aca="false">P85</f>
        <v>78</v>
      </c>
      <c r="S85" s="0" t="e">
        <f aca="false">Cp($P$7:$Q$146,2,$J$7,P85)</f>
        <v>#VALUE!</v>
      </c>
      <c r="T85" s="0" t="e">
        <f aca="false">S85/(SQRT(1-$N$7^2)+(S85/2)*(1-SQRT(1-$N$7^2)))</f>
        <v>#VALUE!</v>
      </c>
      <c r="V85" s="0" t="e">
        <f aca="false">$J$7*(Q85*(Q86-Q84)*T85/(P86-P84))</f>
        <v>#VALUE!</v>
      </c>
    </row>
    <row r="86" customFormat="false" ht="12.75" hidden="false" customHeight="false" outlineLevel="0" collapsed="false">
      <c r="O86" s="0" t="n">
        <f aca="false">O85+1</f>
        <v>80</v>
      </c>
      <c r="P86" s="21" t="n">
        <f aca="false">P85+$J$7</f>
        <v>79</v>
      </c>
      <c r="Q86" s="21" t="n">
        <f aca="false">IF(P86&lt;$M$7+$J$7,rB($M$7,$K$7,P86),$L$7)</f>
        <v>3.125</v>
      </c>
      <c r="R86" s="0" t="n">
        <f aca="false">P86</f>
        <v>79</v>
      </c>
      <c r="S86" s="0" t="e">
        <f aca="false">Cp($P$7:$Q$146,2,$J$7,P86)</f>
        <v>#VALUE!</v>
      </c>
      <c r="T86" s="0" t="e">
        <f aca="false">S86/(SQRT(1-$N$7^2)+(S86/2)*(1-SQRT(1-$N$7^2)))</f>
        <v>#VALUE!</v>
      </c>
      <c r="V86" s="0" t="e">
        <f aca="false">$J$7*(Q86*(Q87-Q85)*T86/(P87-P85))</f>
        <v>#VALUE!</v>
      </c>
    </row>
    <row r="87" customFormat="false" ht="12.75" hidden="false" customHeight="false" outlineLevel="0" collapsed="false">
      <c r="O87" s="0" t="n">
        <f aca="false">O86+1</f>
        <v>81</v>
      </c>
      <c r="P87" s="21" t="n">
        <f aca="false">P86+$J$7</f>
        <v>80</v>
      </c>
      <c r="Q87" s="21" t="n">
        <f aca="false">IF(P87&lt;$M$7+$J$7,rB($M$7,$K$7,P87),$L$7)</f>
        <v>3.125</v>
      </c>
      <c r="R87" s="0" t="n">
        <f aca="false">P87</f>
        <v>80</v>
      </c>
      <c r="S87" s="0" t="e">
        <f aca="false">Cp($P$7:$Q$146,2,$J$7,P87)</f>
        <v>#VALUE!</v>
      </c>
      <c r="T87" s="0" t="e">
        <f aca="false">S87/(SQRT(1-$N$7^2)+(S87/2)*(1-SQRT(1-$N$7^2)))</f>
        <v>#VALUE!</v>
      </c>
      <c r="V87" s="0" t="e">
        <f aca="false">$J$7*(Q87*(Q88-Q86)*T87/(P88-P86))</f>
        <v>#VALUE!</v>
      </c>
    </row>
    <row r="88" customFormat="false" ht="12.75" hidden="false" customHeight="false" outlineLevel="0" collapsed="false">
      <c r="O88" s="0" t="n">
        <f aca="false">O87+1</f>
        <v>82</v>
      </c>
      <c r="P88" s="21" t="n">
        <f aca="false">P87+$J$7</f>
        <v>81</v>
      </c>
      <c r="Q88" s="21" t="n">
        <f aca="false">IF(P88&lt;$M$7+$J$7,rB($M$7,$K$7,P88),$L$7)</f>
        <v>3.125</v>
      </c>
      <c r="R88" s="0" t="n">
        <f aca="false">P88</f>
        <v>81</v>
      </c>
      <c r="S88" s="0" t="e">
        <f aca="false">Cp($P$7:$Q$146,2,$J$7,P88)</f>
        <v>#VALUE!</v>
      </c>
      <c r="T88" s="0" t="e">
        <f aca="false">S88/(SQRT(1-$N$7^2)+(S88/2)*(1-SQRT(1-$N$7^2)))</f>
        <v>#VALUE!</v>
      </c>
      <c r="V88" s="0" t="e">
        <f aca="false">$J$7*(Q88*(Q89-Q87)*T88/(P89-P87))</f>
        <v>#VALUE!</v>
      </c>
    </row>
    <row r="89" customFormat="false" ht="12.75" hidden="false" customHeight="false" outlineLevel="0" collapsed="false">
      <c r="O89" s="0" t="n">
        <f aca="false">O88+1</f>
        <v>83</v>
      </c>
      <c r="P89" s="21" t="n">
        <f aca="false">P88+$J$7</f>
        <v>82</v>
      </c>
      <c r="Q89" s="21" t="n">
        <f aca="false">IF(P89&lt;$M$7+$J$7,rB($M$7,$K$7,P89),$L$7)</f>
        <v>3.125</v>
      </c>
      <c r="R89" s="0" t="n">
        <f aca="false">P89</f>
        <v>82</v>
      </c>
      <c r="S89" s="0" t="e">
        <f aca="false">Cp($P$7:$Q$146,2,$J$7,P89)</f>
        <v>#VALUE!</v>
      </c>
      <c r="T89" s="0" t="e">
        <f aca="false">S89/(SQRT(1-$N$7^2)+(S89/2)*(1-SQRT(1-$N$7^2)))</f>
        <v>#VALUE!</v>
      </c>
      <c r="V89" s="0" t="e">
        <f aca="false">$J$7*(Q89*(Q90-Q88)*T89/(P90-P88))</f>
        <v>#VALUE!</v>
      </c>
    </row>
    <row r="90" customFormat="false" ht="12.75" hidden="false" customHeight="false" outlineLevel="0" collapsed="false">
      <c r="O90" s="0" t="n">
        <f aca="false">O89+1</f>
        <v>84</v>
      </c>
      <c r="P90" s="21" t="n">
        <f aca="false">P89+$J$7</f>
        <v>83</v>
      </c>
      <c r="Q90" s="21" t="n">
        <f aca="false">IF(P90&lt;$M$7+$J$7,rB($M$7,$K$7,P90),$L$7)</f>
        <v>3.125</v>
      </c>
      <c r="R90" s="0" t="n">
        <f aca="false">P90</f>
        <v>83</v>
      </c>
      <c r="S90" s="0" t="e">
        <f aca="false">Cp($P$7:$Q$146,2,$J$7,P90)</f>
        <v>#VALUE!</v>
      </c>
      <c r="T90" s="0" t="e">
        <f aca="false">S90/(SQRT(1-$N$7^2)+(S90/2)*(1-SQRT(1-$N$7^2)))</f>
        <v>#VALUE!</v>
      </c>
      <c r="V90" s="0" t="e">
        <f aca="false">$J$7*(Q90*(Q91-Q89)*T90/(P91-P89))</f>
        <v>#VALUE!</v>
      </c>
    </row>
    <row r="91" customFormat="false" ht="12.75" hidden="false" customHeight="false" outlineLevel="0" collapsed="false">
      <c r="O91" s="0" t="n">
        <f aca="false">O90+1</f>
        <v>85</v>
      </c>
      <c r="P91" s="21" t="n">
        <f aca="false">P90+$J$7</f>
        <v>84</v>
      </c>
      <c r="Q91" s="21" t="n">
        <f aca="false">IF(P91&lt;$M$7+$J$7,rB($M$7,$K$7,P91),$L$7)</f>
        <v>3.125</v>
      </c>
      <c r="R91" s="0" t="n">
        <f aca="false">P91</f>
        <v>84</v>
      </c>
      <c r="S91" s="0" t="e">
        <f aca="false">Cp($P$7:$Q$146,2,$J$7,P91)</f>
        <v>#VALUE!</v>
      </c>
      <c r="T91" s="0" t="e">
        <f aca="false">S91/(SQRT(1-$N$7^2)+(S91/2)*(1-SQRT(1-$N$7^2)))</f>
        <v>#VALUE!</v>
      </c>
      <c r="V91" s="0" t="e">
        <f aca="false">$J$7*(Q91*(Q92-Q90)*T91/(P92-P90))</f>
        <v>#VALUE!</v>
      </c>
    </row>
    <row r="92" customFormat="false" ht="12.75" hidden="false" customHeight="false" outlineLevel="0" collapsed="false">
      <c r="K92" s="1" t="s">
        <v>22</v>
      </c>
      <c r="L92" s="24"/>
      <c r="M92" s="24"/>
      <c r="N92" s="25"/>
      <c r="O92" s="0" t="n">
        <f aca="false">O91+1</f>
        <v>86</v>
      </c>
      <c r="P92" s="21" t="n">
        <f aca="false">P91+$J$7</f>
        <v>85</v>
      </c>
      <c r="Q92" s="21" t="n">
        <f aca="false">IF(P92&lt;$M$7+$J$7,rB($M$7,$K$7,P92),$L$7)</f>
        <v>3.125</v>
      </c>
      <c r="R92" s="0" t="n">
        <f aca="false">P92</f>
        <v>85</v>
      </c>
      <c r="S92" s="0" t="e">
        <f aca="false">Cp($P$7:$Q$146,2,$J$7,P92)</f>
        <v>#VALUE!</v>
      </c>
      <c r="T92" s="0" t="e">
        <f aca="false">S92/(SQRT(1-$N$7^2)+(S92/2)*(1-SQRT(1-$N$7^2)))</f>
        <v>#VALUE!</v>
      </c>
      <c r="V92" s="0" t="e">
        <f aca="false">$J$7*(Q92*(Q93-Q91)*T92/(P93-P91))</f>
        <v>#VALUE!</v>
      </c>
    </row>
    <row r="93" customFormat="false" ht="12.75" hidden="false" customHeight="false" outlineLevel="0" collapsed="false">
      <c r="K93" s="5" t="s">
        <v>23</v>
      </c>
      <c r="L93" s="6"/>
      <c r="M93" s="6"/>
      <c r="N93" s="26"/>
      <c r="O93" s="0" t="n">
        <f aca="false">O92+1</f>
        <v>87</v>
      </c>
      <c r="P93" s="21" t="n">
        <f aca="false">P92+$J$7</f>
        <v>86</v>
      </c>
      <c r="Q93" s="21" t="n">
        <f aca="false">IF(P93&lt;$M$7+$J$7,rB($M$7,$K$7,P93),$L$7)</f>
        <v>3.125</v>
      </c>
      <c r="R93" s="0" t="n">
        <f aca="false">P93</f>
        <v>86</v>
      </c>
      <c r="S93" s="0" t="e">
        <f aca="false">Cp($P$7:$Q$146,2,$J$7,P93)</f>
        <v>#VALUE!</v>
      </c>
      <c r="T93" s="0" t="e">
        <f aca="false">S93/(SQRT(1-$N$7^2)+(S93/2)*(1-SQRT(1-$N$7^2)))</f>
        <v>#VALUE!</v>
      </c>
      <c r="V93" s="0" t="e">
        <f aca="false">$J$7*(Q93*(Q94-Q92)*T93/(P94-P92))</f>
        <v>#VALUE!</v>
      </c>
    </row>
    <row r="94" customFormat="false" ht="12.75" hidden="false" customHeight="false" outlineLevel="0" collapsed="false">
      <c r="K94" s="5" t="s">
        <v>24</v>
      </c>
      <c r="L94" s="6"/>
      <c r="M94" s="6"/>
      <c r="N94" s="26"/>
      <c r="O94" s="0" t="n">
        <f aca="false">O93+1</f>
        <v>88</v>
      </c>
      <c r="P94" s="21" t="n">
        <f aca="false">P93+$J$7</f>
        <v>87</v>
      </c>
      <c r="Q94" s="21" t="n">
        <f aca="false">IF(P94&lt;$M$7+$J$7,rB($M$7,$K$7,P94),$L$7)</f>
        <v>3.125</v>
      </c>
      <c r="R94" s="0" t="n">
        <f aca="false">P94</f>
        <v>87</v>
      </c>
      <c r="S94" s="0" t="e">
        <f aca="false">Cp($P$7:$Q$146,2,$J$7,P94)</f>
        <v>#VALUE!</v>
      </c>
      <c r="T94" s="0" t="e">
        <f aca="false">S94/(SQRT(1-$N$7^2)+(S94/2)*(1-SQRT(1-$N$7^2)))</f>
        <v>#VALUE!</v>
      </c>
      <c r="V94" s="0" t="e">
        <f aca="false">$J$7*(Q94*(Q95-Q93)*T94/(P95-P93))</f>
        <v>#VALUE!</v>
      </c>
    </row>
    <row r="95" customFormat="false" ht="12.75" hidden="false" customHeight="false" outlineLevel="0" collapsed="false">
      <c r="K95" s="9" t="s">
        <v>25</v>
      </c>
      <c r="L95" s="11"/>
      <c r="M95" s="11"/>
      <c r="N95" s="10"/>
      <c r="O95" s="0" t="n">
        <f aca="false">O94+1</f>
        <v>89</v>
      </c>
      <c r="P95" s="21" t="n">
        <f aca="false">P94+$J$7</f>
        <v>88</v>
      </c>
      <c r="Q95" s="21" t="n">
        <f aca="false">IF(P95&lt;$M$7+$J$7,rB($M$7,$K$7,P95),$L$7)</f>
        <v>3.125</v>
      </c>
      <c r="R95" s="0" t="n">
        <f aca="false">P95</f>
        <v>88</v>
      </c>
      <c r="S95" s="0" t="e">
        <f aca="false">Cp($P$7:$Q$146,2,$J$7,P95)</f>
        <v>#VALUE!</v>
      </c>
      <c r="T95" s="0" t="e">
        <f aca="false">S95/(SQRT(1-$N$7^2)+(S95/2)*(1-SQRT(1-$N$7^2)))</f>
        <v>#VALUE!</v>
      </c>
      <c r="V95" s="0" t="e">
        <f aca="false">$J$7*(Q95*(Q96-Q94)*T95/(P96-P94))</f>
        <v>#VALUE!</v>
      </c>
    </row>
    <row r="96" customFormat="false" ht="12.75" hidden="false" customHeight="false" outlineLevel="0" collapsed="false">
      <c r="O96" s="0" t="n">
        <f aca="false">O95+1</f>
        <v>90</v>
      </c>
      <c r="P96" s="21" t="n">
        <f aca="false">P95+$J$7</f>
        <v>89</v>
      </c>
      <c r="Q96" s="21" t="n">
        <f aca="false">IF(P96&lt;$M$7+$J$7,rB($M$7,$K$7,P96),$L$7)</f>
        <v>3.125</v>
      </c>
      <c r="R96" s="0" t="n">
        <f aca="false">P96</f>
        <v>89</v>
      </c>
      <c r="S96" s="0" t="e">
        <f aca="false">Cp($P$7:$Q$146,2,$J$7,P96)</f>
        <v>#VALUE!</v>
      </c>
      <c r="T96" s="0" t="e">
        <f aca="false">S96/(SQRT(1-$N$7^2)+(S96/2)*(1-SQRT(1-$N$7^2)))</f>
        <v>#VALUE!</v>
      </c>
      <c r="V96" s="0" t="e">
        <f aca="false">$J$7*(Q96*(Q97-Q95)*T96/(P97-P95))</f>
        <v>#VALUE!</v>
      </c>
    </row>
    <row r="97" customFormat="false" ht="12.75" hidden="false" customHeight="false" outlineLevel="0" collapsed="false">
      <c r="O97" s="0" t="n">
        <f aca="false">O96+1</f>
        <v>91</v>
      </c>
      <c r="P97" s="21" t="n">
        <f aca="false">P96+$J$7</f>
        <v>90</v>
      </c>
      <c r="Q97" s="21" t="n">
        <f aca="false">IF(P97&lt;$M$7+$J$7,rB($M$7,$K$7,P97),$L$7)</f>
        <v>3.125</v>
      </c>
      <c r="R97" s="0" t="n">
        <f aca="false">P97</f>
        <v>90</v>
      </c>
      <c r="S97" s="0" t="e">
        <f aca="false">Cp($P$7:$Q$146,2,$J$7,P97)</f>
        <v>#VALUE!</v>
      </c>
      <c r="T97" s="0" t="e">
        <f aca="false">S97/(SQRT(1-$N$7^2)+(S97/2)*(1-SQRT(1-$N$7^2)))</f>
        <v>#VALUE!</v>
      </c>
      <c r="V97" s="0" t="e">
        <f aca="false">$J$7*(Q97*(Q98-Q96)*T97/(P98-P96))</f>
        <v>#VALUE!</v>
      </c>
    </row>
    <row r="98" customFormat="false" ht="12.75" hidden="false" customHeight="false" outlineLevel="0" collapsed="false">
      <c r="O98" s="0" t="n">
        <f aca="false">O97+1</f>
        <v>92</v>
      </c>
      <c r="P98" s="21" t="n">
        <f aca="false">P97+$J$7</f>
        <v>91</v>
      </c>
      <c r="Q98" s="21" t="n">
        <f aca="false">IF(P98&lt;$M$7+$J$7,rB($M$7,$K$7,P98),$L$7)</f>
        <v>3.125</v>
      </c>
      <c r="R98" s="0" t="n">
        <f aca="false">P98</f>
        <v>91</v>
      </c>
      <c r="S98" s="0" t="e">
        <f aca="false">Cp($P$7:$Q$146,2,$J$7,P98)</f>
        <v>#VALUE!</v>
      </c>
      <c r="T98" s="0" t="e">
        <f aca="false">S98/(SQRT(1-$N$7^2)+(S98/2)*(1-SQRT(1-$N$7^2)))</f>
        <v>#VALUE!</v>
      </c>
      <c r="V98" s="0" t="e">
        <f aca="false">$J$7*(Q98*(Q99-Q97)*T98/(P99-P97))</f>
        <v>#VALUE!</v>
      </c>
    </row>
    <row r="99" customFormat="false" ht="12.75" hidden="false" customHeight="false" outlineLevel="0" collapsed="false">
      <c r="O99" s="0" t="n">
        <f aca="false">O98+1</f>
        <v>93</v>
      </c>
      <c r="P99" s="21" t="n">
        <f aca="false">P98+$J$7</f>
        <v>92</v>
      </c>
      <c r="Q99" s="21" t="n">
        <f aca="false">IF(P99&lt;$M$7+$J$7,rB($M$7,$K$7,P99),$L$7)</f>
        <v>3.125</v>
      </c>
      <c r="R99" s="0" t="n">
        <f aca="false">P99</f>
        <v>92</v>
      </c>
      <c r="S99" s="0" t="e">
        <f aca="false">Cp($P$7:$Q$146,2,$J$7,P99)</f>
        <v>#VALUE!</v>
      </c>
      <c r="T99" s="0" t="e">
        <f aca="false">S99/(SQRT(1-$N$7^2)+(S99/2)*(1-SQRT(1-$N$7^2)))</f>
        <v>#VALUE!</v>
      </c>
      <c r="V99" s="0" t="e">
        <f aca="false">$J$7*(Q99*(Q100-Q98)*T99/(P100-P98))</f>
        <v>#VALUE!</v>
      </c>
    </row>
    <row r="100" customFormat="false" ht="12.75" hidden="false" customHeight="false" outlineLevel="0" collapsed="false">
      <c r="O100" s="0" t="n">
        <f aca="false">O99+1</f>
        <v>94</v>
      </c>
      <c r="P100" s="21" t="n">
        <f aca="false">P99+$J$7</f>
        <v>93</v>
      </c>
      <c r="Q100" s="21" t="n">
        <f aca="false">IF(P100&lt;$M$7+$J$7,rB($M$7,$K$7,P100),$L$7)</f>
        <v>3.125</v>
      </c>
      <c r="R100" s="0" t="n">
        <f aca="false">P100</f>
        <v>93</v>
      </c>
      <c r="S100" s="0" t="e">
        <f aca="false">Cp($P$7:$Q$146,2,$J$7,P100)</f>
        <v>#VALUE!</v>
      </c>
      <c r="T100" s="0" t="e">
        <f aca="false">S100/(SQRT(1-$N$7^2)+(S100/2)*(1-SQRT(1-$N$7^2)))</f>
        <v>#VALUE!</v>
      </c>
      <c r="V100" s="0" t="e">
        <f aca="false">$J$7*(Q100*(Q101-Q99)*T100/(P101-P99))</f>
        <v>#VALUE!</v>
      </c>
    </row>
    <row r="101" customFormat="false" ht="12.75" hidden="false" customHeight="false" outlineLevel="0" collapsed="false">
      <c r="O101" s="0" t="n">
        <f aca="false">O100+1</f>
        <v>95</v>
      </c>
      <c r="P101" s="21" t="n">
        <f aca="false">P100+$J$7</f>
        <v>94</v>
      </c>
      <c r="Q101" s="21" t="n">
        <f aca="false">IF(P101&lt;$M$7+$J$7,rB($M$7,$K$7,P101),$L$7)</f>
        <v>3.125</v>
      </c>
      <c r="R101" s="0" t="n">
        <f aca="false">P101</f>
        <v>94</v>
      </c>
      <c r="S101" s="0" t="e">
        <f aca="false">Cp($P$7:$Q$146,2,$J$7,P101)</f>
        <v>#VALUE!</v>
      </c>
      <c r="T101" s="0" t="e">
        <f aca="false">S101/(SQRT(1-$N$7^2)+(S101/2)*(1-SQRT(1-$N$7^2)))</f>
        <v>#VALUE!</v>
      </c>
      <c r="V101" s="0" t="e">
        <f aca="false">$J$7*(Q101*(Q102-Q100)*T101/(P102-P100))</f>
        <v>#VALUE!</v>
      </c>
    </row>
    <row r="102" customFormat="false" ht="12.75" hidden="false" customHeight="false" outlineLevel="0" collapsed="false">
      <c r="O102" s="0" t="n">
        <f aca="false">O101+1</f>
        <v>96</v>
      </c>
      <c r="P102" s="21" t="n">
        <f aca="false">P101+$J$7</f>
        <v>95</v>
      </c>
      <c r="Q102" s="21" t="n">
        <f aca="false">IF(P102&lt;$M$7+$J$7,rB($M$7,$K$7,P102),$L$7)</f>
        <v>3.125</v>
      </c>
      <c r="R102" s="0" t="n">
        <f aca="false">P102</f>
        <v>95</v>
      </c>
      <c r="S102" s="0" t="e">
        <f aca="false">Cp($P$7:$Q$146,2,$J$7,P102)</f>
        <v>#VALUE!</v>
      </c>
      <c r="T102" s="0" t="e">
        <f aca="false">S102/(SQRT(1-$N$7^2)+(S102/2)*(1-SQRT(1-$N$7^2)))</f>
        <v>#VALUE!</v>
      </c>
      <c r="V102" s="0" t="e">
        <f aca="false">$J$7*(Q102*(Q103-Q101)*T102/(P103-P101))</f>
        <v>#VALUE!</v>
      </c>
    </row>
    <row r="103" customFormat="false" ht="12.75" hidden="false" customHeight="false" outlineLevel="0" collapsed="false">
      <c r="O103" s="0" t="n">
        <f aca="false">O102+1</f>
        <v>97</v>
      </c>
      <c r="P103" s="21" t="n">
        <f aca="false">P102+$J$7</f>
        <v>96</v>
      </c>
      <c r="Q103" s="21" t="n">
        <f aca="false">IF(P103&lt;$M$7+$J$7,rB($M$7,$K$7,P103),$L$7)</f>
        <v>3.125</v>
      </c>
      <c r="R103" s="0" t="n">
        <f aca="false">P103</f>
        <v>96</v>
      </c>
      <c r="S103" s="0" t="e">
        <f aca="false">Cp($P$7:$Q$146,2,$J$7,P103)</f>
        <v>#VALUE!</v>
      </c>
      <c r="T103" s="0" t="e">
        <f aca="false">S103/(SQRT(1-$N$7^2)+(S103/2)*(1-SQRT(1-$N$7^2)))</f>
        <v>#VALUE!</v>
      </c>
      <c r="V103" s="0" t="e">
        <f aca="false">$J$7*(Q103*(Q104-Q102)*T103/(P104-P102))</f>
        <v>#VALUE!</v>
      </c>
    </row>
    <row r="104" customFormat="false" ht="12.75" hidden="false" customHeight="false" outlineLevel="0" collapsed="false">
      <c r="O104" s="0" t="n">
        <f aca="false">O103+1</f>
        <v>98</v>
      </c>
      <c r="P104" s="21" t="n">
        <f aca="false">P103+$J$7</f>
        <v>97</v>
      </c>
      <c r="Q104" s="21" t="n">
        <f aca="false">IF(P104&lt;$M$7+$J$7,rB($M$7,$K$7,P104),$L$7)</f>
        <v>3.125</v>
      </c>
      <c r="R104" s="0" t="n">
        <f aca="false">P104</f>
        <v>97</v>
      </c>
      <c r="S104" s="0" t="e">
        <f aca="false">Cp($P$7:$Q$146,2,$J$7,P104)</f>
        <v>#VALUE!</v>
      </c>
      <c r="T104" s="0" t="e">
        <f aca="false">S104/(SQRT(1-$N$7^2)+(S104/2)*(1-SQRT(1-$N$7^2)))</f>
        <v>#VALUE!</v>
      </c>
      <c r="V104" s="0" t="e">
        <f aca="false">$J$7*(Q104*(Q105-Q103)*T104/(P105-P103))</f>
        <v>#VALUE!</v>
      </c>
    </row>
    <row r="105" customFormat="false" ht="12.75" hidden="false" customHeight="false" outlineLevel="0" collapsed="false">
      <c r="O105" s="0" t="n">
        <f aca="false">O104+1</f>
        <v>99</v>
      </c>
      <c r="P105" s="21" t="n">
        <f aca="false">P104+$J$7</f>
        <v>98</v>
      </c>
      <c r="Q105" s="21" t="n">
        <f aca="false">IF(P105&lt;$M$7+$J$7,rB($M$7,$K$7,P105),$L$7)</f>
        <v>3.125</v>
      </c>
      <c r="R105" s="0" t="n">
        <f aca="false">P105</f>
        <v>98</v>
      </c>
      <c r="S105" s="0" t="e">
        <f aca="false">Cp($P$7:$Q$146,2,$J$7,P105)</f>
        <v>#VALUE!</v>
      </c>
      <c r="T105" s="0" t="e">
        <f aca="false">S105/(SQRT(1-$N$7^2)+(S105/2)*(1-SQRT(1-$N$7^2)))</f>
        <v>#VALUE!</v>
      </c>
      <c r="V105" s="0" t="e">
        <f aca="false">$J$7*(Q105*(Q106-Q104)*T105/(P106-P104))</f>
        <v>#VALUE!</v>
      </c>
    </row>
    <row r="106" customFormat="false" ht="12.75" hidden="false" customHeight="false" outlineLevel="0" collapsed="false">
      <c r="O106" s="0" t="n">
        <f aca="false">O105+1</f>
        <v>100</v>
      </c>
      <c r="P106" s="21" t="n">
        <f aca="false">P105+$J$7</f>
        <v>99</v>
      </c>
      <c r="Q106" s="21" t="n">
        <f aca="false">IF(P106&lt;$M$7+$J$7,rB($M$7,$K$7,P106),$L$7)</f>
        <v>3.125</v>
      </c>
      <c r="R106" s="0" t="n">
        <f aca="false">P106</f>
        <v>99</v>
      </c>
      <c r="S106" s="0" t="e">
        <f aca="false">Cp($P$7:$Q$146,2,$J$7,P106)</f>
        <v>#VALUE!</v>
      </c>
      <c r="T106" s="0" t="e">
        <f aca="false">S106/(SQRT(1-$N$7^2)+(S106/2)*(1-SQRT(1-$N$7^2)))</f>
        <v>#VALUE!</v>
      </c>
      <c r="V106" s="0" t="e">
        <f aca="false">$J$7*(Q106*(Q107-Q105)*T106/(P107-P105))</f>
        <v>#VALUE!</v>
      </c>
    </row>
    <row r="107" customFormat="false" ht="12.75" hidden="false" customHeight="false" outlineLevel="0" collapsed="false">
      <c r="O107" s="0" t="n">
        <f aca="false">O106+1</f>
        <v>101</v>
      </c>
      <c r="P107" s="21" t="n">
        <f aca="false">P106+$J$7</f>
        <v>100</v>
      </c>
      <c r="Q107" s="21" t="n">
        <f aca="false">IF(P107&lt;$M$7+$J$7,rB($M$7,$K$7,P107),$L$7)</f>
        <v>3.125</v>
      </c>
      <c r="R107" s="0" t="n">
        <f aca="false">P107</f>
        <v>100</v>
      </c>
      <c r="S107" s="0" t="e">
        <f aca="false">Cp($P$7:$Q$146,2,$J$7,P107)</f>
        <v>#VALUE!</v>
      </c>
      <c r="T107" s="0" t="e">
        <f aca="false">S107/(SQRT(1-$N$7^2)+(S107/2)*(1-SQRT(1-$N$7^2)))</f>
        <v>#VALUE!</v>
      </c>
      <c r="V107" s="0" t="e">
        <f aca="false">$J$7*(Q107*(Q108-Q106)*T107/(P108-P106))</f>
        <v>#VALUE!</v>
      </c>
    </row>
    <row r="108" customFormat="false" ht="12.75" hidden="false" customHeight="false" outlineLevel="0" collapsed="false">
      <c r="O108" s="0" t="n">
        <f aca="false">O107+1</f>
        <v>102</v>
      </c>
      <c r="P108" s="21" t="n">
        <f aca="false">P107+$J$7</f>
        <v>101</v>
      </c>
      <c r="Q108" s="21" t="n">
        <f aca="false">IF(P108&lt;$M$7+$J$7,rB($M$7,$K$7,P108),$L$7)</f>
        <v>3.125</v>
      </c>
      <c r="R108" s="0" t="n">
        <f aca="false">P108</f>
        <v>101</v>
      </c>
      <c r="S108" s="0" t="e">
        <f aca="false">Cp($P$7:$Q$146,2,$J$7,P108)</f>
        <v>#VALUE!</v>
      </c>
      <c r="T108" s="0" t="e">
        <f aca="false">S108/(SQRT(1-$N$7^2)+(S108/2)*(1-SQRT(1-$N$7^2)))</f>
        <v>#VALUE!</v>
      </c>
      <c r="V108" s="0" t="e">
        <f aca="false">$J$7*(Q108*(Q109-Q107)*T108/(P109-P107))</f>
        <v>#VALUE!</v>
      </c>
    </row>
    <row r="109" customFormat="false" ht="12.75" hidden="false" customHeight="false" outlineLevel="0" collapsed="false">
      <c r="O109" s="0" t="n">
        <f aca="false">O108+1</f>
        <v>103</v>
      </c>
      <c r="P109" s="21" t="n">
        <f aca="false">P108+$J$7</f>
        <v>102</v>
      </c>
      <c r="Q109" s="21" t="n">
        <f aca="false">IF(P109&lt;$M$7+$J$7,rB($M$7,$K$7,P109),$L$7)</f>
        <v>3.125</v>
      </c>
      <c r="R109" s="0" t="n">
        <f aca="false">P109</f>
        <v>102</v>
      </c>
      <c r="S109" s="0" t="e">
        <f aca="false">Cp($P$7:$Q$146,2,$J$7,P109)</f>
        <v>#VALUE!</v>
      </c>
      <c r="T109" s="0" t="e">
        <f aca="false">S109/(SQRT(1-$N$7^2)+(S109/2)*(1-SQRT(1-$N$7^2)))</f>
        <v>#VALUE!</v>
      </c>
      <c r="V109" s="0" t="e">
        <f aca="false">$J$7*(Q109*(Q110-Q108)*T109/(P110-P108))</f>
        <v>#VALUE!</v>
      </c>
    </row>
    <row r="110" customFormat="false" ht="12.75" hidden="false" customHeight="false" outlineLevel="0" collapsed="false">
      <c r="O110" s="0" t="n">
        <f aca="false">O109+1</f>
        <v>104</v>
      </c>
      <c r="P110" s="21" t="n">
        <f aca="false">P109+$J$7</f>
        <v>103</v>
      </c>
      <c r="Q110" s="21" t="n">
        <f aca="false">IF(P110&lt;$M$7+$J$7,rB($M$7,$K$7,P110),$L$7)</f>
        <v>3.125</v>
      </c>
      <c r="R110" s="0" t="n">
        <f aca="false">P110</f>
        <v>103</v>
      </c>
      <c r="S110" s="0" t="e">
        <f aca="false">Cp($P$7:$Q$146,2,$J$7,P110)</f>
        <v>#VALUE!</v>
      </c>
      <c r="T110" s="0" t="e">
        <f aca="false">S110/(SQRT(1-$N$7^2)+(S110/2)*(1-SQRT(1-$N$7^2)))</f>
        <v>#VALUE!</v>
      </c>
      <c r="V110" s="0" t="e">
        <f aca="false">$J$7*(Q110*(Q111-Q109)*T110/(P111-P109))</f>
        <v>#VALUE!</v>
      </c>
    </row>
    <row r="111" customFormat="false" ht="12.75" hidden="false" customHeight="false" outlineLevel="0" collapsed="false">
      <c r="O111" s="0" t="n">
        <f aca="false">O110+1</f>
        <v>105</v>
      </c>
      <c r="P111" s="21" t="n">
        <f aca="false">P110+$J$7</f>
        <v>104</v>
      </c>
      <c r="Q111" s="21" t="n">
        <f aca="false">IF(P111&lt;$M$7+$J$7,rB($M$7,$K$7,P111),$L$7)</f>
        <v>3.125</v>
      </c>
      <c r="R111" s="0" t="n">
        <f aca="false">P111</f>
        <v>104</v>
      </c>
      <c r="S111" s="0" t="e">
        <f aca="false">Cp($P$7:$Q$146,2,$J$7,P111)</f>
        <v>#VALUE!</v>
      </c>
      <c r="T111" s="0" t="e">
        <f aca="false">S111/(SQRT(1-$N$7^2)+(S111/2)*(1-SQRT(1-$N$7^2)))</f>
        <v>#VALUE!</v>
      </c>
      <c r="V111" s="0" t="e">
        <f aca="false">$J$7*(Q111*(Q112-Q110)*T111/(P112-P110))</f>
        <v>#VALUE!</v>
      </c>
    </row>
    <row r="112" customFormat="false" ht="12.75" hidden="false" customHeight="false" outlineLevel="0" collapsed="false">
      <c r="O112" s="0" t="n">
        <f aca="false">O111+1</f>
        <v>106</v>
      </c>
      <c r="P112" s="21" t="n">
        <f aca="false">P111+$J$7</f>
        <v>105</v>
      </c>
      <c r="Q112" s="21" t="n">
        <f aca="false">IF(P112&lt;$M$7+$J$7,rB($M$7,$K$7,P112),$L$7)</f>
        <v>3.125</v>
      </c>
      <c r="R112" s="0" t="n">
        <f aca="false">P112</f>
        <v>105</v>
      </c>
      <c r="S112" s="0" t="e">
        <f aca="false">Cp($P$7:$Q$146,2,$J$7,P112)</f>
        <v>#VALUE!</v>
      </c>
      <c r="T112" s="0" t="e">
        <f aca="false">S112/(SQRT(1-$N$7^2)+(S112/2)*(1-SQRT(1-$N$7^2)))</f>
        <v>#VALUE!</v>
      </c>
      <c r="V112" s="0" t="e">
        <f aca="false">$J$7*(Q112*(Q113-Q111)*T112/(P113-P111))</f>
        <v>#VALUE!</v>
      </c>
    </row>
    <row r="113" customFormat="false" ht="12.75" hidden="false" customHeight="false" outlineLevel="0" collapsed="false">
      <c r="O113" s="0" t="n">
        <f aca="false">O112+1</f>
        <v>107</v>
      </c>
      <c r="P113" s="21" t="n">
        <f aca="false">P112+$J$7</f>
        <v>106</v>
      </c>
      <c r="Q113" s="21" t="n">
        <f aca="false">IF(P113&lt;$M$7+$J$7,rB($M$7,$K$7,P113),$L$7)</f>
        <v>3.125</v>
      </c>
      <c r="R113" s="0" t="n">
        <f aca="false">P113</f>
        <v>106</v>
      </c>
      <c r="S113" s="0" t="e">
        <f aca="false">Cp($P$7:$Q$146,2,$J$7,P113)</f>
        <v>#VALUE!</v>
      </c>
      <c r="T113" s="0" t="e">
        <f aca="false">S113/(SQRT(1-$N$7^2)+(S113/2)*(1-SQRT(1-$N$7^2)))</f>
        <v>#VALUE!</v>
      </c>
      <c r="V113" s="0" t="e">
        <f aca="false">$J$7*(Q113*(Q114-Q112)*T113/(P114-P112))</f>
        <v>#VALUE!</v>
      </c>
    </row>
    <row r="114" customFormat="false" ht="12.75" hidden="false" customHeight="false" outlineLevel="0" collapsed="false">
      <c r="O114" s="0" t="n">
        <f aca="false">O113+1</f>
        <v>108</v>
      </c>
      <c r="P114" s="21" t="n">
        <f aca="false">P113+$J$7</f>
        <v>107</v>
      </c>
      <c r="Q114" s="21" t="n">
        <f aca="false">IF(P114&lt;$M$7+$J$7,rB($M$7,$K$7,P114),$L$7)</f>
        <v>3.125</v>
      </c>
      <c r="R114" s="0" t="n">
        <f aca="false">P114</f>
        <v>107</v>
      </c>
      <c r="S114" s="0" t="e">
        <f aca="false">Cp($P$7:$Q$146,2,$J$7,P114)</f>
        <v>#VALUE!</v>
      </c>
      <c r="T114" s="0" t="e">
        <f aca="false">S114/(SQRT(1-$N$7^2)+(S114/2)*(1-SQRT(1-$N$7^2)))</f>
        <v>#VALUE!</v>
      </c>
      <c r="V114" s="0" t="e">
        <f aca="false">$J$7*(Q114*(Q115-Q113)*T114/(P115-P113))</f>
        <v>#VALUE!</v>
      </c>
    </row>
    <row r="115" customFormat="false" ht="12.75" hidden="false" customHeight="false" outlineLevel="0" collapsed="false">
      <c r="O115" s="0" t="n">
        <f aca="false">O114+1</f>
        <v>109</v>
      </c>
      <c r="P115" s="21" t="n">
        <f aca="false">P114+$J$7</f>
        <v>108</v>
      </c>
      <c r="Q115" s="21" t="n">
        <f aca="false">IF(P115&lt;$M$7+$J$7,rB($M$7,$K$7,P115),$L$7)</f>
        <v>3.125</v>
      </c>
      <c r="R115" s="0" t="n">
        <f aca="false">P115</f>
        <v>108</v>
      </c>
      <c r="S115" s="0" t="e">
        <f aca="false">Cp($P$7:$Q$146,2,$J$7,P115)</f>
        <v>#VALUE!</v>
      </c>
      <c r="T115" s="0" t="e">
        <f aca="false">S115/(SQRT(1-$N$7^2)+(S115/2)*(1-SQRT(1-$N$7^2)))</f>
        <v>#VALUE!</v>
      </c>
      <c r="V115" s="0" t="e">
        <f aca="false">$J$7*(Q115*(Q116-Q114)*T115/(P116-P114))</f>
        <v>#VALUE!</v>
      </c>
    </row>
    <row r="116" customFormat="false" ht="12.75" hidden="false" customHeight="false" outlineLevel="0" collapsed="false">
      <c r="O116" s="0" t="n">
        <f aca="false">O115+1</f>
        <v>110</v>
      </c>
      <c r="P116" s="27" t="n">
        <f aca="false">P115+$J$7</f>
        <v>109</v>
      </c>
      <c r="Q116" s="23" t="n">
        <f aca="false">IF(P116&gt;$H$7,IF($L$7-$I$7*(P116-$H$7)/2&gt;$G$7/2,$L$7-$I$7*(P116-$H$7)/2,$G$7/2),$L$7)</f>
        <v>3.025</v>
      </c>
      <c r="R116" s="0" t="n">
        <f aca="false">P116</f>
        <v>109</v>
      </c>
      <c r="S116" s="0" t="e">
        <f aca="false">Cp($P$7:$Q$146,2,$J$7,P116)</f>
        <v>#VALUE!</v>
      </c>
      <c r="T116" s="0" t="e">
        <f aca="false">S116/(SQRT(1-$N$7^2)+(S116/2)*(1-SQRT(1-$N$7^2)))</f>
        <v>#VALUE!</v>
      </c>
      <c r="V116" s="0" t="e">
        <f aca="false">$J$7*(Q116*(Q117-Q115)*T116/(P117-P115))</f>
        <v>#VALUE!</v>
      </c>
    </row>
    <row r="117" customFormat="false" ht="12.75" hidden="false" customHeight="false" outlineLevel="0" collapsed="false">
      <c r="O117" s="0" t="n">
        <f aca="false">O116+1</f>
        <v>111</v>
      </c>
      <c r="P117" s="27" t="n">
        <f aca="false">P116+$J$7</f>
        <v>110</v>
      </c>
      <c r="Q117" s="23" t="n">
        <f aca="false">IF(P117&gt;$H$7,IF($L$7-$I$7*(P117-$H$7)/2&gt;$G$7/2,$L$7-$I$7*(P117-$H$7)/2,$G$7/2),$L$7)</f>
        <v>2.925</v>
      </c>
      <c r="R117" s="0" t="n">
        <f aca="false">P117</f>
        <v>110</v>
      </c>
      <c r="S117" s="0" t="e">
        <f aca="false">Cp($P$7:$Q$146,2,$J$7,P117)</f>
        <v>#VALUE!</v>
      </c>
      <c r="T117" s="0" t="e">
        <f aca="false">S117/(SQRT(1-$N$7^2)+(S117/2)*(1-SQRT(1-$N$7^2)))</f>
        <v>#VALUE!</v>
      </c>
      <c r="V117" s="0" t="e">
        <f aca="false">$J$7*(Q117*(Q118-Q116)*T117/(P118-P116))</f>
        <v>#VALUE!</v>
      </c>
    </row>
    <row r="118" customFormat="false" ht="12.75" hidden="false" customHeight="false" outlineLevel="0" collapsed="false">
      <c r="O118" s="0" t="n">
        <f aca="false">O117+1</f>
        <v>112</v>
      </c>
      <c r="P118" s="27" t="n">
        <f aca="false">P117+$J$7</f>
        <v>111</v>
      </c>
      <c r="Q118" s="23" t="n">
        <f aca="false">IF(P118&gt;$H$7,IF($L$7-$I$7*(P118-$H$7)/2&gt;$G$7/2,$L$7-$I$7*(P118-$H$7)/2,$G$7/2),$L$7)</f>
        <v>2.825</v>
      </c>
      <c r="R118" s="0" t="n">
        <f aca="false">P118</f>
        <v>111</v>
      </c>
      <c r="S118" s="0" t="e">
        <f aca="false">Cp($P$7:$Q$146,2,$J$7,P118)</f>
        <v>#VALUE!</v>
      </c>
      <c r="T118" s="0" t="e">
        <f aca="false">S118/(SQRT(1-$N$7^2)+(S118/2)*(1-SQRT(1-$N$7^2)))</f>
        <v>#VALUE!</v>
      </c>
      <c r="V118" s="0" t="e">
        <f aca="false">$J$7*(Q118*(Q119-Q117)*T118/(P119-P117))</f>
        <v>#VALUE!</v>
      </c>
    </row>
    <row r="119" customFormat="false" ht="12.75" hidden="false" customHeight="false" outlineLevel="0" collapsed="false">
      <c r="O119" s="0" t="n">
        <f aca="false">O118+1</f>
        <v>113</v>
      </c>
      <c r="P119" s="27" t="n">
        <f aca="false">P118+$J$7</f>
        <v>112</v>
      </c>
      <c r="Q119" s="23" t="n">
        <f aca="false">IF(P119&gt;$H$7,IF($L$7-$I$7*(P119-$H$7)/2&gt;$G$7/2,$L$7-$I$7*(P119-$H$7)/2,$G$7/2),$L$7)</f>
        <v>2.725</v>
      </c>
      <c r="R119" s="0" t="n">
        <f aca="false">P119</f>
        <v>112</v>
      </c>
      <c r="S119" s="0" t="e">
        <f aca="false">Cp($P$7:$Q$146,2,$J$7,P119)</f>
        <v>#VALUE!</v>
      </c>
      <c r="T119" s="0" t="e">
        <f aca="false">S119/(SQRT(1-$N$7^2)+(S119/2)*(1-SQRT(1-$N$7^2)))</f>
        <v>#VALUE!</v>
      </c>
      <c r="V119" s="0" t="e">
        <f aca="false">$J$7*(Q119*(Q120-Q118)*T119/(P120-P118))</f>
        <v>#VALUE!</v>
      </c>
    </row>
    <row r="120" customFormat="false" ht="12.75" hidden="false" customHeight="false" outlineLevel="0" collapsed="false">
      <c r="O120" s="0" t="n">
        <f aca="false">O119+1</f>
        <v>114</v>
      </c>
      <c r="P120" s="27" t="n">
        <f aca="false">P119+$J$7</f>
        <v>113</v>
      </c>
      <c r="Q120" s="23" t="n">
        <f aca="false">IF(P120&gt;$H$7,IF($L$7-$I$7*(P120-$H$7)/2&gt;$G$7/2,$L$7-$I$7*(P120-$H$7)/2,$G$7/2),$L$7)</f>
        <v>2.625</v>
      </c>
      <c r="R120" s="0" t="n">
        <f aca="false">P120</f>
        <v>113</v>
      </c>
      <c r="S120" s="0" t="e">
        <f aca="false">Cp($P$7:$Q$146,2,$J$7,P120)</f>
        <v>#VALUE!</v>
      </c>
      <c r="T120" s="0" t="e">
        <f aca="false">S120/(SQRT(1-$N$7^2)+(S120/2)*(1-SQRT(1-$N$7^2)))</f>
        <v>#VALUE!</v>
      </c>
      <c r="V120" s="0" t="e">
        <f aca="false">$J$7*(Q120*(Q121-Q119)*T120/(P121-P119))</f>
        <v>#VALUE!</v>
      </c>
    </row>
    <row r="121" customFormat="false" ht="12.75" hidden="false" customHeight="false" outlineLevel="0" collapsed="false">
      <c r="O121" s="0" t="n">
        <f aca="false">O120+1</f>
        <v>115</v>
      </c>
      <c r="P121" s="27" t="n">
        <f aca="false">P120+$J$7</f>
        <v>114</v>
      </c>
      <c r="Q121" s="23" t="n">
        <f aca="false">IF(P121&gt;$H$7,IF($L$7-$I$7*(P121-$H$7)/2&gt;$G$7/2,$L$7-$I$7*(P121-$H$7)/2,$G$7/2),$L$7)</f>
        <v>2.525</v>
      </c>
      <c r="R121" s="0" t="n">
        <f aca="false">P121</f>
        <v>114</v>
      </c>
      <c r="S121" s="0" t="e">
        <f aca="false">Cp($P$7:$Q$146,2,$J$7,P121)</f>
        <v>#VALUE!</v>
      </c>
      <c r="T121" s="0" t="e">
        <f aca="false">S121/(SQRT(1-$N$7^2)+(S121/2)*(1-SQRT(1-$N$7^2)))</f>
        <v>#VALUE!</v>
      </c>
      <c r="V121" s="0" t="e">
        <f aca="false">$J$7*(Q121*(Q122-Q120)*T121/(P122-P120))</f>
        <v>#VALUE!</v>
      </c>
    </row>
    <row r="122" customFormat="false" ht="12.75" hidden="false" customHeight="false" outlineLevel="0" collapsed="false">
      <c r="O122" s="0" t="n">
        <f aca="false">O121+1</f>
        <v>116</v>
      </c>
      <c r="P122" s="27" t="n">
        <f aca="false">P121+$J$7</f>
        <v>115</v>
      </c>
      <c r="Q122" s="23" t="n">
        <f aca="false">IF(P122&gt;$H$7,IF($L$7-$I$7*(P122-$H$7)/2&gt;$G$7/2,$L$7-$I$7*(P122-$H$7)/2,$G$7/2),$L$7)</f>
        <v>2.425</v>
      </c>
      <c r="R122" s="0" t="n">
        <f aca="false">P122</f>
        <v>115</v>
      </c>
      <c r="S122" s="0" t="e">
        <f aca="false">Cp($P$7:$Q$146,2,$J$7,P122)</f>
        <v>#VALUE!</v>
      </c>
      <c r="T122" s="0" t="e">
        <f aca="false">S122/(SQRT(1-$N$7^2)+(S122/2)*(1-SQRT(1-$N$7^2)))</f>
        <v>#VALUE!</v>
      </c>
      <c r="V122" s="0" t="e">
        <f aca="false">$J$7*(Q122*(Q123-Q121)*T122/(P123-P121))</f>
        <v>#VALUE!</v>
      </c>
    </row>
    <row r="123" customFormat="false" ht="12.75" hidden="false" customHeight="false" outlineLevel="0" collapsed="false">
      <c r="O123" s="0" t="n">
        <f aca="false">O122+1</f>
        <v>117</v>
      </c>
      <c r="P123" s="27" t="n">
        <f aca="false">P122+$J$7</f>
        <v>116</v>
      </c>
      <c r="Q123" s="23" t="n">
        <f aca="false">IF(P123&gt;$H$7,IF($L$7-$I$7*(P123-$H$7)/2&gt;$G$7/2,$L$7-$I$7*(P123-$H$7)/2,$G$7/2),$L$7)</f>
        <v>2.325</v>
      </c>
      <c r="R123" s="0" t="n">
        <f aca="false">P123</f>
        <v>116</v>
      </c>
      <c r="S123" s="0" t="e">
        <f aca="false">Cp($P$7:$Q$146,2,$J$7,P123)</f>
        <v>#VALUE!</v>
      </c>
      <c r="T123" s="0" t="e">
        <f aca="false">S123/(SQRT(1-$N$7^2)+(S123/2)*(1-SQRT(1-$N$7^2)))</f>
        <v>#VALUE!</v>
      </c>
      <c r="V123" s="0" t="e">
        <f aca="false">$J$7*(Q123*(Q124-Q122)*T123/(P124-P122))</f>
        <v>#VALUE!</v>
      </c>
    </row>
    <row r="124" customFormat="false" ht="12.75" hidden="false" customHeight="false" outlineLevel="0" collapsed="false">
      <c r="O124" s="0" t="n">
        <f aca="false">O123+1</f>
        <v>118</v>
      </c>
      <c r="P124" s="27" t="n">
        <f aca="false">P123+$J$7</f>
        <v>117</v>
      </c>
      <c r="Q124" s="23" t="n">
        <f aca="false">IF(P124&gt;$H$7,IF($L$7-$I$7*(P124-$H$7)/2&gt;$G$7/2,$L$7-$I$7*(P124-$H$7)/2,$G$7/2),$L$7)</f>
        <v>2.225</v>
      </c>
      <c r="R124" s="0" t="n">
        <f aca="false">P124</f>
        <v>117</v>
      </c>
      <c r="S124" s="0" t="e">
        <f aca="false">Cp($P$7:$Q$146,2,$J$7,P124)</f>
        <v>#VALUE!</v>
      </c>
      <c r="T124" s="0" t="e">
        <f aca="false">S124/(SQRT(1-$N$7^2)+(S124/2)*(1-SQRT(1-$N$7^2)))</f>
        <v>#VALUE!</v>
      </c>
      <c r="V124" s="0" t="e">
        <f aca="false">$J$7*(Q124*(Q125-Q123)*T124/(P125-P123))</f>
        <v>#VALUE!</v>
      </c>
    </row>
    <row r="125" customFormat="false" ht="12.75" hidden="false" customHeight="false" outlineLevel="0" collapsed="false">
      <c r="O125" s="0" t="n">
        <f aca="false">O124+1</f>
        <v>119</v>
      </c>
      <c r="P125" s="27" t="n">
        <f aca="false">P124+$J$7</f>
        <v>118</v>
      </c>
      <c r="Q125" s="23" t="n">
        <f aca="false">IF(P125&gt;$H$7,IF($L$7-$I$7*(P125-$H$7)/2&gt;$G$7/2,$L$7-$I$7*(P125-$H$7)/2,$G$7/2),$L$7)</f>
        <v>2.125</v>
      </c>
      <c r="R125" s="0" t="n">
        <f aca="false">P125</f>
        <v>118</v>
      </c>
      <c r="S125" s="0" t="e">
        <f aca="false">Cp($P$7:$Q$146,2,$J$7,P125)</f>
        <v>#VALUE!</v>
      </c>
      <c r="T125" s="0" t="e">
        <f aca="false">S125/(SQRT(1-$N$7^2)+(S125/2)*(1-SQRT(1-$N$7^2)))</f>
        <v>#VALUE!</v>
      </c>
      <c r="V125" s="0" t="e">
        <f aca="false">$J$7*(Q125*(Q126-Q124)*T125/(P126-P124))</f>
        <v>#VALUE!</v>
      </c>
    </row>
    <row r="126" customFormat="false" ht="12.75" hidden="false" customHeight="false" outlineLevel="0" collapsed="false">
      <c r="O126" s="0" t="n">
        <f aca="false">O125+1</f>
        <v>120</v>
      </c>
      <c r="P126" s="27" t="n">
        <f aca="false">P125+$J$7</f>
        <v>119</v>
      </c>
      <c r="Q126" s="23" t="n">
        <f aca="false">IF(P126&gt;$H$7,IF($L$7-$I$7*(P126-$H$7)/2&gt;$G$7/2,$L$7-$I$7*(P126-$H$7)/2,$G$7/2),$L$7)</f>
        <v>2.025</v>
      </c>
      <c r="R126" s="0" t="n">
        <f aca="false">P126</f>
        <v>119</v>
      </c>
      <c r="S126" s="0" t="e">
        <f aca="false">Cp($P$7:$Q$146,2,$J$7,P126)</f>
        <v>#VALUE!</v>
      </c>
      <c r="T126" s="0" t="e">
        <f aca="false">S126/(SQRT(1-$N$7^2)+(S126/2)*(1-SQRT(1-$N$7^2)))</f>
        <v>#VALUE!</v>
      </c>
      <c r="V126" s="0" t="e">
        <f aca="false">$J$7*(Q126*(Q127-Q125)*T126/(P127-P125))</f>
        <v>#VALUE!</v>
      </c>
    </row>
    <row r="127" customFormat="false" ht="12.75" hidden="false" customHeight="false" outlineLevel="0" collapsed="false">
      <c r="O127" s="0" t="n">
        <f aca="false">O126+1</f>
        <v>121</v>
      </c>
      <c r="P127" s="27" t="n">
        <f aca="false">P126+$J$7</f>
        <v>120</v>
      </c>
      <c r="Q127" s="23" t="n">
        <f aca="false">IF(P127&gt;$H$7,IF($L$7-$I$7*(P127-$H$7)/2&gt;$G$7/2,$L$7-$I$7*(P127-$H$7)/2,$G$7/2),$L$7)</f>
        <v>1.925</v>
      </c>
      <c r="R127" s="0" t="n">
        <f aca="false">P127</f>
        <v>120</v>
      </c>
      <c r="S127" s="0" t="e">
        <f aca="false">Cp($P$7:$Q$146,2,$J$7,P127)</f>
        <v>#VALUE!</v>
      </c>
      <c r="T127" s="0" t="e">
        <f aca="false">S127/(SQRT(1-$N$7^2)+(S127/2)*(1-SQRT(1-$N$7^2)))</f>
        <v>#VALUE!</v>
      </c>
      <c r="V127" s="0" t="e">
        <f aca="false">$J$7*(Q127*(Q128-Q126)*T127/(P128-P126))</f>
        <v>#VALUE!</v>
      </c>
    </row>
    <row r="128" customFormat="false" ht="12.75" hidden="false" customHeight="false" outlineLevel="0" collapsed="false">
      <c r="O128" s="0" t="n">
        <f aca="false">O127+1</f>
        <v>122</v>
      </c>
      <c r="P128" s="27" t="n">
        <f aca="false">P127+$J$7</f>
        <v>121</v>
      </c>
      <c r="Q128" s="23" t="n">
        <f aca="false">IF(P128&gt;$H$7,IF($L$7-$I$7*(P128-$H$7)/2&gt;$G$7/2,$L$7-$I$7*(P128-$H$7)/2,$G$7/2),$L$7)</f>
        <v>1.825</v>
      </c>
      <c r="R128" s="0" t="n">
        <f aca="false">P128</f>
        <v>121</v>
      </c>
      <c r="S128" s="0" t="e">
        <f aca="false">Cp($P$7:$Q$146,2,$J$7,P128)</f>
        <v>#VALUE!</v>
      </c>
      <c r="T128" s="0" t="e">
        <f aca="false">S128/(SQRT(1-$N$7^2)+(S128/2)*(1-SQRT(1-$N$7^2)))</f>
        <v>#VALUE!</v>
      </c>
      <c r="V128" s="0" t="e">
        <f aca="false">$J$7*(Q128*(Q129-Q127)*T128/(P129-P127))</f>
        <v>#VALUE!</v>
      </c>
    </row>
    <row r="129" customFormat="false" ht="12.75" hidden="false" customHeight="false" outlineLevel="0" collapsed="false">
      <c r="O129" s="0" t="n">
        <f aca="false">O128+1</f>
        <v>123</v>
      </c>
      <c r="P129" s="27" t="n">
        <f aca="false">P128+$J$7</f>
        <v>122</v>
      </c>
      <c r="Q129" s="23" t="n">
        <f aca="false">IF(P129&gt;$H$7,IF($L$7-$I$7*(P129-$H$7)/2&gt;$G$7/2,$L$7-$I$7*(P129-$H$7)/2,$G$7/2),$L$7)</f>
        <v>1.725</v>
      </c>
      <c r="R129" s="0" t="n">
        <f aca="false">P129</f>
        <v>122</v>
      </c>
      <c r="S129" s="0" t="e">
        <f aca="false">Cp($P$7:$Q$146,2,$J$7,P129)</f>
        <v>#VALUE!</v>
      </c>
      <c r="T129" s="0" t="e">
        <f aca="false">S129/(SQRT(1-$N$7^2)+(S129/2)*(1-SQRT(1-$N$7^2)))</f>
        <v>#VALUE!</v>
      </c>
      <c r="V129" s="0" t="e">
        <f aca="false">$J$7*(Q129*(Q130-Q128)*T129/(P130-P128))</f>
        <v>#VALUE!</v>
      </c>
    </row>
    <row r="130" customFormat="false" ht="12.75" hidden="false" customHeight="false" outlineLevel="0" collapsed="false">
      <c r="O130" s="0" t="n">
        <f aca="false">O129+1</f>
        <v>124</v>
      </c>
      <c r="P130" s="27" t="n">
        <f aca="false">P129+$J$7</f>
        <v>123</v>
      </c>
      <c r="Q130" s="23" t="n">
        <f aca="false">IF(P130&gt;$H$7,IF($L$7-$I$7*(P130-$H$7)/2&gt;$G$7/2,$L$7-$I$7*(P130-$H$7)/2,$G$7/2),$L$7)</f>
        <v>1.625</v>
      </c>
      <c r="R130" s="0" t="n">
        <f aca="false">P130</f>
        <v>123</v>
      </c>
      <c r="S130" s="0" t="e">
        <f aca="false">Cp($P$7:$Q$146,2,$J$7,P130)</f>
        <v>#VALUE!</v>
      </c>
      <c r="T130" s="0" t="e">
        <f aca="false">S130/(SQRT(1-$N$7^2)+(S130/2)*(1-SQRT(1-$N$7^2)))</f>
        <v>#VALUE!</v>
      </c>
      <c r="V130" s="0" t="e">
        <f aca="false">$J$7*(Q130*(Q131-Q129)*T130/(P131-P129))</f>
        <v>#VALUE!</v>
      </c>
    </row>
    <row r="131" customFormat="false" ht="12.75" hidden="false" customHeight="false" outlineLevel="0" collapsed="false">
      <c r="O131" s="0" t="n">
        <f aca="false">O130+1</f>
        <v>125</v>
      </c>
      <c r="P131" s="27" t="n">
        <f aca="false">P130+$J$7</f>
        <v>124</v>
      </c>
      <c r="Q131" s="23" t="n">
        <f aca="false">IF(P131&gt;$H$7,IF($L$7-$I$7*(P131-$H$7)/2&gt;$G$7/2,$L$7-$I$7*(P131-$H$7)/2,$G$7/2),$L$7)</f>
        <v>1.60149994807829</v>
      </c>
      <c r="R131" s="0" t="n">
        <f aca="false">P131</f>
        <v>124</v>
      </c>
      <c r="S131" s="0" t="e">
        <f aca="false">Cp($P$7:$Q$146,2,$J$7,P131)</f>
        <v>#VALUE!</v>
      </c>
      <c r="T131" s="0" t="e">
        <f aca="false">S131/(SQRT(1-$N$7^2)+(S131/2)*(1-SQRT(1-$N$7^2)))</f>
        <v>#VALUE!</v>
      </c>
      <c r="V131" s="0" t="e">
        <f aca="false">$J$7*(Q131*(Q132-Q130)*T131/(P132-P130))</f>
        <v>#VALUE!</v>
      </c>
    </row>
    <row r="132" customFormat="false" ht="12.75" hidden="false" customHeight="false" outlineLevel="0" collapsed="false">
      <c r="O132" s="0" t="n">
        <f aca="false">O131+1</f>
        <v>126</v>
      </c>
      <c r="P132" s="27" t="n">
        <f aca="false">P131+$J$7</f>
        <v>125</v>
      </c>
      <c r="Q132" s="23" t="n">
        <f aca="false">IF(P132&gt;$H$7,IF($L$7-$I$7*(P132-$H$7)/2&gt;$G$7/2,$L$7-$I$7*(P132-$H$7)/2,$G$7/2),$L$7)</f>
        <v>1.60149994807829</v>
      </c>
      <c r="R132" s="0" t="n">
        <f aca="false">P132</f>
        <v>125</v>
      </c>
      <c r="S132" s="0" t="e">
        <f aca="false">Cp($P$7:$Q$146,2,$J$7,P132)</f>
        <v>#VALUE!</v>
      </c>
      <c r="T132" s="0" t="e">
        <f aca="false">S132/(SQRT(1-$N$7^2)+(S132/2)*(1-SQRT(1-$N$7^2)))</f>
        <v>#VALUE!</v>
      </c>
      <c r="V132" s="0" t="e">
        <f aca="false">$J$7*(Q132*(Q133-Q131)*T132/(P133-P131))</f>
        <v>#VALUE!</v>
      </c>
    </row>
    <row r="133" customFormat="false" ht="12.75" hidden="false" customHeight="false" outlineLevel="0" collapsed="false">
      <c r="O133" s="0" t="n">
        <f aca="false">O132+1</f>
        <v>127</v>
      </c>
      <c r="P133" s="27" t="n">
        <f aca="false">P132+$J$7</f>
        <v>126</v>
      </c>
      <c r="Q133" s="23" t="n">
        <f aca="false">IF(P133&gt;$H$7,IF($L$7-$I$7*(P133-$H$7)/2&gt;$G$7/2,$L$7-$I$7*(P133-$H$7)/2,$G$7/2),$L$7)</f>
        <v>1.60149994807829</v>
      </c>
      <c r="R133" s="0" t="n">
        <f aca="false">P133</f>
        <v>126</v>
      </c>
      <c r="S133" s="0" t="e">
        <f aca="false">Cp($P$7:$Q$146,2,$J$7,P133)</f>
        <v>#VALUE!</v>
      </c>
      <c r="T133" s="0" t="e">
        <f aca="false">S133/(SQRT(1-$N$7^2)+(S133/2)*(1-SQRT(1-$N$7^2)))</f>
        <v>#VALUE!</v>
      </c>
      <c r="V133" s="0" t="e">
        <f aca="false">$J$7*(Q133*(Q134-Q132)*T133/(P134-P132))</f>
        <v>#VALUE!</v>
      </c>
    </row>
    <row r="134" customFormat="false" ht="12.75" hidden="false" customHeight="false" outlineLevel="0" collapsed="false">
      <c r="O134" s="0" t="n">
        <f aca="false">O133+1</f>
        <v>128</v>
      </c>
      <c r="P134" s="27" t="n">
        <f aca="false">P133+$J$7</f>
        <v>127</v>
      </c>
      <c r="Q134" s="23" t="n">
        <f aca="false">IF(P134&gt;$H$7,IF($L$7-$I$7*(P134-$H$7)/2&gt;$G$7/2,$L$7-$I$7*(P134-$H$7)/2,$G$7/2),$L$7)</f>
        <v>1.60149994807829</v>
      </c>
      <c r="R134" s="0" t="n">
        <f aca="false">P134</f>
        <v>127</v>
      </c>
      <c r="S134" s="0" t="e">
        <f aca="false">Cp($P$7:$Q$146,2,$J$7,P134)</f>
        <v>#VALUE!</v>
      </c>
      <c r="T134" s="0" t="e">
        <f aca="false">S134/(SQRT(1-$N$7^2)+(S134/2)*(1-SQRT(1-$N$7^2)))</f>
        <v>#VALUE!</v>
      </c>
      <c r="V134" s="0" t="e">
        <f aca="false">$J$7*(Q134*(Q135-Q133)*T134/(P135-P133))</f>
        <v>#VALUE!</v>
      </c>
    </row>
    <row r="135" customFormat="false" ht="12.75" hidden="false" customHeight="false" outlineLevel="0" collapsed="false">
      <c r="O135" s="0" t="n">
        <f aca="false">O134+1</f>
        <v>129</v>
      </c>
      <c r="P135" s="27" t="n">
        <f aca="false">P134+$J$7</f>
        <v>128</v>
      </c>
      <c r="Q135" s="23" t="n">
        <f aca="false">IF(P135&gt;$H$7,IF($L$7-$I$7*(P135-$H$7)/2&gt;$G$7/2,$L$7-$I$7*(P135-$H$7)/2,$G$7/2),$L$7)</f>
        <v>1.60149994807829</v>
      </c>
      <c r="R135" s="0" t="n">
        <f aca="false">P135</f>
        <v>128</v>
      </c>
      <c r="S135" s="0" t="e">
        <f aca="false">Cp($P$7:$Q$146,2,$J$7,P135)</f>
        <v>#VALUE!</v>
      </c>
      <c r="T135" s="0" t="e">
        <f aca="false">S135/(SQRT(1-$N$7^2)+(S135/2)*(1-SQRT(1-$N$7^2)))</f>
        <v>#VALUE!</v>
      </c>
      <c r="V135" s="0" t="e">
        <f aca="false">$J$7*(Q135*(Q136-Q134)*T135/(P136-P134))</f>
        <v>#VALUE!</v>
      </c>
    </row>
    <row r="136" customFormat="false" ht="12.75" hidden="false" customHeight="false" outlineLevel="0" collapsed="false">
      <c r="O136" s="0" t="n">
        <f aca="false">O135+1</f>
        <v>130</v>
      </c>
      <c r="P136" s="27" t="n">
        <f aca="false">P135+$J$7</f>
        <v>129</v>
      </c>
      <c r="Q136" s="23" t="n">
        <f aca="false">IF(P136&gt;$H$7,IF($L$7-$I$7*(P136-$H$7)/2&gt;$G$7/2,$L$7-$I$7*(P136-$H$7)/2,$G$7/2),$L$7)</f>
        <v>1.60149994807829</v>
      </c>
      <c r="R136" s="0" t="n">
        <f aca="false">P136</f>
        <v>129</v>
      </c>
      <c r="S136" s="0" t="e">
        <f aca="false">Cp($P$7:$Q$146,2,$J$7,P136)</f>
        <v>#VALUE!</v>
      </c>
      <c r="T136" s="0" t="e">
        <f aca="false">S136/(SQRT(1-$N$7^2)+(S136/2)*(1-SQRT(1-$N$7^2)))</f>
        <v>#VALUE!</v>
      </c>
      <c r="V136" s="0" t="e">
        <f aca="false">$J$7*(Q136*(Q137-Q135)*T136/(P137-P135))</f>
        <v>#VALUE!</v>
      </c>
    </row>
    <row r="137" customFormat="false" ht="12.75" hidden="false" customHeight="false" outlineLevel="0" collapsed="false">
      <c r="O137" s="0" t="n">
        <f aca="false">O136+1</f>
        <v>131</v>
      </c>
      <c r="P137" s="27" t="n">
        <f aca="false">P136+$J$7</f>
        <v>130</v>
      </c>
      <c r="Q137" s="23" t="n">
        <f aca="false">IF(P137&gt;$H$7,IF($L$7-$I$7*(P137-$H$7)/2&gt;$G$7/2,$L$7-$I$7*(P137-$H$7)/2,$G$7/2),$L$7)</f>
        <v>1.60149994807829</v>
      </c>
      <c r="R137" s="0" t="n">
        <f aca="false">P137</f>
        <v>130</v>
      </c>
      <c r="S137" s="0" t="e">
        <f aca="false">Cp($P$7:$Q$146,2,$J$7,P137)</f>
        <v>#VALUE!</v>
      </c>
      <c r="T137" s="0" t="e">
        <f aca="false">S137/(SQRT(1-$N$7^2)+(S137/2)*(1-SQRT(1-$N$7^2)))</f>
        <v>#VALUE!</v>
      </c>
      <c r="V137" s="0" t="e">
        <f aca="false">$J$7*(Q137*(Q138-Q136)*T137/(P138-P136))</f>
        <v>#VALUE!</v>
      </c>
    </row>
    <row r="138" customFormat="false" ht="12.75" hidden="false" customHeight="false" outlineLevel="0" collapsed="false">
      <c r="O138" s="0" t="n">
        <f aca="false">O137+1</f>
        <v>132</v>
      </c>
      <c r="P138" s="27" t="n">
        <f aca="false">P137+$J$7</f>
        <v>131</v>
      </c>
      <c r="Q138" s="23" t="n">
        <f aca="false">IF(P138&gt;$H$7,IF($L$7-$I$7*(P138-$H$7)/2&gt;$G$7/2,$L$7-$I$7*(P138-$H$7)/2,$G$7/2),$L$7)</f>
        <v>1.60149994807829</v>
      </c>
      <c r="R138" s="0" t="n">
        <f aca="false">P138</f>
        <v>131</v>
      </c>
      <c r="S138" s="0" t="e">
        <f aca="false">Cp($P$7:$Q$146,2,$J$7,P138)</f>
        <v>#VALUE!</v>
      </c>
      <c r="T138" s="0" t="e">
        <f aca="false">S138/(SQRT(1-$N$7^2)+(S138/2)*(1-SQRT(1-$N$7^2)))</f>
        <v>#VALUE!</v>
      </c>
      <c r="V138" s="0" t="e">
        <f aca="false">$J$7*(Q138*(Q139-Q137)*T138/(P139-P137))</f>
        <v>#VALUE!</v>
      </c>
    </row>
    <row r="139" customFormat="false" ht="12.75" hidden="false" customHeight="false" outlineLevel="0" collapsed="false">
      <c r="O139" s="0" t="n">
        <f aca="false">O138+1</f>
        <v>133</v>
      </c>
      <c r="P139" s="27" t="n">
        <f aca="false">P138+$J$7</f>
        <v>132</v>
      </c>
      <c r="Q139" s="23" t="n">
        <f aca="false">IF(P139&gt;$H$7,IF($L$7-$I$7*(P139-$H$7)/2&gt;$G$7/2,$L$7-$I$7*(P139-$H$7)/2,$G$7/2),$L$7)</f>
        <v>1.60149994807829</v>
      </c>
      <c r="R139" s="0" t="n">
        <f aca="false">P139</f>
        <v>132</v>
      </c>
      <c r="S139" s="0" t="e">
        <f aca="false">Cp($P$7:$Q$146,2,$J$7,P139)</f>
        <v>#VALUE!</v>
      </c>
      <c r="T139" s="0" t="e">
        <f aca="false">S139/(SQRT(1-$N$7^2)+(S139/2)*(1-SQRT(1-$N$7^2)))</f>
        <v>#VALUE!</v>
      </c>
      <c r="V139" s="0" t="e">
        <f aca="false">$J$7*(Q139*(Q140-Q138)*T139/(P140-P138))</f>
        <v>#VALUE!</v>
      </c>
    </row>
    <row r="140" customFormat="false" ht="12.75" hidden="false" customHeight="false" outlineLevel="0" collapsed="false">
      <c r="O140" s="0" t="n">
        <f aca="false">O139+1</f>
        <v>134</v>
      </c>
      <c r="P140" s="27" t="n">
        <f aca="false">P139+$J$7</f>
        <v>133</v>
      </c>
      <c r="Q140" s="23" t="n">
        <f aca="false">IF(P140&gt;$H$7,IF($L$7-$I$7*(P140-$H$7)/2&gt;$G$7/2,$L$7-$I$7*(P140-$H$7)/2,$G$7/2),$L$7)</f>
        <v>1.60149994807829</v>
      </c>
      <c r="R140" s="0" t="n">
        <f aca="false">P140</f>
        <v>133</v>
      </c>
      <c r="S140" s="0" t="e">
        <f aca="false">Cp($P$7:$Q$146,2,$J$7,P140)</f>
        <v>#VALUE!</v>
      </c>
      <c r="T140" s="0" t="e">
        <f aca="false">S140/(SQRT(1-$N$7^2)+(S140/2)*(1-SQRT(1-$N$7^2)))</f>
        <v>#VALUE!</v>
      </c>
      <c r="V140" s="0" t="e">
        <f aca="false">$J$7*(Q140*(Q141-Q139)*T140/(P141-P139))</f>
        <v>#VALUE!</v>
      </c>
    </row>
    <row r="141" customFormat="false" ht="12.75" hidden="false" customHeight="false" outlineLevel="0" collapsed="false">
      <c r="O141" s="0" t="n">
        <f aca="false">O140+1</f>
        <v>135</v>
      </c>
      <c r="P141" s="27" t="n">
        <f aca="false">P140+$J$7</f>
        <v>134</v>
      </c>
      <c r="Q141" s="23" t="n">
        <f aca="false">IF(P141&gt;$H$7,IF($L$7-$I$7*(P141-$H$7)/2&gt;$G$7/2,$L$7-$I$7*(P141-$H$7)/2,$G$7/2),$L$7)</f>
        <v>1.60149994807829</v>
      </c>
      <c r="R141" s="0" t="n">
        <f aca="false">P141</f>
        <v>134</v>
      </c>
      <c r="S141" s="0" t="e">
        <f aca="false">Cp($P$7:$Q$146,2,$J$7,P141)</f>
        <v>#VALUE!</v>
      </c>
      <c r="T141" s="0" t="e">
        <f aca="false">S141/(SQRT(1-$N$7^2)+(S141/2)*(1-SQRT(1-$N$7^2)))</f>
        <v>#VALUE!</v>
      </c>
      <c r="V141" s="0" t="e">
        <f aca="false">$J$7*(Q141*(Q142-Q140)*T141/(P142-P140))</f>
        <v>#VALUE!</v>
      </c>
    </row>
    <row r="142" customFormat="false" ht="12.75" hidden="false" customHeight="false" outlineLevel="0" collapsed="false">
      <c r="O142" s="0" t="n">
        <f aca="false">O141+1</f>
        <v>136</v>
      </c>
      <c r="P142" s="27" t="n">
        <f aca="false">P141+$J$7</f>
        <v>135</v>
      </c>
      <c r="Q142" s="23" t="n">
        <f aca="false">IF(P142&gt;$H$7,IF($L$7-$I$7*(P142-$H$7)/2&gt;$G$7/2,$L$7-$I$7*(P142-$H$7)/2,$G$7/2),$L$7)</f>
        <v>1.60149994807829</v>
      </c>
      <c r="R142" s="0" t="n">
        <f aca="false">P142</f>
        <v>135</v>
      </c>
      <c r="S142" s="0" t="e">
        <f aca="false">Cp($P$7:$Q$146,2,$J$7,P142)</f>
        <v>#VALUE!</v>
      </c>
      <c r="T142" s="0" t="e">
        <f aca="false">S142/(SQRT(1-$N$7^2)+(S142/2)*(1-SQRT(1-$N$7^2)))</f>
        <v>#VALUE!</v>
      </c>
      <c r="V142" s="0" t="e">
        <f aca="false">$J$7*(Q142*(Q143-Q141)*T142/(P143-P141))</f>
        <v>#VALUE!</v>
      </c>
    </row>
    <row r="143" customFormat="false" ht="12.75" hidden="false" customHeight="false" outlineLevel="0" collapsed="false">
      <c r="O143" s="0" t="n">
        <f aca="false">O142+1</f>
        <v>137</v>
      </c>
      <c r="P143" s="27" t="n">
        <f aca="false">P142+$J$7</f>
        <v>136</v>
      </c>
      <c r="Q143" s="23" t="n">
        <f aca="false">IF(P143&gt;$H$7,IF($L$7-$I$7*(P143-$H$7)/2&gt;$G$7/2,$L$7-$I$7*(P143-$H$7)/2,$G$7/2),$L$7)</f>
        <v>1.60149994807829</v>
      </c>
      <c r="R143" s="0" t="n">
        <f aca="false">P143</f>
        <v>136</v>
      </c>
      <c r="S143" s="0" t="e">
        <f aca="false">Cp($P$7:$Q$146,2,$J$7,P143)</f>
        <v>#VALUE!</v>
      </c>
      <c r="T143" s="0" t="e">
        <f aca="false">S143/(SQRT(1-$N$7^2)+(S143/2)*(1-SQRT(1-$N$7^2)))</f>
        <v>#VALUE!</v>
      </c>
      <c r="V143" s="0" t="e">
        <f aca="false">$J$7*(Q143*(Q144-Q142)*T143/(P144-P142))</f>
        <v>#VALUE!</v>
      </c>
    </row>
    <row r="144" customFormat="false" ht="12.75" hidden="false" customHeight="false" outlineLevel="0" collapsed="false">
      <c r="O144" s="0" t="n">
        <f aca="false">O143+1</f>
        <v>138</v>
      </c>
      <c r="P144" s="27" t="n">
        <f aca="false">P143+$J$7</f>
        <v>137</v>
      </c>
      <c r="Q144" s="23" t="n">
        <f aca="false">IF(P144&gt;$H$7,IF($L$7-$I$7*(P144-$H$7)/2&gt;$G$7/2,$L$7-$I$7*(P144-$H$7)/2,$G$7/2),$L$7)</f>
        <v>1.60149994807829</v>
      </c>
      <c r="R144" s="0" t="n">
        <f aca="false">P144</f>
        <v>137</v>
      </c>
      <c r="S144" s="0" t="e">
        <f aca="false">Cp($P$7:$Q$146,2,$J$7,P144)</f>
        <v>#VALUE!</v>
      </c>
      <c r="T144" s="0" t="e">
        <f aca="false">S144/(SQRT(1-$N$7^2)+(S144/2)*(1-SQRT(1-$N$7^2)))</f>
        <v>#VALUE!</v>
      </c>
      <c r="V144" s="0" t="e">
        <f aca="false">$J$7*(Q144*(Q145-Q143)*T144/(P145-P143))</f>
        <v>#VALUE!</v>
      </c>
    </row>
    <row r="145" customFormat="false" ht="12.75" hidden="false" customHeight="false" outlineLevel="0" collapsed="false">
      <c r="O145" s="0" t="n">
        <f aca="false">O144+1</f>
        <v>139</v>
      </c>
      <c r="P145" s="27" t="n">
        <f aca="false">P144+$J$7</f>
        <v>138</v>
      </c>
      <c r="Q145" s="23" t="n">
        <f aca="false">IF(P145&gt;$H$7,IF($L$7-$I$7*(P145-$H$7)/2&gt;$G$7/2,$L$7-$I$7*(P145-$H$7)/2,$G$7/2),$L$7)</f>
        <v>1.60149994807829</v>
      </c>
      <c r="R145" s="0" t="n">
        <f aca="false">P145</f>
        <v>138</v>
      </c>
      <c r="S145" s="0" t="e">
        <f aca="false">Cp($P$7:$Q$146,2,$J$7,P145)</f>
        <v>#VALUE!</v>
      </c>
      <c r="T145" s="0" t="e">
        <f aca="false">S145/(SQRT(1-$N$7^2)+(S145/2)*(1-SQRT(1-$N$7^2)))</f>
        <v>#VALUE!</v>
      </c>
    </row>
    <row r="146" customFormat="false" ht="12.75" hidden="false" customHeight="false" outlineLevel="0" collapsed="false">
      <c r="O146" s="0" t="n">
        <f aca="false">O145+1</f>
        <v>140</v>
      </c>
      <c r="P146" s="27" t="n">
        <f aca="false">P145+$J$7</f>
        <v>139</v>
      </c>
      <c r="Q146" s="23" t="n">
        <f aca="false">IF(P146&gt;$H$7,IF($L$7-$I$7*(P146-$H$7)/2&gt;$G$7/2,$L$7-$I$7*(P146-$H$7)/2,$G$7/2),$L$7)</f>
        <v>1.60149994807829</v>
      </c>
      <c r="R146" s="0" t="n">
        <f aca="false">P146</f>
        <v>139</v>
      </c>
      <c r="S146" s="0" t="e">
        <f aca="false">Cp($P$7:$Q$146,2,$J$7,P146)</f>
        <v>#VALUE!</v>
      </c>
      <c r="T146" s="0" t="e">
        <f aca="false">S146/(SQRT(1-$N$7^2)+(S146/2)*(1-SQRT(1-$N$7^2)))</f>
        <v>#VALUE!</v>
      </c>
    </row>
    <row r="147" customFormat="false" ht="12.75" hidden="false" customHeight="false" outlineLevel="0" collapsed="false">
      <c r="O147" s="0" t="n">
        <f aca="false">O146+1</f>
        <v>141</v>
      </c>
      <c r="P147" s="27" t="n">
        <f aca="false">P146+$J$7</f>
        <v>140</v>
      </c>
      <c r="Q147" s="23" t="n">
        <f aca="false">IF(P147&gt;$H$7,IF($L$7-$I$7*(P147-$H$7)/2&gt;$G$7/2,$L$7-$I$7*(P147-$H$7)/2,$G$7/2),$L$7)</f>
        <v>1.60149994807829</v>
      </c>
      <c r="R147" s="0" t="n">
        <f aca="false">P147</f>
        <v>140</v>
      </c>
      <c r="S147" s="0" t="e">
        <f aca="false">Cp($P$7:$Q$146,2,$J$7,P147)</f>
        <v>#VALUE!</v>
      </c>
      <c r="T147" s="0" t="e">
        <f aca="false">S147/(SQRT(1-$N$7^2)+(S147/2)*(1-SQRT(1-$N$7^2)))</f>
        <v>#VALUE!</v>
      </c>
    </row>
    <row r="148" customFormat="false" ht="12.75" hidden="false" customHeight="false" outlineLevel="0" collapsed="false">
      <c r="O148" s="0" t="n">
        <f aca="false">O147+1</f>
        <v>142</v>
      </c>
      <c r="P148" s="27" t="n">
        <f aca="false">P147+$J$7</f>
        <v>141</v>
      </c>
      <c r="Q148" s="23" t="n">
        <f aca="false">IF(P148&gt;$H$7,IF($L$7-$I$7*(P148-$H$7)/2&gt;$G$7/2,$L$7-$I$7*(P148-$H$7)/2,$G$7/2),$L$7)</f>
        <v>1.60149994807829</v>
      </c>
      <c r="R148" s="0" t="n">
        <f aca="false">P148</f>
        <v>141</v>
      </c>
      <c r="S148" s="0" t="e">
        <f aca="false">Cp($P$7:$Q$146,2,$J$7,P148)</f>
        <v>#VALUE!</v>
      </c>
      <c r="T148" s="0" t="e">
        <f aca="false">S148/(SQRT(1-$N$7^2)+(S148/2)*(1-SQRT(1-$N$7^2)))</f>
        <v>#VALUE!</v>
      </c>
    </row>
    <row r="149" customFormat="false" ht="12.75" hidden="false" customHeight="false" outlineLevel="0" collapsed="false">
      <c r="O149" s="0" t="n">
        <f aca="false">O148+1</f>
        <v>143</v>
      </c>
      <c r="P149" s="27" t="n">
        <f aca="false">P148+$J$7</f>
        <v>142</v>
      </c>
      <c r="Q149" s="23" t="n">
        <f aca="false">IF(P149&gt;$H$7,IF($L$7-$I$7*(P149-$H$7)/2&gt;$G$7/2,$L$7-$I$7*(P149-$H$7)/2,$G$7/2),$L$7)</f>
        <v>1.60149994807829</v>
      </c>
      <c r="R149" s="0" t="n">
        <f aca="false">P149</f>
        <v>142</v>
      </c>
      <c r="S149" s="0" t="e">
        <f aca="false">Cp($P$7:$Q$146,2,$J$7,P149)</f>
        <v>#VALUE!</v>
      </c>
      <c r="T149" s="0" t="e">
        <f aca="false">S149/(SQRT(1-$N$7^2)+(S149/2)*(1-SQRT(1-$N$7^2)))</f>
        <v>#VALUE!</v>
      </c>
    </row>
    <row r="150" customFormat="false" ht="12.75" hidden="false" customHeight="false" outlineLevel="0" collapsed="false">
      <c r="O150" s="0" t="s">
        <v>26</v>
      </c>
      <c r="P150" s="0" t="s">
        <v>26</v>
      </c>
      <c r="Q150" s="0" t="s">
        <v>26</v>
      </c>
      <c r="R150" s="0" t="s">
        <v>26</v>
      </c>
      <c r="S150" s="0" t="s">
        <v>26</v>
      </c>
      <c r="T150" s="0" t="s">
        <v>26</v>
      </c>
    </row>
    <row r="151" customFormat="false" ht="12.75" hidden="false" customHeight="false" outlineLevel="0" collapsed="false">
      <c r="O151" s="0" t="s">
        <v>26</v>
      </c>
      <c r="P151" s="0" t="s">
        <v>26</v>
      </c>
      <c r="Q151" s="0" t="s">
        <v>26</v>
      </c>
      <c r="R151" s="0" t="s">
        <v>26</v>
      </c>
      <c r="S151" s="0" t="s">
        <v>26</v>
      </c>
      <c r="T151" s="0" t="s">
        <v>26</v>
      </c>
    </row>
    <row r="152" customFormat="false" ht="12.75" hidden="false" customHeight="false" outlineLevel="0" collapsed="false">
      <c r="O152" s="0" t="s">
        <v>26</v>
      </c>
      <c r="P152" s="0" t="s">
        <v>26</v>
      </c>
      <c r="Q152" s="0" t="s">
        <v>26</v>
      </c>
      <c r="R152" s="0" t="s">
        <v>26</v>
      </c>
      <c r="S152" s="0" t="s">
        <v>26</v>
      </c>
      <c r="T152" s="0" t="s">
        <v>26</v>
      </c>
    </row>
    <row r="153" customFormat="false" ht="12.75" hidden="false" customHeight="false" outlineLevel="0" collapsed="false">
      <c r="O153" s="0" t="s">
        <v>26</v>
      </c>
      <c r="P153" s="0" t="s">
        <v>26</v>
      </c>
      <c r="Q153" s="0" t="s">
        <v>26</v>
      </c>
      <c r="R153" s="0" t="s">
        <v>26</v>
      </c>
      <c r="S153" s="0" t="s">
        <v>26</v>
      </c>
      <c r="T153" s="0" t="s">
        <v>26</v>
      </c>
    </row>
    <row r="154" customFormat="false" ht="12.75" hidden="false" customHeight="false" outlineLevel="0" collapsed="false">
      <c r="O154" s="0" t="s">
        <v>26</v>
      </c>
      <c r="P154" s="0" t="s">
        <v>26</v>
      </c>
      <c r="Q154" s="0" t="s">
        <v>26</v>
      </c>
      <c r="R154" s="0" t="s">
        <v>26</v>
      </c>
      <c r="S154" s="0" t="s">
        <v>26</v>
      </c>
      <c r="T154" s="0" t="s">
        <v>26</v>
      </c>
    </row>
    <row r="155" customFormat="false" ht="12.75" hidden="false" customHeight="false" outlineLevel="0" collapsed="false">
      <c r="O155" s="0" t="s">
        <v>26</v>
      </c>
      <c r="P155" s="0" t="s">
        <v>26</v>
      </c>
      <c r="Q155" s="0" t="s">
        <v>26</v>
      </c>
      <c r="R155" s="0" t="s">
        <v>26</v>
      </c>
      <c r="S155" s="0" t="s">
        <v>26</v>
      </c>
      <c r="T155" s="0" t="s">
        <v>26</v>
      </c>
    </row>
    <row r="156" customFormat="false" ht="12.75" hidden="false" customHeight="false" outlineLevel="0" collapsed="false">
      <c r="O156" s="0" t="s">
        <v>26</v>
      </c>
      <c r="P156" s="0" t="s">
        <v>26</v>
      </c>
      <c r="Q156" s="0" t="s">
        <v>26</v>
      </c>
      <c r="R156" s="0" t="s">
        <v>26</v>
      </c>
      <c r="S156" s="0" t="s">
        <v>26</v>
      </c>
      <c r="T156" s="0" t="s">
        <v>26</v>
      </c>
    </row>
    <row r="157" customFormat="false" ht="12.75" hidden="false" customHeight="false" outlineLevel="0" collapsed="false">
      <c r="O157" s="0" t="s">
        <v>26</v>
      </c>
      <c r="P157" s="0" t="s">
        <v>26</v>
      </c>
      <c r="Q157" s="0" t="s">
        <v>26</v>
      </c>
      <c r="R157" s="0" t="s">
        <v>26</v>
      </c>
      <c r="S157" s="0" t="s">
        <v>26</v>
      </c>
      <c r="T157" s="0" t="s">
        <v>26</v>
      </c>
    </row>
    <row r="158" customFormat="false" ht="12.75" hidden="false" customHeight="false" outlineLevel="0" collapsed="false">
      <c r="O158" s="0" t="s">
        <v>26</v>
      </c>
      <c r="P158" s="0" t="s">
        <v>26</v>
      </c>
      <c r="Q158" s="0" t="s">
        <v>26</v>
      </c>
      <c r="R158" s="0" t="s">
        <v>26</v>
      </c>
      <c r="S158" s="0" t="s">
        <v>26</v>
      </c>
      <c r="T158" s="0" t="s">
        <v>26</v>
      </c>
    </row>
    <row r="159" customFormat="false" ht="12.75" hidden="false" customHeight="false" outlineLevel="0" collapsed="false">
      <c r="O159" s="0" t="s">
        <v>26</v>
      </c>
      <c r="P159" s="0" t="s">
        <v>26</v>
      </c>
      <c r="Q159" s="0" t="s">
        <v>26</v>
      </c>
      <c r="R159" s="0" t="s">
        <v>26</v>
      </c>
      <c r="S159" s="0" t="s">
        <v>26</v>
      </c>
      <c r="T159" s="0" t="s">
        <v>26</v>
      </c>
    </row>
    <row r="160" customFormat="false" ht="12.75" hidden="false" customHeight="false" outlineLevel="0" collapsed="false">
      <c r="O160" s="0" t="s">
        <v>26</v>
      </c>
      <c r="P160" s="0" t="s">
        <v>26</v>
      </c>
      <c r="Q160" s="0" t="s">
        <v>26</v>
      </c>
      <c r="R160" s="0" t="s">
        <v>26</v>
      </c>
      <c r="S160" s="0" t="s">
        <v>26</v>
      </c>
      <c r="T160" s="0" t="s">
        <v>26</v>
      </c>
    </row>
    <row r="161" customFormat="false" ht="12.75" hidden="false" customHeight="false" outlineLevel="0" collapsed="false">
      <c r="O161" s="0" t="s">
        <v>26</v>
      </c>
      <c r="P161" s="0" t="s">
        <v>26</v>
      </c>
      <c r="Q161" s="0" t="s">
        <v>26</v>
      </c>
      <c r="R161" s="0" t="s">
        <v>26</v>
      </c>
      <c r="S161" s="0" t="s">
        <v>26</v>
      </c>
      <c r="T161" s="0" t="s">
        <v>26</v>
      </c>
    </row>
    <row r="162" customFormat="false" ht="12.75" hidden="false" customHeight="false" outlineLevel="0" collapsed="false">
      <c r="O162" s="0" t="s">
        <v>26</v>
      </c>
      <c r="P162" s="0" t="s">
        <v>26</v>
      </c>
      <c r="Q162" s="0" t="s">
        <v>26</v>
      </c>
      <c r="R162" s="0" t="s">
        <v>26</v>
      </c>
      <c r="S162" s="0" t="s">
        <v>26</v>
      </c>
      <c r="T162" s="0" t="s">
        <v>26</v>
      </c>
    </row>
    <row r="163" customFormat="false" ht="12.75" hidden="false" customHeight="false" outlineLevel="0" collapsed="false">
      <c r="O163" s="0" t="s">
        <v>26</v>
      </c>
      <c r="P163" s="0" t="s">
        <v>26</v>
      </c>
      <c r="Q163" s="0" t="s">
        <v>26</v>
      </c>
      <c r="R163" s="0" t="s">
        <v>26</v>
      </c>
      <c r="S163" s="0" t="s">
        <v>26</v>
      </c>
      <c r="T163" s="0" t="s">
        <v>26</v>
      </c>
    </row>
    <row r="164" customFormat="false" ht="12.75" hidden="false" customHeight="false" outlineLevel="0" collapsed="false">
      <c r="O164" s="0" t="s">
        <v>26</v>
      </c>
      <c r="P164" s="0" t="s">
        <v>26</v>
      </c>
      <c r="Q164" s="0" t="s">
        <v>26</v>
      </c>
      <c r="R164" s="0" t="s">
        <v>26</v>
      </c>
      <c r="S164" s="0" t="s">
        <v>26</v>
      </c>
      <c r="T164" s="0" t="s">
        <v>26</v>
      </c>
    </row>
    <row r="165" customFormat="false" ht="12.75" hidden="false" customHeight="false" outlineLevel="0" collapsed="false">
      <c r="O165" s="0" t="s">
        <v>26</v>
      </c>
      <c r="P165" s="0" t="s">
        <v>26</v>
      </c>
      <c r="Q165" s="0" t="s">
        <v>26</v>
      </c>
      <c r="R165" s="0" t="s">
        <v>26</v>
      </c>
      <c r="S165" s="0" t="s">
        <v>26</v>
      </c>
      <c r="T165" s="0" t="s">
        <v>26</v>
      </c>
    </row>
    <row r="166" customFormat="false" ht="12.75" hidden="false" customHeight="false" outlineLevel="0" collapsed="false">
      <c r="O166" s="0" t="s">
        <v>26</v>
      </c>
      <c r="P166" s="0" t="s">
        <v>26</v>
      </c>
      <c r="Q166" s="0" t="s">
        <v>26</v>
      </c>
      <c r="R166" s="0" t="s">
        <v>26</v>
      </c>
      <c r="S166" s="0" t="s">
        <v>26</v>
      </c>
      <c r="T166" s="0" t="s">
        <v>26</v>
      </c>
    </row>
    <row r="167" customFormat="false" ht="12.75" hidden="false" customHeight="false" outlineLevel="0" collapsed="false">
      <c r="P167" s="27"/>
      <c r="Q167" s="23"/>
    </row>
    <row r="168" customFormat="false" ht="12.75" hidden="false" customHeight="false" outlineLevel="0" collapsed="false">
      <c r="P168" s="27"/>
      <c r="Q168" s="23"/>
    </row>
    <row r="169" customFormat="false" ht="12.75" hidden="false" customHeight="false" outlineLevel="0" collapsed="false">
      <c r="P169" s="27"/>
      <c r="Q169" s="23"/>
    </row>
    <row r="170" customFormat="false" ht="12.75" hidden="false" customHeight="false" outlineLevel="0" collapsed="false">
      <c r="P170" s="27"/>
      <c r="Q170" s="23"/>
    </row>
    <row r="171" customFormat="false" ht="12.75" hidden="false" customHeight="false" outlineLevel="0" collapsed="false">
      <c r="P171" s="27"/>
      <c r="Q171" s="23"/>
    </row>
    <row r="172" customFormat="false" ht="12.75" hidden="false" customHeight="false" outlineLevel="0" collapsed="false">
      <c r="P172" s="27"/>
      <c r="Q172" s="23"/>
    </row>
    <row r="173" customFormat="false" ht="12.75" hidden="false" customHeight="false" outlineLevel="0" collapsed="false">
      <c r="P173" s="27"/>
      <c r="Q173" s="23"/>
    </row>
    <row r="174" customFormat="false" ht="12.75" hidden="false" customHeight="false" outlineLevel="0" collapsed="false">
      <c r="P174" s="27"/>
      <c r="Q174" s="23"/>
    </row>
    <row r="175" customFormat="false" ht="12.75" hidden="false" customHeight="false" outlineLevel="0" collapsed="false">
      <c r="P175" s="27"/>
      <c r="Q175" s="23"/>
    </row>
    <row r="176" customFormat="false" ht="12.75" hidden="false" customHeight="false" outlineLevel="0" collapsed="false">
      <c r="P176" s="27"/>
      <c r="Q176" s="23"/>
    </row>
    <row r="177" customFormat="false" ht="12.75" hidden="false" customHeight="false" outlineLevel="0" collapsed="false">
      <c r="P177" s="27"/>
      <c r="Q177" s="23"/>
    </row>
    <row r="178" customFormat="false" ht="12.75" hidden="false" customHeight="false" outlineLevel="0" collapsed="false">
      <c r="P178" s="27"/>
      <c r="Q178" s="23"/>
    </row>
    <row r="179" customFormat="false" ht="12.75" hidden="false" customHeight="false" outlineLevel="0" collapsed="false">
      <c r="P179" s="27"/>
      <c r="Q179" s="23"/>
    </row>
    <row r="180" customFormat="false" ht="12.75" hidden="false" customHeight="false" outlineLevel="0" collapsed="false">
      <c r="P180" s="27"/>
      <c r="Q180" s="23"/>
    </row>
    <row r="181" customFormat="false" ht="12.75" hidden="false" customHeight="false" outlineLevel="0" collapsed="false">
      <c r="P181" s="27"/>
      <c r="Q181" s="23"/>
    </row>
    <row r="182" customFormat="false" ht="12.75" hidden="false" customHeight="false" outlineLevel="0" collapsed="false">
      <c r="P182" s="27"/>
      <c r="Q182" s="23"/>
    </row>
    <row r="183" customFormat="false" ht="12.75" hidden="false" customHeight="false" outlineLevel="0" collapsed="false">
      <c r="P183" s="27"/>
      <c r="Q183" s="23"/>
    </row>
    <row r="184" customFormat="false" ht="12.75" hidden="false" customHeight="false" outlineLevel="0" collapsed="false">
      <c r="P184" s="27"/>
      <c r="Q184" s="23"/>
    </row>
    <row r="185" customFormat="false" ht="12.75" hidden="false" customHeight="false" outlineLevel="0" collapsed="false">
      <c r="P185" s="27"/>
      <c r="Q185" s="23"/>
    </row>
    <row r="186" customFormat="false" ht="12.75" hidden="false" customHeight="false" outlineLevel="0" collapsed="false">
      <c r="P186" s="27"/>
      <c r="Q186" s="23"/>
    </row>
    <row r="187" customFormat="false" ht="12.75" hidden="false" customHeight="false" outlineLevel="0" collapsed="false">
      <c r="P187" s="27"/>
      <c r="Q187" s="23"/>
    </row>
    <row r="188" customFormat="false" ht="12.75" hidden="false" customHeight="false" outlineLevel="0" collapsed="false">
      <c r="P188" s="27"/>
      <c r="Q188" s="23"/>
    </row>
    <row r="189" customFormat="false" ht="12.75" hidden="false" customHeight="false" outlineLevel="0" collapsed="false">
      <c r="P189" s="27"/>
      <c r="Q189" s="23"/>
    </row>
    <row r="190" customFormat="false" ht="12.75" hidden="false" customHeight="false" outlineLevel="0" collapsed="false">
      <c r="P190" s="27"/>
      <c r="Q190" s="23"/>
    </row>
    <row r="191" customFormat="false" ht="12.75" hidden="false" customHeight="false" outlineLevel="0" collapsed="false">
      <c r="P191" s="27"/>
      <c r="Q191" s="23"/>
    </row>
    <row r="192" customFormat="false" ht="12.75" hidden="false" customHeight="false" outlineLevel="0" collapsed="false">
      <c r="P192" s="27"/>
      <c r="Q192" s="23"/>
    </row>
    <row r="193" customFormat="false" ht="12.75" hidden="false" customHeight="false" outlineLevel="0" collapsed="false">
      <c r="P193" s="27"/>
      <c r="Q193" s="23"/>
    </row>
    <row r="194" customFormat="false" ht="12.75" hidden="false" customHeight="false" outlineLevel="0" collapsed="false">
      <c r="P194" s="27"/>
      <c r="Q194" s="23"/>
    </row>
    <row r="195" customFormat="false" ht="12.75" hidden="false" customHeight="false" outlineLevel="0" collapsed="false">
      <c r="P195" s="27"/>
      <c r="Q195" s="23"/>
    </row>
    <row r="196" customFormat="false" ht="12.75" hidden="false" customHeight="false" outlineLevel="0" collapsed="false">
      <c r="P196" s="27"/>
      <c r="Q196" s="23"/>
    </row>
    <row r="197" customFormat="false" ht="12.75" hidden="false" customHeight="false" outlineLevel="0" collapsed="false">
      <c r="P197" s="27"/>
      <c r="Q197" s="2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2011-09-29T14:40:20Z</dcterms:created>
  <dc:creator>Owner</dc:creator>
  <dc:description/>
  <dc:language>en-US</dc:language>
  <cp:lastModifiedBy>Owner</cp:lastModifiedBy>
  <dcterms:modified xsi:type="dcterms:W3CDTF">2012-05-14T22:01:26Z</dcterms:modified>
  <cp:revision>0</cp:revision>
  <dc:subject/>
  <dc:title/>
</cp:coreProperties>
</file>