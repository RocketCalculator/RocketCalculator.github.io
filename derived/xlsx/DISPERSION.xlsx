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<sst xmlns="http://schemas.openxmlformats.org/spreadsheetml/2006/main" count="42" uniqueCount="42">
  <si>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Flt Path Angl Dispersions.doc</t>
  </si>
  <si>
    <r>
      <rPr>
        <sz val="10"/>
        <rFont val="Arial"/>
        <family val="0"/>
      </rPr>
      <t xml:space="preserve">Accel due to Gravity, ft/sec</t>
    </r>
    <r>
      <rPr>
        <vertAlign val="superscript"/>
        <sz val="10"/>
        <rFont val="Arial"/>
        <family val="0"/>
      </rPr>
      <t xml:space="preserve">2</t>
    </r>
  </si>
  <si>
    <r>
      <rPr>
        <sz val="10"/>
        <rFont val="Arial"/>
        <family val="0"/>
      </rPr>
      <t xml:space="preserve">Density, </t>
    </r>
    <r>
      <rPr>
        <sz val="10"/>
        <rFont val="Arial"/>
        <family val="2"/>
      </rPr>
      <t xml:space="preserve">ρ, sl/ft</t>
    </r>
    <r>
      <rPr>
        <vertAlign val="superscript"/>
        <sz val="10"/>
        <rFont val="Arial"/>
        <family val="2"/>
      </rPr>
      <t xml:space="preserve">3</t>
    </r>
  </si>
  <si>
    <r>
      <rPr>
        <sz val="10"/>
        <rFont val="Arial"/>
        <family val="0"/>
      </rPr>
      <t xml:space="preserve">Sref, ft</t>
    </r>
    <r>
      <rPr>
        <vertAlign val="superscript"/>
        <sz val="10"/>
        <rFont val="Arial"/>
        <family val="2"/>
      </rPr>
      <t xml:space="preserve">2</t>
    </r>
  </si>
  <si>
    <r>
      <rPr>
        <sz val="11"/>
        <rFont val="Times New Roman"/>
        <family val="1"/>
      </rPr>
      <t xml:space="preserve">C</t>
    </r>
    <r>
      <rPr>
        <vertAlign val="subscript"/>
        <sz val="11"/>
        <rFont val="Times New Roman"/>
        <family val="1"/>
      </rPr>
      <t xml:space="preserve">L</t>
    </r>
    <r>
      <rPr>
        <vertAlign val="subscript"/>
        <sz val="11"/>
        <rFont val="Arial"/>
        <family val="0"/>
      </rPr>
      <t xml:space="preserve">α</t>
    </r>
  </si>
  <si>
    <t xml:space="preserve">Thrust, lb</t>
  </si>
  <si>
    <r>
      <rPr>
        <sz val="10"/>
        <rFont val="Times New Roman"/>
        <family val="1"/>
      </rPr>
      <t xml:space="preserve">Pitch MOI, sl-ft</t>
    </r>
    <r>
      <rPr>
        <vertAlign val="superscript"/>
        <sz val="10"/>
        <rFont val="Times New Roman"/>
        <family val="1"/>
      </rPr>
      <t xml:space="preserve">2</t>
    </r>
  </si>
  <si>
    <t xml:space="preserve">Thrust Moment Arm, ft</t>
  </si>
  <si>
    <t xml:space="preserve">Thrust Misalignmt Angle, rad</t>
  </si>
  <si>
    <t xml:space="preserve">Thrust Vector Offset Dist, ft</t>
  </si>
  <si>
    <t xml:space="preserve">Rocket mass, sl</t>
  </si>
  <si>
    <t xml:space="preserve">Planar Gust Speed , ft/sec</t>
  </si>
  <si>
    <t xml:space="preserve">Gust Quasi-correlation Wave No ft</t>
  </si>
  <si>
    <t xml:space="preserve">a, g</t>
  </si>
  <si>
    <t xml:space="preserve">g/2a</t>
  </si>
  <si>
    <t xml:space="preserve">Roll Wave Length, ft</t>
  </si>
  <si>
    <r>
      <rPr>
        <sz val="10"/>
        <rFont val="Times New Roman"/>
        <family val="1"/>
      </rPr>
      <t xml:space="preserve">λ</t>
    </r>
    <r>
      <rPr>
        <vertAlign val="subscript"/>
        <sz val="10"/>
        <rFont val="Arial"/>
        <family val="2"/>
      </rPr>
      <t xml:space="preserve">R</t>
    </r>
    <r>
      <rPr>
        <sz val="10"/>
        <rFont val="Arial"/>
        <family val="2"/>
      </rPr>
      <t xml:space="preserve">, rad/ft</t>
    </r>
  </si>
  <si>
    <r>
      <rPr>
        <sz val="10"/>
        <rFont val="Times New Roman"/>
        <family val="1"/>
      </rPr>
      <t xml:space="preserve">λ</t>
    </r>
    <r>
      <rPr>
        <vertAlign val="subscript"/>
        <sz val="10"/>
        <rFont val="Times New Roman"/>
        <family val="1"/>
      </rPr>
      <t xml:space="preserve">P</t>
    </r>
    <r>
      <rPr>
        <sz val="10"/>
        <rFont val="Times New Roman"/>
        <family val="1"/>
      </rPr>
      <t xml:space="preserve">, rad/ft</t>
    </r>
  </si>
  <si>
    <r>
      <rPr>
        <sz val="10"/>
        <rFont val="Times New Roman"/>
        <family val="1"/>
      </rPr>
      <t xml:space="preserve">Aero Lift, L</t>
    </r>
    <r>
      <rPr>
        <vertAlign val="subscript"/>
        <sz val="10"/>
        <rFont val="Times New Roman"/>
        <family val="1"/>
      </rPr>
      <t xml:space="preserve">A</t>
    </r>
    <r>
      <rPr>
        <sz val="10"/>
        <rFont val="Times New Roman"/>
        <family val="1"/>
      </rPr>
      <t xml:space="preserve">, lb</t>
    </r>
  </si>
  <si>
    <r>
      <rPr>
        <sz val="11"/>
        <rFont val="Times New Roman"/>
        <family val="1"/>
      </rPr>
      <t xml:space="preserve">L</t>
    </r>
    <r>
      <rPr>
        <vertAlign val="subscript"/>
        <sz val="11"/>
        <rFont val="Times New Roman"/>
        <family val="1"/>
      </rPr>
      <t xml:space="preserve">A</t>
    </r>
    <r>
      <rPr>
        <sz val="11"/>
        <rFont val="Times New Roman"/>
        <family val="1"/>
      </rPr>
      <t xml:space="preserve">/mg</t>
    </r>
  </si>
  <si>
    <r>
      <rPr>
        <sz val="11"/>
        <rFont val="Times New Roman"/>
        <family val="1"/>
      </rPr>
      <t xml:space="preserve">L</t>
    </r>
    <r>
      <rPr>
        <vertAlign val="subscript"/>
        <sz val="11"/>
        <rFont val="Times New Roman"/>
        <family val="1"/>
      </rPr>
      <t xml:space="preserve">A</t>
    </r>
    <r>
      <rPr>
        <sz val="11"/>
        <rFont val="Times New Roman"/>
        <family val="1"/>
      </rPr>
      <t xml:space="preserve">/2ma</t>
    </r>
  </si>
  <si>
    <t xml:space="preserve">Launcher Length, L, ft</t>
  </si>
  <si>
    <t xml:space="preserve">Gust K</t>
  </si>
  <si>
    <t xml:space="preserve">Step Size, deltah, ft</t>
  </si>
  <si>
    <t xml:space="preserve">Altitude, h, ft</t>
  </si>
  <si>
    <r>
      <rPr>
        <sz val="11"/>
        <rFont val="Arial"/>
        <family val="0"/>
      </rPr>
      <t xml:space="preserve">(h/L)</t>
    </r>
    <r>
      <rPr>
        <vertAlign val="superscript"/>
        <sz val="11"/>
        <rFont val="Arial"/>
        <family val="0"/>
      </rPr>
      <t xml:space="preserve">g/2a</t>
    </r>
  </si>
  <si>
    <t xml:space="preserve">Roll Angle, φ, rad</t>
  </si>
  <si>
    <r>
      <rPr>
        <sz val="10"/>
        <rFont val="Arial"/>
        <family val="0"/>
      </rPr>
      <t xml:space="preserve">cos</t>
    </r>
    <r>
      <rPr>
        <sz val="12"/>
        <rFont val="Times New Roman"/>
        <family val="1"/>
      </rPr>
      <t xml:space="preserve">φ</t>
    </r>
  </si>
  <si>
    <r>
      <rPr>
        <sz val="10"/>
        <rFont val="Arial"/>
        <family val="0"/>
      </rPr>
      <t xml:space="preserve">sin</t>
    </r>
    <r>
      <rPr>
        <sz val="12"/>
        <rFont val="Times New Roman"/>
        <family val="1"/>
      </rPr>
      <t xml:space="preserve">φ</t>
    </r>
  </si>
  <si>
    <r>
      <rPr>
        <sz val="10"/>
        <rFont val="Arial"/>
        <family val="0"/>
      </rPr>
      <t xml:space="preserve">γ</t>
    </r>
    <r>
      <rPr>
        <vertAlign val="subscript"/>
        <sz val="10"/>
        <rFont val="Arial"/>
        <family val="2"/>
      </rPr>
      <t xml:space="preserve">T</t>
    </r>
    <r>
      <rPr>
        <sz val="10"/>
        <rFont val="Arial"/>
        <family val="0"/>
      </rPr>
      <t xml:space="preserve">, rad</t>
    </r>
  </si>
  <si>
    <r>
      <rPr>
        <sz val="10"/>
        <rFont val="Arial"/>
        <family val="0"/>
      </rPr>
      <t xml:space="preserve">dγ</t>
    </r>
    <r>
      <rPr>
        <vertAlign val="subscript"/>
        <sz val="10"/>
        <rFont val="Arial"/>
        <family val="2"/>
      </rPr>
      <t xml:space="preserve">T</t>
    </r>
    <r>
      <rPr>
        <sz val="10"/>
        <rFont val="Arial"/>
        <family val="0"/>
      </rPr>
      <t xml:space="preserve">, rad</t>
    </r>
  </si>
  <si>
    <t xml:space="preserve">dE, rad</t>
  </si>
  <si>
    <t xml:space="preserve">E, rad</t>
  </si>
  <si>
    <t xml:space="preserve">dN, rad</t>
  </si>
  <si>
    <t xml:space="preserve">N, rad</t>
  </si>
  <si>
    <t xml:space="preserve">Altitude/ Roll Wave Length</t>
  </si>
  <si>
    <r>
      <rPr>
        <sz val="10"/>
        <rFont val="Arial"/>
        <family val="0"/>
      </rPr>
      <t xml:space="preserve">Ampl, γ</t>
    </r>
    <r>
      <rPr>
        <vertAlign val="subscript"/>
        <sz val="10"/>
        <rFont val="Arial"/>
        <family val="2"/>
      </rPr>
      <t xml:space="preserve">D</t>
    </r>
    <r>
      <rPr>
        <sz val="10"/>
        <rFont val="Arial"/>
        <family val="0"/>
      </rPr>
      <t xml:space="preserve">, rad</t>
    </r>
  </si>
  <si>
    <r>
      <rPr>
        <sz val="10"/>
        <rFont val="Arial"/>
        <family val="0"/>
      </rPr>
      <t xml:space="preserve">Gust gamma, γ</t>
    </r>
    <r>
      <rPr>
        <vertAlign val="subscript"/>
        <sz val="10"/>
        <rFont val="Arial"/>
        <family val="2"/>
      </rPr>
      <t xml:space="preserve">G</t>
    </r>
  </si>
  <si>
    <t xml:space="preserve">Planar γ Standard Deviation, rad</t>
  </si>
  <si>
    <r>
      <rPr>
        <sz val="10"/>
        <rFont val="Arial"/>
        <family val="0"/>
      </rPr>
      <t xml:space="preserve">Equiv Launcher Angle, γ</t>
    </r>
    <r>
      <rPr>
        <vertAlign val="subscript"/>
        <sz val="10"/>
        <rFont val="Arial"/>
        <family val="2"/>
      </rPr>
      <t xml:space="preserve">o</t>
    </r>
    <r>
      <rPr>
        <sz val="10"/>
        <rFont val="Arial"/>
        <family val="0"/>
      </rPr>
      <t xml:space="preserve">, rad</t>
    </r>
  </si>
  <si>
    <r>
      <rPr>
        <sz val="10"/>
        <rFont val="Arial"/>
        <family val="0"/>
      </rPr>
      <t xml:space="preserve">λ</t>
    </r>
    <r>
      <rPr>
        <vertAlign val="subscript"/>
        <sz val="10"/>
        <rFont val="Arial"/>
        <family val="2"/>
      </rPr>
      <t xml:space="preserve">P</t>
    </r>
  </si>
  <si>
    <r>
      <rPr>
        <sz val="10"/>
        <rFont val="Arial"/>
        <family val="0"/>
      </rPr>
      <t xml:space="preserve">γ</t>
    </r>
    <r>
      <rPr>
        <vertAlign val="subscript"/>
        <sz val="10"/>
        <rFont val="Arial"/>
        <family val="2"/>
      </rPr>
      <t xml:space="preserve">o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</si>
</sst>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0"/>
    </font>
    <font>
      <vertAlign val="superscript"/>
      <sz val="10"/>
      <name val="Arial"/>
      <family val="0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name val="Times New Roman"/>
      <family val="1"/>
    </font>
    <font>
      <vertAlign val="subscript"/>
      <sz val="11"/>
      <name val="Times New Roman"/>
      <family val="1"/>
    </font>
    <font>
      <vertAlign val="subscript"/>
      <sz val="11"/>
      <name val="Arial"/>
      <family val="0"/>
    </font>
    <font>
      <sz val="10"/>
      <name val="Times New Roman"/>
      <family val="1"/>
    </font>
    <font>
      <vertAlign val="superscript"/>
      <sz val="10"/>
      <name val="Times New Roman"/>
      <family val="1"/>
    </font>
    <font>
      <vertAlign val="subscript"/>
      <sz val="10"/>
      <name val="Arial"/>
      <family val="2"/>
    </font>
    <font>
      <vertAlign val="subscript"/>
      <sz val="10"/>
      <name val="Times New Roman"/>
      <family val="1"/>
    </font>
    <font>
      <sz val="11"/>
      <name val="Arial"/>
      <family val="0"/>
    </font>
    <font>
      <vertAlign val="superscript"/>
      <sz val="11"/>
      <name val="Arial"/>
      <family val="0"/>
    </font>
    <font>
      <sz val="12"/>
      <name val="Times New Roman"/>
      <family val="1"/>
    </font>
    <font>
      <b val="true"/>
      <sz val="13.25"/>
      <color rgb="FF000000"/>
      <name val="Arial"/>
      <family val="2"/>
    </font>
    <font>
      <b val="true"/>
      <sz val="11.25"/>
      <color rgb="FF000000"/>
      <name val="Arial"/>
      <family val="2"/>
    </font>
    <font>
      <b val="true"/>
      <sz val="14"/>
      <color rgb="FF000000"/>
      <name val="Arial"/>
      <family val="2"/>
    </font>
    <font>
      <b val="true"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25" b="1" u="none" strike="noStrike">
                <a:solidFill>
                  <a:srgbClr val="000000"/>
                </a:solidFill>
                <a:uFillTx/>
                <a:latin typeface="Arial"/>
              </a:rPr>
              <a:t>Dispersive Flight Path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Sheet1!$AJ$5:$AJ$495</c:f>
              <c:numCache>
                <c:formatCode>General</c:formatCode>
                <c:ptCount val="491"/>
                <c:pt idx="0">
                  <c:v>0.04</c:v>
                </c:pt>
                <c:pt idx="1">
                  <c:v>0.044</c:v>
                </c:pt>
                <c:pt idx="2">
                  <c:v>0.048</c:v>
                </c:pt>
                <c:pt idx="3">
                  <c:v>0.052</c:v>
                </c:pt>
                <c:pt idx="4">
                  <c:v>0.056</c:v>
                </c:pt>
                <c:pt idx="5">
                  <c:v>0.06</c:v>
                </c:pt>
                <c:pt idx="6">
                  <c:v>0.064</c:v>
                </c:pt>
                <c:pt idx="7">
                  <c:v>0.068</c:v>
                </c:pt>
                <c:pt idx="8">
                  <c:v>0.072</c:v>
                </c:pt>
                <c:pt idx="9">
                  <c:v>0.076</c:v>
                </c:pt>
                <c:pt idx="10">
                  <c:v>0.08</c:v>
                </c:pt>
                <c:pt idx="11">
                  <c:v>0.084</c:v>
                </c:pt>
                <c:pt idx="12">
                  <c:v>0.088</c:v>
                </c:pt>
                <c:pt idx="13">
                  <c:v>0.092</c:v>
                </c:pt>
                <c:pt idx="14">
                  <c:v>0.096</c:v>
                </c:pt>
                <c:pt idx="15">
                  <c:v>0.1</c:v>
                </c:pt>
                <c:pt idx="16">
                  <c:v>0.104</c:v>
                </c:pt>
                <c:pt idx="17">
                  <c:v>0.108</c:v>
                </c:pt>
                <c:pt idx="18">
                  <c:v>0.112</c:v>
                </c:pt>
                <c:pt idx="19">
                  <c:v>0.116</c:v>
                </c:pt>
                <c:pt idx="20">
                  <c:v>0.12</c:v>
                </c:pt>
                <c:pt idx="21">
                  <c:v>0.124</c:v>
                </c:pt>
                <c:pt idx="22">
                  <c:v>0.128</c:v>
                </c:pt>
                <c:pt idx="23">
                  <c:v>0.132</c:v>
                </c:pt>
                <c:pt idx="24">
                  <c:v>0.136</c:v>
                </c:pt>
                <c:pt idx="25">
                  <c:v>0.14</c:v>
                </c:pt>
                <c:pt idx="26">
                  <c:v>0.144</c:v>
                </c:pt>
                <c:pt idx="27">
                  <c:v>0.148</c:v>
                </c:pt>
                <c:pt idx="28">
                  <c:v>0.152</c:v>
                </c:pt>
                <c:pt idx="29">
                  <c:v>0.156</c:v>
                </c:pt>
                <c:pt idx="30">
                  <c:v>0.16</c:v>
                </c:pt>
                <c:pt idx="31">
                  <c:v>0.164</c:v>
                </c:pt>
                <c:pt idx="32">
                  <c:v>0.168</c:v>
                </c:pt>
                <c:pt idx="33">
                  <c:v>0.172</c:v>
                </c:pt>
                <c:pt idx="34">
                  <c:v>0.176</c:v>
                </c:pt>
                <c:pt idx="35">
                  <c:v>0.18</c:v>
                </c:pt>
                <c:pt idx="36">
                  <c:v>0.184</c:v>
                </c:pt>
                <c:pt idx="37">
                  <c:v>0.188</c:v>
                </c:pt>
                <c:pt idx="38">
                  <c:v>0.192</c:v>
                </c:pt>
                <c:pt idx="39">
                  <c:v>0.196</c:v>
                </c:pt>
                <c:pt idx="40">
                  <c:v>0.2</c:v>
                </c:pt>
                <c:pt idx="41">
                  <c:v>0.204</c:v>
                </c:pt>
                <c:pt idx="42">
                  <c:v>0.208</c:v>
                </c:pt>
                <c:pt idx="43">
                  <c:v>0.212</c:v>
                </c:pt>
                <c:pt idx="44">
                  <c:v>0.216</c:v>
                </c:pt>
                <c:pt idx="45">
                  <c:v>0.22</c:v>
                </c:pt>
                <c:pt idx="46">
                  <c:v>0.224</c:v>
                </c:pt>
                <c:pt idx="47">
                  <c:v>0.228</c:v>
                </c:pt>
                <c:pt idx="48">
                  <c:v>0.232</c:v>
                </c:pt>
                <c:pt idx="49">
                  <c:v>0.236</c:v>
                </c:pt>
                <c:pt idx="50">
                  <c:v>0.24</c:v>
                </c:pt>
                <c:pt idx="51">
                  <c:v>0.244</c:v>
                </c:pt>
                <c:pt idx="52">
                  <c:v>0.248</c:v>
                </c:pt>
                <c:pt idx="53">
                  <c:v>0.252</c:v>
                </c:pt>
                <c:pt idx="54">
                  <c:v>0.256</c:v>
                </c:pt>
                <c:pt idx="55">
                  <c:v>0.26</c:v>
                </c:pt>
                <c:pt idx="56">
                  <c:v>0.264</c:v>
                </c:pt>
                <c:pt idx="57">
                  <c:v>0.268</c:v>
                </c:pt>
                <c:pt idx="58">
                  <c:v>0.272</c:v>
                </c:pt>
                <c:pt idx="59">
                  <c:v>0.276</c:v>
                </c:pt>
                <c:pt idx="60">
                  <c:v>0.28</c:v>
                </c:pt>
                <c:pt idx="61">
                  <c:v>0.284</c:v>
                </c:pt>
                <c:pt idx="62">
                  <c:v>0.288</c:v>
                </c:pt>
                <c:pt idx="63">
                  <c:v>0.292</c:v>
                </c:pt>
                <c:pt idx="64">
                  <c:v>0.296</c:v>
                </c:pt>
                <c:pt idx="65">
                  <c:v>0.3</c:v>
                </c:pt>
                <c:pt idx="66">
                  <c:v>0.304</c:v>
                </c:pt>
                <c:pt idx="67">
                  <c:v>0.308</c:v>
                </c:pt>
                <c:pt idx="68">
                  <c:v>0.312</c:v>
                </c:pt>
                <c:pt idx="69">
                  <c:v>0.316</c:v>
                </c:pt>
                <c:pt idx="70">
                  <c:v>0.32</c:v>
                </c:pt>
                <c:pt idx="71">
                  <c:v>0.324</c:v>
                </c:pt>
                <c:pt idx="72">
                  <c:v>0.328</c:v>
                </c:pt>
                <c:pt idx="73">
                  <c:v>0.332</c:v>
                </c:pt>
                <c:pt idx="74">
                  <c:v>0.336</c:v>
                </c:pt>
                <c:pt idx="75">
                  <c:v>0.34</c:v>
                </c:pt>
                <c:pt idx="76">
                  <c:v>0.344</c:v>
                </c:pt>
                <c:pt idx="77">
                  <c:v>0.348</c:v>
                </c:pt>
                <c:pt idx="78">
                  <c:v>0.352</c:v>
                </c:pt>
                <c:pt idx="79">
                  <c:v>0.356</c:v>
                </c:pt>
                <c:pt idx="80">
                  <c:v>0.36</c:v>
                </c:pt>
                <c:pt idx="81">
                  <c:v>0.364</c:v>
                </c:pt>
                <c:pt idx="82">
                  <c:v>0.368</c:v>
                </c:pt>
                <c:pt idx="83">
                  <c:v>0.372</c:v>
                </c:pt>
                <c:pt idx="84">
                  <c:v>0.376</c:v>
                </c:pt>
                <c:pt idx="85">
                  <c:v>0.38</c:v>
                </c:pt>
                <c:pt idx="86">
                  <c:v>0.384</c:v>
                </c:pt>
                <c:pt idx="87">
                  <c:v>0.388</c:v>
                </c:pt>
                <c:pt idx="88">
                  <c:v>0.392</c:v>
                </c:pt>
                <c:pt idx="89">
                  <c:v>0.396</c:v>
                </c:pt>
                <c:pt idx="90">
                  <c:v>0.4</c:v>
                </c:pt>
                <c:pt idx="91">
                  <c:v>0.404</c:v>
                </c:pt>
                <c:pt idx="92">
                  <c:v>0.408</c:v>
                </c:pt>
                <c:pt idx="93">
                  <c:v>0.412</c:v>
                </c:pt>
                <c:pt idx="94">
                  <c:v>0.416</c:v>
                </c:pt>
                <c:pt idx="95">
                  <c:v>0.42</c:v>
                </c:pt>
                <c:pt idx="96">
                  <c:v>0.424</c:v>
                </c:pt>
                <c:pt idx="97">
                  <c:v>0.428</c:v>
                </c:pt>
                <c:pt idx="98">
                  <c:v>0.432</c:v>
                </c:pt>
                <c:pt idx="99">
                  <c:v>0.436</c:v>
                </c:pt>
                <c:pt idx="100">
                  <c:v>0.44</c:v>
                </c:pt>
                <c:pt idx="101">
                  <c:v>0.444</c:v>
                </c:pt>
                <c:pt idx="102">
                  <c:v>0.448</c:v>
                </c:pt>
                <c:pt idx="103">
                  <c:v>0.452</c:v>
                </c:pt>
                <c:pt idx="104">
                  <c:v>0.456</c:v>
                </c:pt>
                <c:pt idx="105">
                  <c:v>0.46</c:v>
                </c:pt>
                <c:pt idx="106">
                  <c:v>0.464</c:v>
                </c:pt>
                <c:pt idx="107">
                  <c:v>0.468</c:v>
                </c:pt>
                <c:pt idx="108">
                  <c:v>0.472</c:v>
                </c:pt>
                <c:pt idx="109">
                  <c:v>0.476</c:v>
                </c:pt>
                <c:pt idx="110">
                  <c:v>0.48</c:v>
                </c:pt>
                <c:pt idx="111">
                  <c:v>0.484</c:v>
                </c:pt>
                <c:pt idx="112">
                  <c:v>0.488</c:v>
                </c:pt>
                <c:pt idx="113">
                  <c:v>0.492</c:v>
                </c:pt>
                <c:pt idx="114">
                  <c:v>0.496</c:v>
                </c:pt>
                <c:pt idx="115">
                  <c:v>0.5</c:v>
                </c:pt>
                <c:pt idx="116">
                  <c:v>0.504</c:v>
                </c:pt>
                <c:pt idx="117">
                  <c:v>0.508</c:v>
                </c:pt>
                <c:pt idx="118">
                  <c:v>0.512</c:v>
                </c:pt>
                <c:pt idx="119">
                  <c:v>0.516</c:v>
                </c:pt>
                <c:pt idx="120">
                  <c:v>0.52</c:v>
                </c:pt>
                <c:pt idx="121">
                  <c:v>0.524</c:v>
                </c:pt>
                <c:pt idx="122">
                  <c:v>0.528</c:v>
                </c:pt>
                <c:pt idx="123">
                  <c:v>0.532</c:v>
                </c:pt>
                <c:pt idx="124">
                  <c:v>0.536</c:v>
                </c:pt>
                <c:pt idx="125">
                  <c:v>0.54</c:v>
                </c:pt>
                <c:pt idx="126">
                  <c:v>0.544</c:v>
                </c:pt>
                <c:pt idx="127">
                  <c:v>0.548</c:v>
                </c:pt>
                <c:pt idx="128">
                  <c:v>0.552</c:v>
                </c:pt>
                <c:pt idx="129">
                  <c:v>0.556</c:v>
                </c:pt>
                <c:pt idx="130">
                  <c:v>0.56</c:v>
                </c:pt>
                <c:pt idx="131">
                  <c:v>0.564</c:v>
                </c:pt>
                <c:pt idx="132">
                  <c:v>0.568</c:v>
                </c:pt>
                <c:pt idx="133">
                  <c:v>0.572</c:v>
                </c:pt>
                <c:pt idx="134">
                  <c:v>0.576</c:v>
                </c:pt>
                <c:pt idx="135">
                  <c:v>0.58</c:v>
                </c:pt>
                <c:pt idx="136">
                  <c:v>0.584</c:v>
                </c:pt>
                <c:pt idx="137">
                  <c:v>0.588</c:v>
                </c:pt>
                <c:pt idx="138">
                  <c:v>0.592</c:v>
                </c:pt>
                <c:pt idx="139">
                  <c:v>0.596</c:v>
                </c:pt>
                <c:pt idx="140">
                  <c:v>0.6</c:v>
                </c:pt>
                <c:pt idx="141">
                  <c:v>0.604</c:v>
                </c:pt>
                <c:pt idx="142">
                  <c:v>0.608</c:v>
                </c:pt>
                <c:pt idx="143">
                  <c:v>0.612</c:v>
                </c:pt>
                <c:pt idx="144">
                  <c:v>0.616</c:v>
                </c:pt>
                <c:pt idx="145">
                  <c:v>0.62</c:v>
                </c:pt>
                <c:pt idx="146">
                  <c:v>0.624</c:v>
                </c:pt>
                <c:pt idx="147">
                  <c:v>0.628</c:v>
                </c:pt>
                <c:pt idx="148">
                  <c:v>0.632</c:v>
                </c:pt>
                <c:pt idx="149">
                  <c:v>0.636</c:v>
                </c:pt>
                <c:pt idx="150">
                  <c:v>0.64</c:v>
                </c:pt>
                <c:pt idx="151">
                  <c:v>0.644</c:v>
                </c:pt>
                <c:pt idx="152">
                  <c:v>0.648</c:v>
                </c:pt>
                <c:pt idx="153">
                  <c:v>0.652</c:v>
                </c:pt>
                <c:pt idx="154">
                  <c:v>0.656</c:v>
                </c:pt>
                <c:pt idx="155">
                  <c:v>0.66</c:v>
                </c:pt>
                <c:pt idx="156">
                  <c:v>0.664</c:v>
                </c:pt>
                <c:pt idx="157">
                  <c:v>0.668</c:v>
                </c:pt>
                <c:pt idx="158">
                  <c:v>0.672</c:v>
                </c:pt>
                <c:pt idx="159">
                  <c:v>0.676</c:v>
                </c:pt>
                <c:pt idx="160">
                  <c:v>0.68</c:v>
                </c:pt>
                <c:pt idx="161">
                  <c:v>0.684</c:v>
                </c:pt>
                <c:pt idx="162">
                  <c:v>0.688</c:v>
                </c:pt>
                <c:pt idx="163">
                  <c:v>0.692</c:v>
                </c:pt>
                <c:pt idx="164">
                  <c:v>0.696</c:v>
                </c:pt>
                <c:pt idx="165">
                  <c:v>0.7</c:v>
                </c:pt>
                <c:pt idx="166">
                  <c:v>0.704</c:v>
                </c:pt>
                <c:pt idx="167">
                  <c:v>0.708</c:v>
                </c:pt>
                <c:pt idx="168">
                  <c:v>0.712</c:v>
                </c:pt>
                <c:pt idx="169">
                  <c:v>0.716</c:v>
                </c:pt>
                <c:pt idx="170">
                  <c:v>0.72</c:v>
                </c:pt>
                <c:pt idx="171">
                  <c:v>0.724</c:v>
                </c:pt>
                <c:pt idx="172">
                  <c:v>0.728</c:v>
                </c:pt>
                <c:pt idx="173">
                  <c:v>0.732</c:v>
                </c:pt>
                <c:pt idx="174">
                  <c:v>0.736</c:v>
                </c:pt>
                <c:pt idx="175">
                  <c:v>0.74</c:v>
                </c:pt>
                <c:pt idx="176">
                  <c:v>0.744</c:v>
                </c:pt>
                <c:pt idx="177">
                  <c:v>0.748</c:v>
                </c:pt>
                <c:pt idx="178">
                  <c:v>0.752</c:v>
                </c:pt>
                <c:pt idx="179">
                  <c:v>0.756</c:v>
                </c:pt>
                <c:pt idx="180">
                  <c:v>0.76</c:v>
                </c:pt>
                <c:pt idx="181">
                  <c:v>0.764</c:v>
                </c:pt>
                <c:pt idx="182">
                  <c:v>0.768</c:v>
                </c:pt>
                <c:pt idx="183">
                  <c:v>0.772</c:v>
                </c:pt>
                <c:pt idx="184">
                  <c:v>0.776</c:v>
                </c:pt>
                <c:pt idx="185">
                  <c:v>0.78</c:v>
                </c:pt>
                <c:pt idx="186">
                  <c:v>0.784</c:v>
                </c:pt>
                <c:pt idx="187">
                  <c:v>0.788</c:v>
                </c:pt>
                <c:pt idx="188">
                  <c:v>0.792</c:v>
                </c:pt>
                <c:pt idx="189">
                  <c:v>0.796</c:v>
                </c:pt>
                <c:pt idx="190">
                  <c:v>0.8</c:v>
                </c:pt>
                <c:pt idx="191">
                  <c:v>0.804</c:v>
                </c:pt>
                <c:pt idx="192">
                  <c:v>0.808</c:v>
                </c:pt>
                <c:pt idx="193">
                  <c:v>0.812</c:v>
                </c:pt>
                <c:pt idx="194">
                  <c:v>0.816</c:v>
                </c:pt>
                <c:pt idx="195">
                  <c:v>0.82</c:v>
                </c:pt>
                <c:pt idx="196">
                  <c:v>0.824</c:v>
                </c:pt>
                <c:pt idx="197">
                  <c:v>0.828</c:v>
                </c:pt>
                <c:pt idx="198">
                  <c:v>0.832</c:v>
                </c:pt>
                <c:pt idx="199">
                  <c:v>0.836</c:v>
                </c:pt>
                <c:pt idx="200">
                  <c:v>0.84</c:v>
                </c:pt>
                <c:pt idx="201">
                  <c:v>0.844</c:v>
                </c:pt>
                <c:pt idx="202">
                  <c:v>0.848</c:v>
                </c:pt>
                <c:pt idx="203">
                  <c:v>0.852</c:v>
                </c:pt>
                <c:pt idx="204">
                  <c:v>0.856</c:v>
                </c:pt>
                <c:pt idx="205">
                  <c:v>0.86</c:v>
                </c:pt>
                <c:pt idx="206">
                  <c:v>0.864</c:v>
                </c:pt>
                <c:pt idx="207">
                  <c:v>0.868</c:v>
                </c:pt>
                <c:pt idx="208">
                  <c:v>0.872</c:v>
                </c:pt>
                <c:pt idx="209">
                  <c:v>0.876</c:v>
                </c:pt>
                <c:pt idx="210">
                  <c:v>0.88</c:v>
                </c:pt>
                <c:pt idx="211">
                  <c:v>0.884</c:v>
                </c:pt>
                <c:pt idx="212">
                  <c:v>0.888</c:v>
                </c:pt>
                <c:pt idx="213">
                  <c:v>0.892</c:v>
                </c:pt>
                <c:pt idx="214">
                  <c:v>0.896</c:v>
                </c:pt>
                <c:pt idx="215">
                  <c:v>0.9</c:v>
                </c:pt>
                <c:pt idx="216">
                  <c:v>0.904</c:v>
                </c:pt>
                <c:pt idx="217">
                  <c:v>0.908</c:v>
                </c:pt>
                <c:pt idx="218">
                  <c:v>0.912</c:v>
                </c:pt>
                <c:pt idx="219">
                  <c:v>0.916</c:v>
                </c:pt>
                <c:pt idx="220">
                  <c:v>0.92</c:v>
                </c:pt>
                <c:pt idx="221">
                  <c:v>0.924</c:v>
                </c:pt>
                <c:pt idx="222">
                  <c:v>0.928</c:v>
                </c:pt>
                <c:pt idx="223">
                  <c:v>0.932</c:v>
                </c:pt>
                <c:pt idx="224">
                  <c:v>0.936</c:v>
                </c:pt>
                <c:pt idx="225">
                  <c:v>0.94</c:v>
                </c:pt>
                <c:pt idx="226">
                  <c:v>0.944</c:v>
                </c:pt>
                <c:pt idx="227">
                  <c:v>0.948</c:v>
                </c:pt>
                <c:pt idx="228">
                  <c:v>0.952</c:v>
                </c:pt>
                <c:pt idx="229">
                  <c:v>0.956</c:v>
                </c:pt>
                <c:pt idx="230">
                  <c:v>0.96</c:v>
                </c:pt>
                <c:pt idx="231">
                  <c:v>0.964</c:v>
                </c:pt>
                <c:pt idx="232">
                  <c:v>0.968</c:v>
                </c:pt>
                <c:pt idx="233">
                  <c:v>0.972</c:v>
                </c:pt>
                <c:pt idx="234">
                  <c:v>0.976</c:v>
                </c:pt>
                <c:pt idx="235">
                  <c:v>0.98</c:v>
                </c:pt>
                <c:pt idx="236">
                  <c:v>0.984</c:v>
                </c:pt>
                <c:pt idx="237">
                  <c:v>0.988</c:v>
                </c:pt>
                <c:pt idx="238">
                  <c:v>0.992</c:v>
                </c:pt>
                <c:pt idx="239">
                  <c:v>0.996</c:v>
                </c:pt>
                <c:pt idx="240">
                  <c:v>1</c:v>
                </c:pt>
                <c:pt idx="241">
                  <c:v>1.004</c:v>
                </c:pt>
                <c:pt idx="242">
                  <c:v>1.008</c:v>
                </c:pt>
                <c:pt idx="243">
                  <c:v>1.012</c:v>
                </c:pt>
                <c:pt idx="244">
                  <c:v>1.016</c:v>
                </c:pt>
                <c:pt idx="245">
                  <c:v>1.02</c:v>
                </c:pt>
                <c:pt idx="246">
                  <c:v>1.024</c:v>
                </c:pt>
                <c:pt idx="247">
                  <c:v>1.028</c:v>
                </c:pt>
                <c:pt idx="248">
                  <c:v>1.032</c:v>
                </c:pt>
                <c:pt idx="249">
                  <c:v>1.036</c:v>
                </c:pt>
                <c:pt idx="250">
                  <c:v>1.04</c:v>
                </c:pt>
                <c:pt idx="251">
                  <c:v>1.044</c:v>
                </c:pt>
                <c:pt idx="252">
                  <c:v>1.048</c:v>
                </c:pt>
                <c:pt idx="253">
                  <c:v>1.052</c:v>
                </c:pt>
                <c:pt idx="254">
                  <c:v>1.056</c:v>
                </c:pt>
                <c:pt idx="255">
                  <c:v>1.06</c:v>
                </c:pt>
                <c:pt idx="256">
                  <c:v>1.064</c:v>
                </c:pt>
                <c:pt idx="257">
                  <c:v>1.068</c:v>
                </c:pt>
                <c:pt idx="258">
                  <c:v>1.072</c:v>
                </c:pt>
                <c:pt idx="259">
                  <c:v>1.076</c:v>
                </c:pt>
                <c:pt idx="260">
                  <c:v>1.08</c:v>
                </c:pt>
                <c:pt idx="261">
                  <c:v>1.084</c:v>
                </c:pt>
                <c:pt idx="262">
                  <c:v>1.088</c:v>
                </c:pt>
                <c:pt idx="263">
                  <c:v>1.092</c:v>
                </c:pt>
                <c:pt idx="264">
                  <c:v>1.096</c:v>
                </c:pt>
                <c:pt idx="265">
                  <c:v>1.1</c:v>
                </c:pt>
                <c:pt idx="266">
                  <c:v>1.104</c:v>
                </c:pt>
                <c:pt idx="267">
                  <c:v>1.108</c:v>
                </c:pt>
                <c:pt idx="268">
                  <c:v>1.112</c:v>
                </c:pt>
                <c:pt idx="269">
                  <c:v>1.116</c:v>
                </c:pt>
                <c:pt idx="270">
                  <c:v>1.12</c:v>
                </c:pt>
                <c:pt idx="271">
                  <c:v>1.124</c:v>
                </c:pt>
                <c:pt idx="272">
                  <c:v>1.128</c:v>
                </c:pt>
                <c:pt idx="273">
                  <c:v>1.132</c:v>
                </c:pt>
                <c:pt idx="274">
                  <c:v>1.136</c:v>
                </c:pt>
                <c:pt idx="275">
                  <c:v>1.14</c:v>
                </c:pt>
                <c:pt idx="276">
                  <c:v>1.144</c:v>
                </c:pt>
                <c:pt idx="277">
                  <c:v>1.148</c:v>
                </c:pt>
                <c:pt idx="278">
                  <c:v>1.152</c:v>
                </c:pt>
                <c:pt idx="279">
                  <c:v>1.156</c:v>
                </c:pt>
                <c:pt idx="280">
                  <c:v>1.16</c:v>
                </c:pt>
                <c:pt idx="281">
                  <c:v>1.164</c:v>
                </c:pt>
                <c:pt idx="282">
                  <c:v>1.168</c:v>
                </c:pt>
                <c:pt idx="283">
                  <c:v>1.172</c:v>
                </c:pt>
                <c:pt idx="284">
                  <c:v>1.176</c:v>
                </c:pt>
                <c:pt idx="285">
                  <c:v>1.18</c:v>
                </c:pt>
                <c:pt idx="286">
                  <c:v>1.184</c:v>
                </c:pt>
                <c:pt idx="287">
                  <c:v>1.188</c:v>
                </c:pt>
                <c:pt idx="288">
                  <c:v>1.192</c:v>
                </c:pt>
                <c:pt idx="289">
                  <c:v>1.196</c:v>
                </c:pt>
                <c:pt idx="290">
                  <c:v>1.2</c:v>
                </c:pt>
                <c:pt idx="291">
                  <c:v>1.204</c:v>
                </c:pt>
                <c:pt idx="292">
                  <c:v>1.208</c:v>
                </c:pt>
                <c:pt idx="293">
                  <c:v>1.212</c:v>
                </c:pt>
                <c:pt idx="294">
                  <c:v>1.216</c:v>
                </c:pt>
                <c:pt idx="295">
                  <c:v>1.22</c:v>
                </c:pt>
                <c:pt idx="296">
                  <c:v>1.224</c:v>
                </c:pt>
                <c:pt idx="297">
                  <c:v>1.228</c:v>
                </c:pt>
                <c:pt idx="298">
                  <c:v>1.232</c:v>
                </c:pt>
                <c:pt idx="299">
                  <c:v>1.236</c:v>
                </c:pt>
                <c:pt idx="300">
                  <c:v>1.24</c:v>
                </c:pt>
                <c:pt idx="301">
                  <c:v>1.244</c:v>
                </c:pt>
                <c:pt idx="302">
                  <c:v>1.248</c:v>
                </c:pt>
                <c:pt idx="303">
                  <c:v>1.252</c:v>
                </c:pt>
                <c:pt idx="304">
                  <c:v>1.256</c:v>
                </c:pt>
                <c:pt idx="305">
                  <c:v>1.26</c:v>
                </c:pt>
                <c:pt idx="306">
                  <c:v>1.264</c:v>
                </c:pt>
                <c:pt idx="307">
                  <c:v>1.268</c:v>
                </c:pt>
                <c:pt idx="308">
                  <c:v>1.272</c:v>
                </c:pt>
                <c:pt idx="309">
                  <c:v>1.276</c:v>
                </c:pt>
                <c:pt idx="310">
                  <c:v>1.28</c:v>
                </c:pt>
                <c:pt idx="311">
                  <c:v>1.284</c:v>
                </c:pt>
                <c:pt idx="312">
                  <c:v>1.288</c:v>
                </c:pt>
                <c:pt idx="313">
                  <c:v>1.292</c:v>
                </c:pt>
                <c:pt idx="314">
                  <c:v>1.296</c:v>
                </c:pt>
                <c:pt idx="315">
                  <c:v>1.3</c:v>
                </c:pt>
                <c:pt idx="316">
                  <c:v>1.304</c:v>
                </c:pt>
                <c:pt idx="317">
                  <c:v>1.308</c:v>
                </c:pt>
                <c:pt idx="318">
                  <c:v>1.312</c:v>
                </c:pt>
                <c:pt idx="319">
                  <c:v>1.316</c:v>
                </c:pt>
                <c:pt idx="320">
                  <c:v>1.32</c:v>
                </c:pt>
                <c:pt idx="321">
                  <c:v>1.324</c:v>
                </c:pt>
                <c:pt idx="322">
                  <c:v>1.328</c:v>
                </c:pt>
                <c:pt idx="323">
                  <c:v>1.332</c:v>
                </c:pt>
                <c:pt idx="324">
                  <c:v>1.336</c:v>
                </c:pt>
                <c:pt idx="325">
                  <c:v>1.34</c:v>
                </c:pt>
                <c:pt idx="326">
                  <c:v>1.344</c:v>
                </c:pt>
                <c:pt idx="327">
                  <c:v>1.348</c:v>
                </c:pt>
                <c:pt idx="328">
                  <c:v>1.352</c:v>
                </c:pt>
                <c:pt idx="329">
                  <c:v>1.356</c:v>
                </c:pt>
                <c:pt idx="330">
                  <c:v>1.36</c:v>
                </c:pt>
                <c:pt idx="331">
                  <c:v>1.364</c:v>
                </c:pt>
                <c:pt idx="332">
                  <c:v>1.368</c:v>
                </c:pt>
                <c:pt idx="333">
                  <c:v>1.372</c:v>
                </c:pt>
                <c:pt idx="334">
                  <c:v>1.376</c:v>
                </c:pt>
                <c:pt idx="335">
                  <c:v>1.38</c:v>
                </c:pt>
                <c:pt idx="336">
                  <c:v>1.384</c:v>
                </c:pt>
                <c:pt idx="337">
                  <c:v>1.388</c:v>
                </c:pt>
                <c:pt idx="338">
                  <c:v>1.392</c:v>
                </c:pt>
                <c:pt idx="339">
                  <c:v>1.396</c:v>
                </c:pt>
                <c:pt idx="340">
                  <c:v>1.4</c:v>
                </c:pt>
                <c:pt idx="341">
                  <c:v>1.404</c:v>
                </c:pt>
                <c:pt idx="342">
                  <c:v>1.408</c:v>
                </c:pt>
                <c:pt idx="343">
                  <c:v>1.412</c:v>
                </c:pt>
                <c:pt idx="344">
                  <c:v>1.416</c:v>
                </c:pt>
                <c:pt idx="345">
                  <c:v>1.42</c:v>
                </c:pt>
                <c:pt idx="346">
                  <c:v>1.424</c:v>
                </c:pt>
                <c:pt idx="347">
                  <c:v>1.428</c:v>
                </c:pt>
                <c:pt idx="348">
                  <c:v>1.432</c:v>
                </c:pt>
                <c:pt idx="349">
                  <c:v>1.436</c:v>
                </c:pt>
                <c:pt idx="350">
                  <c:v>1.44</c:v>
                </c:pt>
                <c:pt idx="351">
                  <c:v>1.444</c:v>
                </c:pt>
                <c:pt idx="352">
                  <c:v>1.448</c:v>
                </c:pt>
                <c:pt idx="353">
                  <c:v>1.452</c:v>
                </c:pt>
                <c:pt idx="354">
                  <c:v>1.456</c:v>
                </c:pt>
                <c:pt idx="355">
                  <c:v>1.46</c:v>
                </c:pt>
                <c:pt idx="356">
                  <c:v>1.464</c:v>
                </c:pt>
                <c:pt idx="357">
                  <c:v>1.468</c:v>
                </c:pt>
                <c:pt idx="358">
                  <c:v>1.472</c:v>
                </c:pt>
                <c:pt idx="359">
                  <c:v>1.476</c:v>
                </c:pt>
                <c:pt idx="360">
                  <c:v>1.48</c:v>
                </c:pt>
                <c:pt idx="361">
                  <c:v>1.484</c:v>
                </c:pt>
                <c:pt idx="362">
                  <c:v>1.488</c:v>
                </c:pt>
                <c:pt idx="363">
                  <c:v>1.492</c:v>
                </c:pt>
                <c:pt idx="364">
                  <c:v>1.496</c:v>
                </c:pt>
                <c:pt idx="365">
                  <c:v>1.5</c:v>
                </c:pt>
                <c:pt idx="366">
                  <c:v>1.504</c:v>
                </c:pt>
                <c:pt idx="367">
                  <c:v>1.508</c:v>
                </c:pt>
                <c:pt idx="368">
                  <c:v>1.512</c:v>
                </c:pt>
                <c:pt idx="369">
                  <c:v>1.516</c:v>
                </c:pt>
                <c:pt idx="370">
                  <c:v>1.52</c:v>
                </c:pt>
                <c:pt idx="371">
                  <c:v>1.524</c:v>
                </c:pt>
                <c:pt idx="372">
                  <c:v>1.528</c:v>
                </c:pt>
                <c:pt idx="373">
                  <c:v>1.532</c:v>
                </c:pt>
                <c:pt idx="374">
                  <c:v>1.536</c:v>
                </c:pt>
                <c:pt idx="375">
                  <c:v>1.54</c:v>
                </c:pt>
                <c:pt idx="376">
                  <c:v>1.544</c:v>
                </c:pt>
                <c:pt idx="377">
                  <c:v>1.548</c:v>
                </c:pt>
                <c:pt idx="378">
                  <c:v>1.552</c:v>
                </c:pt>
                <c:pt idx="379">
                  <c:v>1.556</c:v>
                </c:pt>
                <c:pt idx="380">
                  <c:v>1.56</c:v>
                </c:pt>
                <c:pt idx="381">
                  <c:v>1.564</c:v>
                </c:pt>
                <c:pt idx="382">
                  <c:v>1.568</c:v>
                </c:pt>
                <c:pt idx="383">
                  <c:v>1.572</c:v>
                </c:pt>
                <c:pt idx="384">
                  <c:v>1.576</c:v>
                </c:pt>
                <c:pt idx="385">
                  <c:v>1.58</c:v>
                </c:pt>
                <c:pt idx="386">
                  <c:v>1.584</c:v>
                </c:pt>
                <c:pt idx="387">
                  <c:v>1.588</c:v>
                </c:pt>
                <c:pt idx="388">
                  <c:v>1.592</c:v>
                </c:pt>
                <c:pt idx="389">
                  <c:v>1.596</c:v>
                </c:pt>
                <c:pt idx="390">
                  <c:v>1.6</c:v>
                </c:pt>
                <c:pt idx="391">
                  <c:v>1.604</c:v>
                </c:pt>
                <c:pt idx="392">
                  <c:v>1.608</c:v>
                </c:pt>
                <c:pt idx="393">
                  <c:v>1.612</c:v>
                </c:pt>
                <c:pt idx="394">
                  <c:v>1.616</c:v>
                </c:pt>
                <c:pt idx="395">
                  <c:v>1.62</c:v>
                </c:pt>
                <c:pt idx="396">
                  <c:v>1.624</c:v>
                </c:pt>
                <c:pt idx="397">
                  <c:v>1.628</c:v>
                </c:pt>
                <c:pt idx="398">
                  <c:v>1.632</c:v>
                </c:pt>
                <c:pt idx="399">
                  <c:v>1.636</c:v>
                </c:pt>
                <c:pt idx="400">
                  <c:v>1.64</c:v>
                </c:pt>
                <c:pt idx="401">
                  <c:v>1.644</c:v>
                </c:pt>
                <c:pt idx="402">
                  <c:v>1.648</c:v>
                </c:pt>
                <c:pt idx="403">
                  <c:v>1.652</c:v>
                </c:pt>
                <c:pt idx="404">
                  <c:v>1.656</c:v>
                </c:pt>
                <c:pt idx="405">
                  <c:v>1.66</c:v>
                </c:pt>
                <c:pt idx="406">
                  <c:v>1.664</c:v>
                </c:pt>
                <c:pt idx="407">
                  <c:v>1.668</c:v>
                </c:pt>
                <c:pt idx="408">
                  <c:v>1.672</c:v>
                </c:pt>
                <c:pt idx="409">
                  <c:v>1.676</c:v>
                </c:pt>
                <c:pt idx="410">
                  <c:v>1.68</c:v>
                </c:pt>
                <c:pt idx="411">
                  <c:v>1.684</c:v>
                </c:pt>
                <c:pt idx="412">
                  <c:v>1.688</c:v>
                </c:pt>
                <c:pt idx="413">
                  <c:v>1.692</c:v>
                </c:pt>
                <c:pt idx="414">
                  <c:v>1.696</c:v>
                </c:pt>
                <c:pt idx="415">
                  <c:v>1.7</c:v>
                </c:pt>
                <c:pt idx="416">
                  <c:v>1.704</c:v>
                </c:pt>
                <c:pt idx="417">
                  <c:v>1.708</c:v>
                </c:pt>
                <c:pt idx="418">
                  <c:v>1.712</c:v>
                </c:pt>
                <c:pt idx="419">
                  <c:v>1.716</c:v>
                </c:pt>
                <c:pt idx="420">
                  <c:v>1.72</c:v>
                </c:pt>
                <c:pt idx="421">
                  <c:v>1.724</c:v>
                </c:pt>
                <c:pt idx="422">
                  <c:v>1.728</c:v>
                </c:pt>
                <c:pt idx="423">
                  <c:v>1.732</c:v>
                </c:pt>
                <c:pt idx="424">
                  <c:v>1.736</c:v>
                </c:pt>
                <c:pt idx="425">
                  <c:v>1.74</c:v>
                </c:pt>
                <c:pt idx="426">
                  <c:v>1.744</c:v>
                </c:pt>
                <c:pt idx="427">
                  <c:v>1.748</c:v>
                </c:pt>
                <c:pt idx="428">
                  <c:v>1.752</c:v>
                </c:pt>
                <c:pt idx="429">
                  <c:v>1.756</c:v>
                </c:pt>
                <c:pt idx="430">
                  <c:v>1.76</c:v>
                </c:pt>
                <c:pt idx="431">
                  <c:v>1.764</c:v>
                </c:pt>
                <c:pt idx="432">
                  <c:v>1.768</c:v>
                </c:pt>
                <c:pt idx="433">
                  <c:v>1.772</c:v>
                </c:pt>
                <c:pt idx="434">
                  <c:v>1.776</c:v>
                </c:pt>
                <c:pt idx="435">
                  <c:v>1.78</c:v>
                </c:pt>
                <c:pt idx="436">
                  <c:v>1.784</c:v>
                </c:pt>
                <c:pt idx="437">
                  <c:v>1.788</c:v>
                </c:pt>
                <c:pt idx="438">
                  <c:v>1.792</c:v>
                </c:pt>
                <c:pt idx="439">
                  <c:v>1.796</c:v>
                </c:pt>
                <c:pt idx="440">
                  <c:v>1.8</c:v>
                </c:pt>
                <c:pt idx="441">
                  <c:v>1.804</c:v>
                </c:pt>
                <c:pt idx="442">
                  <c:v>1.808</c:v>
                </c:pt>
                <c:pt idx="443">
                  <c:v>1.812</c:v>
                </c:pt>
                <c:pt idx="444">
                  <c:v>1.816</c:v>
                </c:pt>
                <c:pt idx="445">
                  <c:v>1.82</c:v>
                </c:pt>
                <c:pt idx="446">
                  <c:v>1.824</c:v>
                </c:pt>
                <c:pt idx="447">
                  <c:v>1.828</c:v>
                </c:pt>
                <c:pt idx="448">
                  <c:v>1.832</c:v>
                </c:pt>
                <c:pt idx="449">
                  <c:v>1.836</c:v>
                </c:pt>
                <c:pt idx="450">
                  <c:v>1.84</c:v>
                </c:pt>
                <c:pt idx="451">
                  <c:v>1.844</c:v>
                </c:pt>
                <c:pt idx="452">
                  <c:v>1.848</c:v>
                </c:pt>
                <c:pt idx="453">
                  <c:v>1.852</c:v>
                </c:pt>
                <c:pt idx="454">
                  <c:v>1.856</c:v>
                </c:pt>
                <c:pt idx="455">
                  <c:v>1.86</c:v>
                </c:pt>
                <c:pt idx="456">
                  <c:v>1.864</c:v>
                </c:pt>
                <c:pt idx="457">
                  <c:v>1.868</c:v>
                </c:pt>
                <c:pt idx="458">
                  <c:v>1.872</c:v>
                </c:pt>
                <c:pt idx="459">
                  <c:v>1.876</c:v>
                </c:pt>
                <c:pt idx="460">
                  <c:v>1.88</c:v>
                </c:pt>
                <c:pt idx="461">
                  <c:v>1.884</c:v>
                </c:pt>
                <c:pt idx="462">
                  <c:v>1.888</c:v>
                </c:pt>
                <c:pt idx="463">
                  <c:v>1.892</c:v>
                </c:pt>
                <c:pt idx="464">
                  <c:v>1.896</c:v>
                </c:pt>
                <c:pt idx="465">
                  <c:v>1.9</c:v>
                </c:pt>
                <c:pt idx="466">
                  <c:v>1.904</c:v>
                </c:pt>
                <c:pt idx="467">
                  <c:v>1.908</c:v>
                </c:pt>
                <c:pt idx="468">
                  <c:v>1.912</c:v>
                </c:pt>
                <c:pt idx="469">
                  <c:v>1.916</c:v>
                </c:pt>
                <c:pt idx="470">
                  <c:v>1.92</c:v>
                </c:pt>
                <c:pt idx="471">
                  <c:v>1.924</c:v>
                </c:pt>
                <c:pt idx="472">
                  <c:v>1.928</c:v>
                </c:pt>
                <c:pt idx="473">
                  <c:v>1.932</c:v>
                </c:pt>
                <c:pt idx="474">
                  <c:v>1.936</c:v>
                </c:pt>
                <c:pt idx="475">
                  <c:v>1.94</c:v>
                </c:pt>
                <c:pt idx="476">
                  <c:v>1.944</c:v>
                </c:pt>
                <c:pt idx="477">
                  <c:v>1.948</c:v>
                </c:pt>
                <c:pt idx="478">
                  <c:v>1.952</c:v>
                </c:pt>
                <c:pt idx="479">
                  <c:v>1.956</c:v>
                </c:pt>
                <c:pt idx="480">
                  <c:v>1.96</c:v>
                </c:pt>
                <c:pt idx="481">
                  <c:v>1.964</c:v>
                </c:pt>
                <c:pt idx="482">
                  <c:v>1.968</c:v>
                </c:pt>
                <c:pt idx="483">
                  <c:v>1.972</c:v>
                </c:pt>
                <c:pt idx="484">
                  <c:v>1.976</c:v>
                </c:pt>
                <c:pt idx="485">
                  <c:v>1.98</c:v>
                </c:pt>
                <c:pt idx="486">
                  <c:v>1.984</c:v>
                </c:pt>
                <c:pt idx="487">
                  <c:v>1.988</c:v>
                </c:pt>
                <c:pt idx="488">
                  <c:v>1.992</c:v>
                </c:pt>
                <c:pt idx="489">
                  <c:v>1.996</c:v>
                </c:pt>
                <c:pt idx="490">
                  <c:v>2</c:v>
                </c:pt>
              </c:numCache>
            </c:numRef>
          </c:xVal>
          <c:yVal>
            <c:numRef>
              <c:f>Sheet1!$AK$5:$AK$495</c:f>
              <c:numCache>
                <c:formatCode>General</c:formatCode>
                <c:ptCount val="491"/>
                <c:pt idx="0">
                  <c:v>0</c:v>
                </c:pt>
                <c:pt idx="1">
                  <c:v>0.000315082443990628</c:v>
                </c:pt>
                <c:pt idx="2">
                  <c:v>0.000604286919078303</c:v>
                </c:pt>
                <c:pt idx="3">
                  <c:v>0.000871587271259422</c:v>
                </c:pt>
                <c:pt idx="4">
                  <c:v>0.00112008814221712</c:v>
                </c:pt>
                <c:pt idx="5">
                  <c:v>0.00135226160422717</c:v>
                </c:pt>
                <c:pt idx="6">
                  <c:v>0.00157010829635147</c:v>
                </c:pt>
                <c:pt idx="7">
                  <c:v>0.00177527026066011</c:v>
                </c:pt>
                <c:pt idx="8">
                  <c:v>0.00196911188567115</c:v>
                </c:pt>
                <c:pt idx="9">
                  <c:v>0.00215277920589631</c:v>
                </c:pt>
                <c:pt idx="10">
                  <c:v>0.00232724415662155</c:v>
                </c:pt>
                <c:pt idx="11">
                  <c:v>0.00249333814753817</c:v>
                </c:pt>
                <c:pt idx="12">
                  <c:v>0.00265177790931098</c:v>
                </c:pt>
                <c:pt idx="13">
                  <c:v>0.0028031856553108</c:v>
                </c:pt>
                <c:pt idx="14">
                  <c:v>0.00294810499714638</c:v>
                </c:pt>
                <c:pt idx="15">
                  <c:v>0.00308701364476947</c:v>
                </c:pt>
                <c:pt idx="16">
                  <c:v>0.0032203336411435</c:v>
                </c:pt>
                <c:pt idx="17">
                  <c:v>0.00334843968486929</c:v>
                </c:pt>
                <c:pt idx="18">
                  <c:v>0.00347166595436659</c:v>
                </c:pt>
                <c:pt idx="19">
                  <c:v>0.00359031174639163</c:v>
                </c:pt>
                <c:pt idx="20">
                  <c:v>0.00370464616800834</c:v>
                </c:pt>
                <c:pt idx="21">
                  <c:v>0.00381491206666083</c:v>
                </c:pt>
                <c:pt idx="22">
                  <c:v>0.00392132934226584</c:v>
                </c:pt>
                <c:pt idx="23">
                  <c:v>0.00402409775447421</c:v>
                </c:pt>
                <c:pt idx="24">
                  <c:v>0.0041233993147804</c:v>
                </c:pt>
                <c:pt idx="25">
                  <c:v>0.00421940033509568</c:v>
                </c:pt>
                <c:pt idx="26">
                  <c:v>0.00431225319038097</c:v>
                </c:pt>
                <c:pt idx="27">
                  <c:v>0.00440209784196904</c:v>
                </c:pt>
                <c:pt idx="28">
                  <c:v>0.00448906315956341</c:v>
                </c:pt>
                <c:pt idx="29">
                  <c:v>0.00457326807304344</c:v>
                </c:pt>
                <c:pt idx="30">
                  <c:v>0.00465482257972739</c:v>
                </c:pt>
                <c:pt idx="31">
                  <c:v>0.00473382862834224</c:v>
                </c:pt>
                <c:pt idx="32">
                  <c:v>0.00481038089739011</c:v>
                </c:pt>
                <c:pt idx="33">
                  <c:v>0.00488456748270741</c:v>
                </c:pt>
                <c:pt idx="34">
                  <c:v>0.00495647050664795</c:v>
                </c:pt>
                <c:pt idx="35">
                  <c:v>0.00502616665937949</c:v>
                </c:pt>
                <c:pt idx="36">
                  <c:v>0.00509372768117979</c:v>
                </c:pt>
                <c:pt idx="37">
                  <c:v>0.00515922079328986</c:v>
                </c:pt>
                <c:pt idx="38">
                  <c:v>0.00522270908377552</c:v>
                </c:pt>
                <c:pt idx="39">
                  <c:v>0.00528425185392359</c:v>
                </c:pt>
                <c:pt idx="40">
                  <c:v>0.00534390492992245</c:v>
                </c:pt>
                <c:pt idx="41">
                  <c:v>0.00540172094392277</c:v>
                </c:pt>
                <c:pt idx="42">
                  <c:v>0.00545774958802097</c:v>
                </c:pt>
                <c:pt idx="43">
                  <c:v>0.00551203784423875</c:v>
                </c:pt>
                <c:pt idx="44">
                  <c:v>0.00556463019317236</c:v>
                </c:pt>
                <c:pt idx="45">
                  <c:v>0.00561556880364409</c:v>
                </c:pt>
                <c:pt idx="46">
                  <c:v>0.00566489370539615</c:v>
                </c:pt>
                <c:pt idx="47">
                  <c:v>0.0057126429466158</c:v>
                </c:pt>
                <c:pt idx="48">
                  <c:v>0.00575885273786427</c:v>
                </c:pt>
                <c:pt idx="49">
                  <c:v>0.005803557583795</c:v>
                </c:pt>
                <c:pt idx="50">
                  <c:v>0.00584679040388457</c:v>
                </c:pt>
                <c:pt idx="51">
                  <c:v>0.00588858264325913</c:v>
                </c:pt>
                <c:pt idx="52">
                  <c:v>0.00592896437457675</c:v>
                </c:pt>
                <c:pt idx="53">
                  <c:v>0.00596796439181878</c:v>
                </c:pt>
                <c:pt idx="54">
                  <c:v>0.00600561029675029</c:v>
                </c:pt>
                <c:pt idx="55">
                  <c:v>0.00604192857872739</c:v>
                </c:pt>
                <c:pt idx="56">
                  <c:v>0.00607694468845726</c:v>
                </c:pt>
                <c:pt idx="57">
                  <c:v>0.00611068310625339</c:v>
                </c:pt>
                <c:pt idx="58">
                  <c:v>0.00614316740527248</c:v>
                </c:pt>
                <c:pt idx="59">
                  <c:v>0.00617442031017025</c:v>
                </c:pt>
                <c:pt idx="60">
                  <c:v>0.00620446375156923</c:v>
                </c:pt>
                <c:pt idx="61">
                  <c:v>0.00623331891669333</c:v>
                </c:pt>
                <c:pt idx="62">
                  <c:v>0.00626100629648893</c:v>
                </c:pt>
                <c:pt idx="63">
                  <c:v>0.00628754572952188</c:v>
                </c:pt>
                <c:pt idx="64">
                  <c:v>0.00631295644291231</c:v>
                </c:pt>
                <c:pt idx="65">
                  <c:v>0.00633725709054455</c:v>
                </c:pt>
                <c:pt idx="66">
                  <c:v>0.00636046578876782</c:v>
                </c:pt>
                <c:pt idx="67">
                  <c:v>0.00638260014978348</c:v>
                </c:pt>
                <c:pt idx="68">
                  <c:v>0.00640367731289728</c:v>
                </c:pt>
                <c:pt idx="69">
                  <c:v>0.00642371397379897</c:v>
                </c:pt>
                <c:pt idx="70">
                  <c:v>0.00644272641201773</c:v>
                </c:pt>
                <c:pt idx="71">
                  <c:v>0.00646073051668865</c:v>
                </c:pt>
                <c:pt idx="72">
                  <c:v>0.00647774181075441</c:v>
                </c:pt>
                <c:pt idx="73">
                  <c:v>0.00649377547371524</c:v>
                </c:pt>
                <c:pt idx="74">
                  <c:v>0.00650884636303155</c:v>
                </c:pt>
                <c:pt idx="75">
                  <c:v>0.00652296903427421</c:v>
                </c:pt>
                <c:pt idx="76">
                  <c:v>0.00653615776011038</c:v>
                </c:pt>
                <c:pt idx="77">
                  <c:v>0.00654842654820538</c:v>
                </c:pt>
                <c:pt idx="78">
                  <c:v>0.00655978915811465</c:v>
                </c:pt>
                <c:pt idx="79">
                  <c:v>0.00657025911723432</c:v>
                </c:pt>
                <c:pt idx="80">
                  <c:v>0.0065798497358731</c:v>
                </c:pt>
                <c:pt idx="81">
                  <c:v>0.00658857412150382</c:v>
                </c:pt>
                <c:pt idx="82">
                  <c:v>0.00659644519224829</c:v>
                </c:pt>
                <c:pt idx="83">
                  <c:v>0.00660347568964493</c:v>
                </c:pt>
                <c:pt idx="84">
                  <c:v>0.00660967819074532</c:v>
                </c:pt>
                <c:pt idx="85">
                  <c:v>0.006615065119582</c:v>
                </c:pt>
                <c:pt idx="86">
                  <c:v>0.00661964875804704</c:v>
                </c:pt>
                <c:pt idx="87">
                  <c:v>0.00662344125621777</c:v>
                </c:pt>
                <c:pt idx="88">
                  <c:v>0.00662645464216369</c:v>
                </c:pt>
                <c:pt idx="89">
                  <c:v>0.00662870083126584</c:v>
                </c:pt>
                <c:pt idx="90">
                  <c:v>0.00663019163507806</c:v>
                </c:pt>
                <c:pt idx="91">
                  <c:v>0.00663093876975711</c:v>
                </c:pt>
                <c:pt idx="92">
                  <c:v>0.00663095386408694</c:v>
                </c:pt>
                <c:pt idx="93">
                  <c:v>0.00663024846712072</c:v>
                </c:pt>
                <c:pt idx="94">
                  <c:v>0.00662883405546222</c:v>
                </c:pt>
                <c:pt idx="95">
                  <c:v>0.00662672204020719</c:v>
                </c:pt>
                <c:pt idx="96">
                  <c:v>0.00662392377356341</c:v>
                </c:pt>
                <c:pt idx="97">
                  <c:v>0.00662045055516717</c:v>
                </c:pt>
                <c:pt idx="98">
                  <c:v>0.00661631363811258</c:v>
                </c:pt>
                <c:pt idx="99">
                  <c:v>0.00661152423470895</c:v>
                </c:pt>
                <c:pt idx="100">
                  <c:v>0.00660609352198049</c:v>
                </c:pt>
                <c:pt idx="101">
                  <c:v>0.0066000326469216</c:v>
                </c:pt>
                <c:pt idx="102">
                  <c:v>0.00659335273151993</c:v>
                </c:pt>
                <c:pt idx="103">
                  <c:v>0.00658606487755887</c:v>
                </c:pt>
                <c:pt idx="104">
                  <c:v>0.00657818017120985</c:v>
                </c:pt>
                <c:pt idx="105">
                  <c:v>0.00656970968742452</c:v>
                </c:pt>
                <c:pt idx="106">
                  <c:v>0.00656066449413579</c:v>
                </c:pt>
                <c:pt idx="107">
                  <c:v>0.0065510556562763</c:v>
                </c:pt>
                <c:pt idx="108">
                  <c:v>0.00654089423962199</c:v>
                </c:pt>
                <c:pt idx="109">
                  <c:v>0.00653019131446814</c:v>
                </c:pt>
                <c:pt idx="110">
                  <c:v>0.00651895795914424</c:v>
                </c:pt>
                <c:pt idx="111">
                  <c:v>0.00650720526337396</c:v>
                </c:pt>
                <c:pt idx="112">
                  <c:v>0.00649494433148558</c:v>
                </c:pt>
                <c:pt idx="113">
                  <c:v>0.00648218628547792</c:v>
                </c:pt>
                <c:pt idx="114">
                  <c:v>0.00646894226794625</c:v>
                </c:pt>
                <c:pt idx="115">
                  <c:v>0.00645522344487223</c:v>
                </c:pt>
                <c:pt idx="116">
                  <c:v>0.00644104100828144</c:v>
                </c:pt>
                <c:pt idx="117">
                  <c:v>0.00642640617877157</c:v>
                </c:pt>
                <c:pt idx="118">
                  <c:v>0.006411330207914</c:v>
                </c:pt>
                <c:pt idx="119">
                  <c:v>0.006395824380531</c:v>
                </c:pt>
                <c:pt idx="120">
                  <c:v>0.00637990001685048</c:v>
                </c:pt>
                <c:pt idx="121">
                  <c:v>0.00636356847453958</c:v>
                </c:pt>
                <c:pt idx="122">
                  <c:v>0.00634684115061829</c:v>
                </c:pt>
                <c:pt idx="123">
                  <c:v>0.00632972948325368</c:v>
                </c:pt>
                <c:pt idx="124">
                  <c:v>0.00631224495343508</c:v>
                </c:pt>
                <c:pt idx="125">
                  <c:v>0.00629439908652996</c:v>
                </c:pt>
                <c:pt idx="126">
                  <c:v>0.00627620345372023</c:v>
                </c:pt>
                <c:pt idx="127">
                  <c:v>0.00625766967331792</c:v>
                </c:pt>
                <c:pt idx="128">
                  <c:v>0.00623880941195914</c:v>
                </c:pt>
                <c:pt idx="129">
                  <c:v>0.0062196343856746</c:v>
                </c:pt>
                <c:pt idx="130">
                  <c:v>0.00620015636083486</c:v>
                </c:pt>
                <c:pt idx="131">
                  <c:v>0.00618038715496797</c:v>
                </c:pt>
                <c:pt idx="132">
                  <c:v>0.00616033863744662</c:v>
                </c:pt>
                <c:pt idx="133">
                  <c:v>0.00614002273004212</c:v>
                </c:pt>
                <c:pt idx="134">
                  <c:v>0.00611945140734146</c:v>
                </c:pt>
                <c:pt idx="135">
                  <c:v>0.00609863669702394</c:v>
                </c:pt>
                <c:pt idx="136">
                  <c:v>0.00607759067999315</c:v>
                </c:pt>
                <c:pt idx="137">
                  <c:v>0.00605632549035992</c:v>
                </c:pt>
                <c:pt idx="138">
                  <c:v>0.00603485331527146</c:v>
                </c:pt>
                <c:pt idx="139">
                  <c:v>0.00601318639458155</c:v>
                </c:pt>
                <c:pt idx="140">
                  <c:v>0.00599133702035633</c:v>
                </c:pt>
                <c:pt idx="141">
                  <c:v>0.00596931753621005</c:v>
                </c:pt>
                <c:pt idx="142">
                  <c:v>0.00594714033646456</c:v>
                </c:pt>
                <c:pt idx="143">
                  <c:v>0.0059248178651263</c:v>
                </c:pt>
                <c:pt idx="144">
                  <c:v>0.00590236261467421</c:v>
                </c:pt>
                <c:pt idx="145">
                  <c:v>0.00587978712465145</c:v>
                </c:pt>
                <c:pt idx="146">
                  <c:v>0.00585710398005405</c:v>
                </c:pt>
                <c:pt idx="147">
                  <c:v>0.00583432580950897</c:v>
                </c:pt>
                <c:pt idx="148">
                  <c:v>0.00581146528323408</c:v>
                </c:pt>
                <c:pt idx="149">
                  <c:v>0.00578853511077228</c:v>
                </c:pt>
                <c:pt idx="150">
                  <c:v>0.00576554803849195</c:v>
                </c:pt>
                <c:pt idx="151">
                  <c:v>0.00574251684684572</c:v>
                </c:pt>
                <c:pt idx="152">
                  <c:v>0.00571945434737945</c:v>
                </c:pt>
                <c:pt idx="153">
                  <c:v>0.00569637337948351</c:v>
                </c:pt>
                <c:pt idx="154">
                  <c:v>0.00567328680687813</c:v>
                </c:pt>
                <c:pt idx="155">
                  <c:v>0.00565020751382489</c:v>
                </c:pt>
                <c:pt idx="156">
                  <c:v>0.00562714840105654</c:v>
                </c:pt>
                <c:pt idx="157">
                  <c:v>0.0056041223814173</c:v>
                </c:pt>
                <c:pt idx="158">
                  <c:v>0.00558114237520643</c:v>
                </c:pt>
                <c:pt idx="159">
                  <c:v>0.00555822130521763</c:v>
                </c:pt>
                <c:pt idx="160">
                  <c:v>0.00553537209146775</c:v>
                </c:pt>
                <c:pt idx="161">
                  <c:v>0.0055126076456084</c:v>
                </c:pt>
                <c:pt idx="162">
                  <c:v>0.00548994086501466</c:v>
                </c:pt>
                <c:pt idx="163">
                  <c:v>0.00546738462654585</c:v>
                </c:pt>
                <c:pt idx="164">
                  <c:v>0.00544495177997376</c:v>
                </c:pt>
                <c:pt idx="165">
                  <c:v>0.00542265514107487</c:v>
                </c:pt>
                <c:pt idx="166">
                  <c:v>0.00540050748438375</c:v>
                </c:pt>
                <c:pt idx="167">
                  <c:v>0.00537852153560581</c:v>
                </c:pt>
                <c:pt idx="168">
                  <c:v>0.00535670996368892</c:v>
                </c:pt>
                <c:pt idx="169">
                  <c:v>0.00533508537255433</c:v>
                </c:pt>
                <c:pt idx="170">
                  <c:v>0.00531366029248878</c:v>
                </c:pt>
                <c:pt idx="171">
                  <c:v>0.00529244717120104</c:v>
                </c:pt>
                <c:pt idx="172">
                  <c:v>0.00527145836454766</c:v>
                </c:pt>
                <c:pt idx="173">
                  <c:v>0.00525070612693421</c:v>
                </c:pt>
                <c:pt idx="174">
                  <c:v>0.00523020260140021</c:v>
                </c:pt>
                <c:pt idx="175">
                  <c:v>0.00520995980939742</c:v>
                </c:pt>
                <c:pt idx="176">
                  <c:v>0.00518998964027336</c:v>
                </c:pt>
                <c:pt idx="177">
                  <c:v>0.00517030384047356</c:v>
                </c:pt>
                <c:pt idx="178">
                  <c:v>0.00515091400247841</c:v>
                </c:pt>
                <c:pt idx="179">
                  <c:v>0.00513183155349229</c:v>
                </c:pt>
                <c:pt idx="180">
                  <c:v>0.00511306774390475</c:v>
                </c:pt>
                <c:pt idx="181">
                  <c:v>0.00509463363554608</c:v>
                </c:pt>
                <c:pt idx="182">
                  <c:v>0.0050765400897612</c:v>
                </c:pt>
                <c:pt idx="183">
                  <c:v>0.00505879775532847</c:v>
                </c:pt>
                <c:pt idx="184">
                  <c:v>0.00504141705625195</c:v>
                </c:pt>
                <c:pt idx="185">
                  <c:v>0.00502440817945778</c:v>
                </c:pt>
                <c:pt idx="186">
                  <c:v>0.00500778106242753</c:v>
                </c:pt>
                <c:pt idx="187">
                  <c:v>0.00499154538080326</c:v>
                </c:pt>
                <c:pt idx="188">
                  <c:v>0.00497571053600104</c:v>
                </c:pt>
                <c:pt idx="189">
                  <c:v>0.00496028564287133</c:v>
                </c:pt>
                <c:pt idx="190">
                  <c:v>0.00494527951744646</c:v>
                </c:pt>
                <c:pt idx="191">
                  <c:v>0.00493070066481666</c:v>
                </c:pt>
                <c:pt idx="192">
                  <c:v>0.00491655726717771</c:v>
                </c:pt>
                <c:pt idx="193">
                  <c:v>0.00490285717209401</c:v>
                </c:pt>
                <c:pt idx="194">
                  <c:v>0.00488960788102192</c:v>
                </c:pt>
                <c:pt idx="195">
                  <c:v>0.00487681653813887</c:v>
                </c:pt>
                <c:pt idx="196">
                  <c:v>0.00486448991952383</c:v>
                </c:pt>
                <c:pt idx="197">
                  <c:v>0.00485263442273492</c:v>
                </c:pt>
                <c:pt idx="198">
                  <c:v>0.00484125605682975</c:v>
                </c:pt>
                <c:pt idx="199">
                  <c:v>0.00483036043287324</c:v>
                </c:pt>
                <c:pt idx="200">
                  <c:v>0.00481995275497704</c:v>
                </c:pt>
                <c:pt idx="201">
                  <c:v>0.00481003781191328</c:v>
                </c:pt>
                <c:pt idx="202">
                  <c:v>0.00480061996934389</c:v>
                </c:pt>
                <c:pt idx="203">
                  <c:v>0.00479170316270481</c:v>
                </c:pt>
                <c:pt idx="204">
                  <c:v>0.00478329089078227</c:v>
                </c:pt>
                <c:pt idx="205">
                  <c:v>0.00477538621001572</c:v>
                </c:pt>
                <c:pt idx="206">
                  <c:v>0.00476799172955929</c:v>
                </c:pt>
                <c:pt idx="207">
                  <c:v>0.00476110960713045</c:v>
                </c:pt>
                <c:pt idx="208">
                  <c:v>0.00475474154567135</c:v>
                </c:pt>
                <c:pt idx="209">
                  <c:v>0.00474888879084456</c:v>
                </c:pt>
                <c:pt idx="210">
                  <c:v>0.00474355212938134</c:v>
                </c:pt>
                <c:pt idx="211">
                  <c:v>0.00473873188829646</c:v>
                </c:pt>
                <c:pt idx="212">
                  <c:v>0.00473442793497954</c:v>
                </c:pt>
                <c:pt idx="213">
                  <c:v>0.00473063967816875</c:v>
                </c:pt>
                <c:pt idx="214">
                  <c:v>0.00472736606980834</c:v>
                </c:pt>
                <c:pt idx="215">
                  <c:v>0.0047246056077872</c:v>
                </c:pt>
                <c:pt idx="216">
                  <c:v>0.00472235633955139</c:v>
                </c:pt>
                <c:pt idx="217">
                  <c:v>0.00472061586657935</c:v>
                </c:pt>
                <c:pt idx="218">
                  <c:v>0.0047193813497042</c:v>
                </c:pt>
                <c:pt idx="219">
                  <c:v>0.00471864951526373</c:v>
                </c:pt>
                <c:pt idx="220">
                  <c:v>0.00471841666205461</c:v>
                </c:pt>
                <c:pt idx="221">
                  <c:v>0.00471867866906383</c:v>
                </c:pt>
                <c:pt idx="222">
                  <c:v>0.00471943100394667</c:v>
                </c:pt>
                <c:pt idx="223">
                  <c:v>0.00472066873221764</c:v>
                </c:pt>
                <c:pt idx="224">
                  <c:v>0.00472238652711757</c:v>
                </c:pt>
                <c:pt idx="225">
                  <c:v>0.00472457868011757</c:v>
                </c:pt>
                <c:pt idx="226">
                  <c:v>0.00472723911201823</c:v>
                </c:pt>
                <c:pt idx="227">
                  <c:v>0.00473036138460032</c:v>
                </c:pt>
                <c:pt idx="228">
                  <c:v>0.00473393871278178</c:v>
                </c:pt>
                <c:pt idx="229">
                  <c:v>0.00473796397723422</c:v>
                </c:pt>
                <c:pt idx="230">
                  <c:v>0.00474242973741147</c:v>
                </c:pt>
                <c:pt idx="231">
                  <c:v>0.00474732824494169</c:v>
                </c:pt>
                <c:pt idx="232">
                  <c:v>0.00475265145733459</c:v>
                </c:pt>
                <c:pt idx="233">
                  <c:v>0.00475839105195522</c:v>
                </c:pt>
                <c:pt idx="234">
                  <c:v>0.00476453844021588</c:v>
                </c:pt>
                <c:pt idx="235">
                  <c:v>0.00477108478193868</c:v>
                </c:pt>
                <c:pt idx="236">
                  <c:v>0.00477802099984191</c:v>
                </c:pt>
                <c:pt idx="237">
                  <c:v>0.00478533779410468</c:v>
                </c:pt>
                <c:pt idx="238">
                  <c:v>0.00479302565696548</c:v>
                </c:pt>
                <c:pt idx="239">
                  <c:v>0.00480107488731221</c:v>
                </c:pt>
                <c:pt idx="240">
                  <c:v>0.00480947560522271</c:v>
                </c:pt>
                <c:pt idx="241">
                  <c:v>0.00481821776641691</c:v>
                </c:pt>
                <c:pt idx="242">
                  <c:v>0.00482729117658391</c:v>
                </c:pt>
                <c:pt idx="243">
                  <c:v>0.00483668550554919</c:v>
                </c:pt>
                <c:pt idx="244">
                  <c:v>0.00484639030124982</c:v>
                </c:pt>
                <c:pt idx="245">
                  <c:v>0.00485639500348763</c:v>
                </c:pt>
                <c:pt idx="246">
                  <c:v>0.0048666889574328</c:v>
                </c:pt>
                <c:pt idx="247">
                  <c:v>0.00487726142685273</c:v>
                </c:pt>
                <c:pt idx="248">
                  <c:v>0.00488810160704354</c:v>
                </c:pt>
                <c:pt idx="249">
                  <c:v>0.00489919863744391</c:v>
                </c:pt>
                <c:pt idx="250">
                  <c:v>0.00491054161391326</c:v>
                </c:pt>
                <c:pt idx="251">
                  <c:v>0.00492211960065884</c:v>
                </c:pt>
                <c:pt idx="252">
                  <c:v>0.00493392164179836</c:v>
                </c:pt>
                <c:pt idx="253">
                  <c:v>0.00494593677254703</c:v>
                </c:pt>
                <c:pt idx="254">
                  <c:v>0.00495815403002002</c:v>
                </c:pt>
                <c:pt idx="255">
                  <c:v>0.0049705624636434</c:v>
                </c:pt>
                <c:pt idx="256">
                  <c:v>0.00498315114516846</c:v>
                </c:pt>
                <c:pt idx="257">
                  <c:v>0.00499590917828615</c:v>
                </c:pt>
                <c:pt idx="258">
                  <c:v>0.00500882570784005</c:v>
                </c:pt>
                <c:pt idx="259">
                  <c:v>0.00502188992863798</c:v>
                </c:pt>
                <c:pt idx="260">
                  <c:v>0.00503509109386368</c:v>
                </c:pt>
                <c:pt idx="261">
                  <c:v>0.00504841852309136</c:v>
                </c:pt>
                <c:pt idx="262">
                  <c:v>0.00506186160990736</c:v>
                </c:pt>
                <c:pt idx="263">
                  <c:v>0.00507540982914392</c:v>
                </c:pt>
                <c:pt idx="264">
                  <c:v>0.00508905274373149</c:v>
                </c:pt>
                <c:pt idx="265">
                  <c:v>0.00510278001117653</c:v>
                </c:pt>
                <c:pt idx="266">
                  <c:v>0.00511658138967286</c:v>
                </c:pt>
                <c:pt idx="267">
                  <c:v>0.00513044674385509</c:v>
                </c:pt>
                <c:pt idx="268">
                  <c:v>0.00514436605020341</c:v>
                </c:pt>
                <c:pt idx="269">
                  <c:v>0.00515832940210944</c:v>
                </c:pt>
                <c:pt idx="270">
                  <c:v>0.00517232701461336</c:v>
                </c:pt>
                <c:pt idx="271">
                  <c:v>0.00518634922882275</c:v>
                </c:pt>
                <c:pt idx="272">
                  <c:v>0.00520038651602396</c:v>
                </c:pt>
                <c:pt idx="273">
                  <c:v>0.00521442948149695</c:v>
                </c:pt>
                <c:pt idx="274">
                  <c:v>0.00522846886804478</c:v>
                </c:pt>
                <c:pt idx="275">
                  <c:v>0.00524249555924874</c:v>
                </c:pt>
                <c:pt idx="276">
                  <c:v>0.00525650058246055</c:v>
                </c:pt>
                <c:pt idx="277">
                  <c:v>0.00527047511154259</c:v>
                </c:pt>
                <c:pt idx="278">
                  <c:v>0.00528441046936731</c:v>
                </c:pt>
                <c:pt idx="279">
                  <c:v>0.00529829813008681</c:v>
                </c:pt>
                <c:pt idx="280">
                  <c:v>0.00531212972118337</c:v>
                </c:pt>
                <c:pt idx="281">
                  <c:v>0.00532589702531149</c:v>
                </c:pt>
                <c:pt idx="282">
                  <c:v>0.00533959198194198</c:v>
                </c:pt>
                <c:pt idx="283">
                  <c:v>0.00535320668881816</c:v>
                </c:pt>
                <c:pt idx="284">
                  <c:v>0.0053667334032341</c:v>
                </c:pt>
                <c:pt idx="285">
                  <c:v>0.00538016454314464</c:v>
                </c:pt>
                <c:pt idx="286">
                  <c:v>0.00539349268811642</c:v>
                </c:pt>
                <c:pt idx="287">
                  <c:v>0.00540671058012901</c:v>
                </c:pt>
                <c:pt idx="288">
                  <c:v>0.00541981112423497</c:v>
                </c:pt>
                <c:pt idx="289">
                  <c:v>0.00543278738908716</c:v>
                </c:pt>
                <c:pt idx="290">
                  <c:v>0.00544563260734149</c:v>
                </c:pt>
                <c:pt idx="291">
                  <c:v>0.00545834017594291</c:v>
                </c:pt>
                <c:pt idx="292">
                  <c:v>0.00547090365630205</c:v>
                </c:pt>
                <c:pt idx="293">
                  <c:v>0.00548331677436978</c:v>
                </c:pt>
                <c:pt idx="294">
                  <c:v>0.00549557342061638</c:v>
                </c:pt>
                <c:pt idx="295">
                  <c:v>0.00550766764992206</c:v>
                </c:pt>
                <c:pt idx="296">
                  <c:v>0.0055195936813848</c:v>
                </c:pt>
                <c:pt idx="297">
                  <c:v>0.00553134589805163</c:v>
                </c:pt>
                <c:pt idx="298">
                  <c:v>0.0055429188465789</c:v>
                </c:pt>
                <c:pt idx="299">
                  <c:v>0.00555430723682681</c:v>
                </c:pt>
                <c:pt idx="300">
                  <c:v>0.00556550594139335</c:v>
                </c:pt>
                <c:pt idx="301">
                  <c:v>0.00557650999509236</c:v>
                </c:pt>
                <c:pt idx="302">
                  <c:v>0.00558731459438025</c:v>
                </c:pt>
                <c:pt idx="303">
                  <c:v>0.00559791509673556</c:v>
                </c:pt>
                <c:pt idx="304">
                  <c:v>0.00560830701999548</c:v>
                </c:pt>
                <c:pt idx="305">
                  <c:v>0.005618486041653</c:v>
                </c:pt>
                <c:pt idx="306">
                  <c:v>0.00562844799811823</c:v>
                </c:pt>
                <c:pt idx="307">
                  <c:v>0.00563818888394721</c:v>
                </c:pt>
                <c:pt idx="308">
                  <c:v>0.00564770485104131</c:v>
                </c:pt>
                <c:pt idx="309">
                  <c:v>0.00565699220782012</c:v>
                </c:pt>
                <c:pt idx="310">
                  <c:v>0.00566604741837049</c:v>
                </c:pt>
                <c:pt idx="311">
                  <c:v>0.00567486710157419</c:v>
                </c:pt>
                <c:pt idx="312">
                  <c:v>0.00568344803021664</c:v>
                </c:pt>
                <c:pt idx="313">
                  <c:v>0.00569178713007875</c:v>
                </c:pt>
                <c:pt idx="314">
                  <c:v>0.00569988147901386</c:v>
                </c:pt>
                <c:pt idx="315">
                  <c:v>0.0057077283060117</c:v>
                </c:pt>
                <c:pt idx="316">
                  <c:v>0.00571532499025101</c:v>
                </c:pt>
                <c:pt idx="317">
                  <c:v>0.00572266906014228</c:v>
                </c:pt>
                <c:pt idx="318">
                  <c:v>0.00572975819236218</c:v>
                </c:pt>
                <c:pt idx="319">
                  <c:v>0.00573659021088084</c:v>
                </c:pt>
                <c:pt idx="320">
                  <c:v>0.00574316308598319</c:v>
                </c:pt>
                <c:pt idx="321">
                  <c:v>0.00574947493328537</c:v>
                </c:pt>
                <c:pt idx="322">
                  <c:v>0.0057555240127472</c:v>
                </c:pt>
                <c:pt idx="323">
                  <c:v>0.00576130872768147</c:v>
                </c:pt>
                <c:pt idx="324">
                  <c:v>0.00576682762376086</c:v>
                </c:pt>
                <c:pt idx="325">
                  <c:v>0.00577207938802301</c:v>
                </c:pt>
                <c:pt idx="326">
                  <c:v>0.00577706284787447</c:v>
                </c:pt>
                <c:pt idx="327">
                  <c:v>0.00578177697009379</c:v>
                </c:pt>
                <c:pt idx="328">
                  <c:v>0.00578622085983425</c:v>
                </c:pt>
                <c:pt idx="329">
                  <c:v>0.0057903937596265</c:v>
                </c:pt>
                <c:pt idx="330">
                  <c:v>0.00579429504838142</c:v>
                </c:pt>
                <c:pt idx="331">
                  <c:v>0.00579792424039315</c:v>
                </c:pt>
                <c:pt idx="332">
                  <c:v>0.00580128098434271</c:v>
                </c:pt>
                <c:pt idx="333">
                  <c:v>0.00580436506230184</c:v>
                </c:pt>
                <c:pt idx="334">
                  <c:v>0.00580717638873746</c:v>
                </c:pt>
                <c:pt idx="335">
                  <c:v>0.00580971500951631</c:v>
                </c:pt>
                <c:pt idx="336">
                  <c:v>0.00581198110090984</c:v>
                </c:pt>
                <c:pt idx="337">
                  <c:v>0.00581397496859904</c:v>
                </c:pt>
                <c:pt idx="338">
                  <c:v>0.00581569704667903</c:v>
                </c:pt>
                <c:pt idx="339">
                  <c:v>0.00581714789666312</c:v>
                </c:pt>
                <c:pt idx="340">
                  <c:v>0.0058183282064859</c:v>
                </c:pt>
                <c:pt idx="341">
                  <c:v>0.00581923878950512</c:v>
                </c:pt>
                <c:pt idx="342">
                  <c:v>0.00581988058350179</c:v>
                </c:pt>
                <c:pt idx="343">
                  <c:v>0.00582025464967811</c:v>
                </c:pt>
                <c:pt idx="344">
                  <c:v>0.00582036217165269</c:v>
                </c:pt>
                <c:pt idx="345">
                  <c:v>0.0058202044544525</c:v>
                </c:pt>
                <c:pt idx="346">
                  <c:v>0.0058197829235009</c:v>
                </c:pt>
                <c:pt idx="347">
                  <c:v>0.00581909912360128</c:v>
                </c:pt>
                <c:pt idx="348">
                  <c:v>0.00581815471791541</c:v>
                </c:pt>
                <c:pt idx="349">
                  <c:v>0.00581695148693597</c:v>
                </c:pt>
                <c:pt idx="350">
                  <c:v>0.00581549132745242</c:v>
                </c:pt>
                <c:pt idx="351">
                  <c:v>0.0058137762515095</c:v>
                </c:pt>
                <c:pt idx="352">
                  <c:v>0.00581180838535744</c:v>
                </c:pt>
                <c:pt idx="353">
                  <c:v>0.00580958996839317</c:v>
                </c:pt>
                <c:pt idx="354">
                  <c:v>0.00580712335209147</c:v>
                </c:pt>
                <c:pt idx="355">
                  <c:v>0.00580441099892532</c:v>
                </c:pt>
                <c:pt idx="356">
                  <c:v>0.00580145548127438</c:v>
                </c:pt>
                <c:pt idx="357">
                  <c:v>0.00579825948032066</c:v>
                </c:pt>
                <c:pt idx="358">
                  <c:v>0.00579482578493036</c:v>
                </c:pt>
                <c:pt idx="359">
                  <c:v>0.00579115729052079</c:v>
                </c:pt>
                <c:pt idx="360">
                  <c:v>0.00578725699791139</c:v>
                </c:pt>
                <c:pt idx="361">
                  <c:v>0.00578312801215762</c:v>
                </c:pt>
                <c:pt idx="362">
                  <c:v>0.00577877354136662</c:v>
                </c:pt>
                <c:pt idx="363">
                  <c:v>0.00577419689549358</c:v>
                </c:pt>
                <c:pt idx="364">
                  <c:v>0.00576940148511734</c:v>
                </c:pt>
                <c:pt idx="365">
                  <c:v>0.00576439082019437</c:v>
                </c:pt>
                <c:pt idx="366">
                  <c:v>0.00575916850878946</c:v>
                </c:pt>
                <c:pt idx="367">
                  <c:v>0.0057537382557822</c:v>
                </c:pt>
                <c:pt idx="368">
                  <c:v>0.00574810386154765</c:v>
                </c:pt>
                <c:pt idx="369">
                  <c:v>0.00574226922061008</c:v>
                </c:pt>
                <c:pt idx="370">
                  <c:v>0.0057362383202682</c:v>
                </c:pt>
                <c:pt idx="371">
                  <c:v>0.00573001523919071</c:v>
                </c:pt>
                <c:pt idx="372">
                  <c:v>0.00572360414598057</c:v>
                </c:pt>
                <c:pt idx="373">
                  <c:v>0.00571700929770667</c:v>
                </c:pt>
                <c:pt idx="374">
                  <c:v>0.00571023503840143</c:v>
                </c:pt>
                <c:pt idx="375">
                  <c:v>0.00570328579752276</c:v>
                </c:pt>
                <c:pt idx="376">
                  <c:v>0.00569616608837912</c:v>
                </c:pt>
                <c:pt idx="377">
                  <c:v>0.00568888050651586</c:v>
                </c:pt>
                <c:pt idx="378">
                  <c:v>0.00568143372806166</c:v>
                </c:pt>
                <c:pt idx="379">
                  <c:v>0.00567383050803328</c:v>
                </c:pt>
                <c:pt idx="380">
                  <c:v>0.00566607567859726</c:v>
                </c:pt>
                <c:pt idx="381">
                  <c:v>0.00565817414728699</c:v>
                </c:pt>
                <c:pt idx="382">
                  <c:v>0.00565013089517361</c:v>
                </c:pt>
                <c:pt idx="383">
                  <c:v>0.00564195097498921</c:v>
                </c:pt>
                <c:pt idx="384">
                  <c:v>0.00563363950920083</c:v>
                </c:pt>
                <c:pt idx="385">
                  <c:v>0.00562520168803383</c:v>
                </c:pt>
                <c:pt idx="386">
                  <c:v>0.00561664276744293</c:v>
                </c:pt>
                <c:pt idx="387">
                  <c:v>0.00560796806702968</c:v>
                </c:pt>
                <c:pt idx="388">
                  <c:v>0.00559918296790485</c:v>
                </c:pt>
                <c:pt idx="389">
                  <c:v>0.00559029291049421</c:v>
                </c:pt>
                <c:pt idx="390">
                  <c:v>0.0055813033922865</c:v>
                </c:pt>
                <c:pt idx="391">
                  <c:v>0.00557221996552217</c:v>
                </c:pt>
                <c:pt idx="392">
                  <c:v>0.00556304823482158</c:v>
                </c:pt>
                <c:pt idx="393">
                  <c:v>0.00555379385475153</c:v>
                </c:pt>
                <c:pt idx="394">
                  <c:v>0.00554446252732885</c:v>
                </c:pt>
                <c:pt idx="395">
                  <c:v>0.00553505999946006</c:v>
                </c:pt>
                <c:pt idx="396">
                  <c:v>0.00552559206031594</c:v>
                </c:pt>
                <c:pt idx="397">
                  <c:v>0.00551606453864028</c:v>
                </c:pt>
                <c:pt idx="398">
                  <c:v>0.00550648329999174</c:v>
                </c:pt>
                <c:pt idx="399">
                  <c:v>0.00549685424391828</c:v>
                </c:pt>
                <c:pt idx="400">
                  <c:v>0.00548718330106337</c:v>
                </c:pt>
                <c:pt idx="401">
                  <c:v>0.00547747643020362</c:v>
                </c:pt>
                <c:pt idx="402">
                  <c:v>0.00546773961521729</c:v>
                </c:pt>
                <c:pt idx="403">
                  <c:v>0.00545797886198357</c:v>
                </c:pt>
                <c:pt idx="404">
                  <c:v>0.0054482001952124</c:v>
                </c:pt>
                <c:pt idx="405">
                  <c:v>0.00543840965520499</c:v>
                </c:pt>
                <c:pt idx="406">
                  <c:v>0.00542861329454518</c:v>
                </c:pt>
                <c:pt idx="407">
                  <c:v>0.00541881717472209</c:v>
                </c:pt>
                <c:pt idx="408">
                  <c:v>0.00540902736268454</c:v>
                </c:pt>
                <c:pt idx="409">
                  <c:v>0.0053992499273281</c:v>
                </c:pt>
                <c:pt idx="410">
                  <c:v>0.00538949093591569</c:v>
                </c:pt>
                <c:pt idx="411">
                  <c:v>0.00537975645043283</c:v>
                </c:pt>
                <c:pt idx="412">
                  <c:v>0.00537005252387915</c:v>
                </c:pt>
                <c:pt idx="413">
                  <c:v>0.00536038519649747</c:v>
                </c:pt>
                <c:pt idx="414">
                  <c:v>0.00535076049194258</c:v>
                </c:pt>
                <c:pt idx="415">
                  <c:v>0.00534118441339161</c:v>
                </c:pt>
                <c:pt idx="416">
                  <c:v>0.00533166293959853</c:v>
                </c:pt>
                <c:pt idx="417">
                  <c:v>0.00532220202089517</c:v>
                </c:pt>
                <c:pt idx="418">
                  <c:v>0.00531280757514175</c:v>
                </c:pt>
                <c:pt idx="419">
                  <c:v>0.00530348548363005</c:v>
                </c:pt>
                <c:pt idx="420">
                  <c:v>0.00529424158694257</c:v>
                </c:pt>
                <c:pt idx="421">
                  <c:v>0.00528508168077132</c:v>
                </c:pt>
                <c:pt idx="422">
                  <c:v>0.00527601151170023</c:v>
                </c:pt>
                <c:pt idx="423">
                  <c:v>0.00526703677295545</c:v>
                </c:pt>
                <c:pt idx="424">
                  <c:v>0.00525816310012791</c:v>
                </c:pt>
                <c:pt idx="425">
                  <c:v>0.00524939606687296</c:v>
                </c:pt>
                <c:pt idx="426">
                  <c:v>0.00524074118059213</c:v>
                </c:pt>
                <c:pt idx="427">
                  <c:v>0.00523220387810241</c:v>
                </c:pt>
                <c:pt idx="428">
                  <c:v>0.00522378952129837</c:v>
                </c:pt>
                <c:pt idx="429">
                  <c:v>0.00521550339281316</c:v>
                </c:pt>
                <c:pt idx="430">
                  <c:v>0.00520735069168443</c:v>
                </c:pt>
                <c:pt idx="431">
                  <c:v>0.0051993365290313</c:v>
                </c:pt>
                <c:pt idx="432">
                  <c:v>0.00519146592374909</c:v>
                </c:pt>
                <c:pt idx="433">
                  <c:v>0.00518374379822845</c:v>
                </c:pt>
                <c:pt idx="434">
                  <c:v>0.00517617497410581</c:v>
                </c:pt>
                <c:pt idx="435">
                  <c:v>0.00516876416805228</c:v>
                </c:pt>
                <c:pt idx="436">
                  <c:v>0.00516151598760826</c:v>
                </c:pt>
                <c:pt idx="437">
                  <c:v>0.00515443492707112</c:v>
                </c:pt>
                <c:pt idx="438">
                  <c:v>0.00514752536344351</c:v>
                </c:pt>
                <c:pt idx="439">
                  <c:v>0.00514079155244993</c:v>
                </c:pt>
                <c:pt idx="440">
                  <c:v>0.00513423762462919</c:v>
                </c:pt>
                <c:pt idx="441">
                  <c:v>0.00512786758151055</c:v>
                </c:pt>
                <c:pt idx="442">
                  <c:v>0.00512168529188122</c:v>
                </c:pt>
                <c:pt idx="443">
                  <c:v>0.0051156944881531</c:v>
                </c:pt>
                <c:pt idx="444">
                  <c:v>0.00510989876283632</c:v>
                </c:pt>
                <c:pt idx="445">
                  <c:v>0.0051043015651273</c:v>
                </c:pt>
                <c:pt idx="446">
                  <c:v>0.00509890619761889</c:v>
                </c:pt>
                <c:pt idx="447">
                  <c:v>0.00509371581313999</c:v>
                </c:pt>
                <c:pt idx="448">
                  <c:v>0.00508873341173194</c:v>
                </c:pt>
                <c:pt idx="449">
                  <c:v>0.00508396183776871</c:v>
                </c:pt>
                <c:pt idx="450">
                  <c:v>0.00507940377722782</c:v>
                </c:pt>
                <c:pt idx="451">
                  <c:v>0.00507506175511858</c:v>
                </c:pt>
                <c:pt idx="452">
                  <c:v>0.00507093813307401</c:v>
                </c:pt>
                <c:pt idx="453">
                  <c:v>0.00506703510711238</c:v>
                </c:pt>
                <c:pt idx="454">
                  <c:v>0.00506335470557426</c:v>
                </c:pt>
                <c:pt idx="455">
                  <c:v>0.00505989878724018</c:v>
                </c:pt>
                <c:pt idx="456">
                  <c:v>0.00505666903963407</c:v>
                </c:pt>
                <c:pt idx="457">
                  <c:v>0.00505366697751685</c:v>
                </c:pt>
                <c:pt idx="458">
                  <c:v>0.00505089394157436</c:v>
                </c:pt>
                <c:pt idx="459">
                  <c:v>0.0050483510973033</c:v>
                </c:pt>
                <c:pt idx="460">
                  <c:v>0.00504603943409825</c:v>
                </c:pt>
                <c:pt idx="461">
                  <c:v>0.00504395976454253</c:v>
                </c:pt>
                <c:pt idx="462">
                  <c:v>0.0050421127239051</c:v>
                </c:pt>
                <c:pt idx="463">
                  <c:v>0.0050404987698451</c:v>
                </c:pt>
                <c:pt idx="464">
                  <c:v>0.00503911818232513</c:v>
                </c:pt>
                <c:pt idx="465">
                  <c:v>0.00503797106373402</c:v>
                </c:pt>
                <c:pt idx="466">
                  <c:v>0.00503705733921899</c:v>
                </c:pt>
                <c:pt idx="467">
                  <c:v>0.00503637675722681</c:v>
                </c:pt>
                <c:pt idx="468">
                  <c:v>0.00503592889025293</c:v>
                </c:pt>
                <c:pt idx="469">
                  <c:v>0.00503571313579697</c:v>
                </c:pt>
                <c:pt idx="470">
                  <c:v>0.00503572871752266</c:v>
                </c:pt>
                <c:pt idx="471">
                  <c:v>0.00503597468661937</c:v>
                </c:pt>
                <c:pt idx="472">
                  <c:v>0.0050364499233624</c:v>
                </c:pt>
                <c:pt idx="473">
                  <c:v>0.0050371531388682</c:v>
                </c:pt>
                <c:pt idx="474">
                  <c:v>0.00503808287704067</c:v>
                </c:pt>
                <c:pt idx="475">
                  <c:v>0.00503923751670377</c:v>
                </c:pt>
                <c:pt idx="476">
                  <c:v>0.00504061527391567</c:v>
                </c:pt>
                <c:pt idx="477">
                  <c:v>0.00504221420445892</c:v>
                </c:pt>
                <c:pt idx="478">
                  <c:v>0.005044032206501</c:v>
                </c:pt>
                <c:pt idx="479">
                  <c:v>0.00504606702341895</c:v>
                </c:pt>
                <c:pt idx="480">
                  <c:v>0.00504831624678173</c:v>
                </c:pt>
                <c:pt idx="481">
                  <c:v>0.00505077731948348</c:v>
                </c:pt>
                <c:pt idx="482">
                  <c:v>0.00505344753902064</c:v>
                </c:pt>
                <c:pt idx="483">
                  <c:v>0.00505632406090556</c:v>
                </c:pt>
                <c:pt idx="484">
                  <c:v>0.00505940390220917</c:v>
                </c:pt>
                <c:pt idx="485">
                  <c:v>0.00506268394522487</c:v>
                </c:pt>
                <c:pt idx="486">
                  <c:v>0.00506616094124595</c:v>
                </c:pt>
                <c:pt idx="487">
                  <c:v>0.00506983151444832</c:v>
                </c:pt>
                <c:pt idx="488">
                  <c:v>0.00507369216587068</c:v>
                </c:pt>
                <c:pt idx="489">
                  <c:v>0.00507773927748384</c:v>
                </c:pt>
                <c:pt idx="490">
                  <c:v>0.00508196911634109</c:v>
                </c:pt>
              </c:numCache>
            </c:numRef>
          </c:yVal>
          <c:smooth val="1"/>
        </c:ser>
        <c:axId val="94435087"/>
        <c:axId val="36114776"/>
      </c:scatterChart>
      <c:valAx>
        <c:axId val="94435087"/>
        <c:scaling>
          <c:orientation val="minMax"/>
          <c:max val="2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2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Burnout Altitude / Roll Wavelength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125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114776"/>
        <c:crossesAt val="0"/>
        <c:crossBetween val="midCat"/>
      </c:valAx>
      <c:valAx>
        <c:axId val="3611477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25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Amplitude of Flight Path Angle, rad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125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4435087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Effect of Burnout Altitude Variation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Sheet1!$AN$5:$AN$497</c:f>
              <c:numCache>
                <c:formatCode>General</c:formatCode>
                <c:ptCount val="493"/>
                <c:pt idx="0">
                  <c:v>40</c:v>
                </c:pt>
                <c:pt idx="1">
                  <c:v>44</c:v>
                </c:pt>
                <c:pt idx="2">
                  <c:v>48</c:v>
                </c:pt>
                <c:pt idx="3">
                  <c:v>52</c:v>
                </c:pt>
                <c:pt idx="4">
                  <c:v>56</c:v>
                </c:pt>
                <c:pt idx="5">
                  <c:v>60</c:v>
                </c:pt>
                <c:pt idx="6">
                  <c:v>64</c:v>
                </c:pt>
                <c:pt idx="7">
                  <c:v>68</c:v>
                </c:pt>
                <c:pt idx="8">
                  <c:v>72</c:v>
                </c:pt>
                <c:pt idx="9">
                  <c:v>76</c:v>
                </c:pt>
                <c:pt idx="10">
                  <c:v>80</c:v>
                </c:pt>
                <c:pt idx="11">
                  <c:v>84</c:v>
                </c:pt>
                <c:pt idx="12">
                  <c:v>88</c:v>
                </c:pt>
                <c:pt idx="13">
                  <c:v>92</c:v>
                </c:pt>
                <c:pt idx="14">
                  <c:v>96</c:v>
                </c:pt>
                <c:pt idx="15">
                  <c:v>100</c:v>
                </c:pt>
                <c:pt idx="16">
                  <c:v>104</c:v>
                </c:pt>
                <c:pt idx="17">
                  <c:v>108</c:v>
                </c:pt>
                <c:pt idx="18">
                  <c:v>112</c:v>
                </c:pt>
                <c:pt idx="19">
                  <c:v>116</c:v>
                </c:pt>
                <c:pt idx="20">
                  <c:v>120</c:v>
                </c:pt>
                <c:pt idx="21">
                  <c:v>124</c:v>
                </c:pt>
                <c:pt idx="22">
                  <c:v>128</c:v>
                </c:pt>
                <c:pt idx="23">
                  <c:v>132</c:v>
                </c:pt>
                <c:pt idx="24">
                  <c:v>136</c:v>
                </c:pt>
                <c:pt idx="25">
                  <c:v>140</c:v>
                </c:pt>
                <c:pt idx="26">
                  <c:v>144</c:v>
                </c:pt>
                <c:pt idx="27">
                  <c:v>148</c:v>
                </c:pt>
                <c:pt idx="28">
                  <c:v>152</c:v>
                </c:pt>
                <c:pt idx="29">
                  <c:v>156</c:v>
                </c:pt>
                <c:pt idx="30">
                  <c:v>160</c:v>
                </c:pt>
                <c:pt idx="31">
                  <c:v>164</c:v>
                </c:pt>
                <c:pt idx="32">
                  <c:v>168</c:v>
                </c:pt>
                <c:pt idx="33">
                  <c:v>172</c:v>
                </c:pt>
                <c:pt idx="34">
                  <c:v>176</c:v>
                </c:pt>
                <c:pt idx="35">
                  <c:v>180</c:v>
                </c:pt>
                <c:pt idx="36">
                  <c:v>184</c:v>
                </c:pt>
                <c:pt idx="37">
                  <c:v>188</c:v>
                </c:pt>
                <c:pt idx="38">
                  <c:v>192</c:v>
                </c:pt>
                <c:pt idx="39">
                  <c:v>196</c:v>
                </c:pt>
                <c:pt idx="40">
                  <c:v>200</c:v>
                </c:pt>
                <c:pt idx="41">
                  <c:v>204</c:v>
                </c:pt>
                <c:pt idx="42">
                  <c:v>208</c:v>
                </c:pt>
                <c:pt idx="43">
                  <c:v>212</c:v>
                </c:pt>
                <c:pt idx="44">
                  <c:v>216</c:v>
                </c:pt>
                <c:pt idx="45">
                  <c:v>220</c:v>
                </c:pt>
                <c:pt idx="46">
                  <c:v>224</c:v>
                </c:pt>
                <c:pt idx="47">
                  <c:v>228</c:v>
                </c:pt>
                <c:pt idx="48">
                  <c:v>232</c:v>
                </c:pt>
                <c:pt idx="49">
                  <c:v>236</c:v>
                </c:pt>
                <c:pt idx="50">
                  <c:v>240</c:v>
                </c:pt>
                <c:pt idx="51">
                  <c:v>244</c:v>
                </c:pt>
                <c:pt idx="52">
                  <c:v>248</c:v>
                </c:pt>
                <c:pt idx="53">
                  <c:v>252</c:v>
                </c:pt>
                <c:pt idx="54">
                  <c:v>256</c:v>
                </c:pt>
                <c:pt idx="55">
                  <c:v>260</c:v>
                </c:pt>
                <c:pt idx="56">
                  <c:v>264</c:v>
                </c:pt>
                <c:pt idx="57">
                  <c:v>268</c:v>
                </c:pt>
                <c:pt idx="58">
                  <c:v>272</c:v>
                </c:pt>
                <c:pt idx="59">
                  <c:v>276</c:v>
                </c:pt>
                <c:pt idx="60">
                  <c:v>280</c:v>
                </c:pt>
                <c:pt idx="61">
                  <c:v>284</c:v>
                </c:pt>
                <c:pt idx="62">
                  <c:v>288</c:v>
                </c:pt>
                <c:pt idx="63">
                  <c:v>292</c:v>
                </c:pt>
                <c:pt idx="64">
                  <c:v>296</c:v>
                </c:pt>
                <c:pt idx="65">
                  <c:v>300</c:v>
                </c:pt>
                <c:pt idx="66">
                  <c:v>304</c:v>
                </c:pt>
                <c:pt idx="67">
                  <c:v>308</c:v>
                </c:pt>
                <c:pt idx="68">
                  <c:v>312</c:v>
                </c:pt>
                <c:pt idx="69">
                  <c:v>316</c:v>
                </c:pt>
                <c:pt idx="70">
                  <c:v>320</c:v>
                </c:pt>
                <c:pt idx="71">
                  <c:v>324</c:v>
                </c:pt>
                <c:pt idx="72">
                  <c:v>328</c:v>
                </c:pt>
                <c:pt idx="73">
                  <c:v>332</c:v>
                </c:pt>
                <c:pt idx="74">
                  <c:v>336</c:v>
                </c:pt>
                <c:pt idx="75">
                  <c:v>340</c:v>
                </c:pt>
                <c:pt idx="76">
                  <c:v>344</c:v>
                </c:pt>
                <c:pt idx="77">
                  <c:v>348</c:v>
                </c:pt>
                <c:pt idx="78">
                  <c:v>352</c:v>
                </c:pt>
                <c:pt idx="79">
                  <c:v>356</c:v>
                </c:pt>
                <c:pt idx="80">
                  <c:v>360</c:v>
                </c:pt>
                <c:pt idx="81">
                  <c:v>364</c:v>
                </c:pt>
                <c:pt idx="82">
                  <c:v>368</c:v>
                </c:pt>
                <c:pt idx="83">
                  <c:v>372</c:v>
                </c:pt>
                <c:pt idx="84">
                  <c:v>376</c:v>
                </c:pt>
                <c:pt idx="85">
                  <c:v>380</c:v>
                </c:pt>
                <c:pt idx="86">
                  <c:v>384</c:v>
                </c:pt>
                <c:pt idx="87">
                  <c:v>388</c:v>
                </c:pt>
                <c:pt idx="88">
                  <c:v>392</c:v>
                </c:pt>
                <c:pt idx="89">
                  <c:v>396</c:v>
                </c:pt>
                <c:pt idx="90">
                  <c:v>400</c:v>
                </c:pt>
                <c:pt idx="91">
                  <c:v>404</c:v>
                </c:pt>
                <c:pt idx="92">
                  <c:v>408</c:v>
                </c:pt>
                <c:pt idx="93">
                  <c:v>412</c:v>
                </c:pt>
                <c:pt idx="94">
                  <c:v>416</c:v>
                </c:pt>
                <c:pt idx="95">
                  <c:v>420</c:v>
                </c:pt>
                <c:pt idx="96">
                  <c:v>424</c:v>
                </c:pt>
                <c:pt idx="97">
                  <c:v>428</c:v>
                </c:pt>
                <c:pt idx="98">
                  <c:v>432</c:v>
                </c:pt>
                <c:pt idx="99">
                  <c:v>436</c:v>
                </c:pt>
                <c:pt idx="100">
                  <c:v>440</c:v>
                </c:pt>
                <c:pt idx="101">
                  <c:v>444</c:v>
                </c:pt>
                <c:pt idx="102">
                  <c:v>448</c:v>
                </c:pt>
                <c:pt idx="103">
                  <c:v>452</c:v>
                </c:pt>
                <c:pt idx="104">
                  <c:v>456</c:v>
                </c:pt>
                <c:pt idx="105">
                  <c:v>460</c:v>
                </c:pt>
                <c:pt idx="106">
                  <c:v>464</c:v>
                </c:pt>
                <c:pt idx="107">
                  <c:v>468</c:v>
                </c:pt>
                <c:pt idx="108">
                  <c:v>472</c:v>
                </c:pt>
                <c:pt idx="109">
                  <c:v>476</c:v>
                </c:pt>
                <c:pt idx="110">
                  <c:v>480</c:v>
                </c:pt>
                <c:pt idx="111">
                  <c:v>484</c:v>
                </c:pt>
                <c:pt idx="112">
                  <c:v>488</c:v>
                </c:pt>
                <c:pt idx="113">
                  <c:v>492</c:v>
                </c:pt>
                <c:pt idx="114">
                  <c:v>496</c:v>
                </c:pt>
                <c:pt idx="115">
                  <c:v>500</c:v>
                </c:pt>
                <c:pt idx="116">
                  <c:v>504</c:v>
                </c:pt>
                <c:pt idx="117">
                  <c:v>508</c:v>
                </c:pt>
                <c:pt idx="118">
                  <c:v>512</c:v>
                </c:pt>
                <c:pt idx="119">
                  <c:v>516</c:v>
                </c:pt>
                <c:pt idx="120">
                  <c:v>520</c:v>
                </c:pt>
                <c:pt idx="121">
                  <c:v>524</c:v>
                </c:pt>
                <c:pt idx="122">
                  <c:v>528</c:v>
                </c:pt>
                <c:pt idx="123">
                  <c:v>532</c:v>
                </c:pt>
                <c:pt idx="124">
                  <c:v>536</c:v>
                </c:pt>
                <c:pt idx="125">
                  <c:v>540</c:v>
                </c:pt>
                <c:pt idx="126">
                  <c:v>544</c:v>
                </c:pt>
                <c:pt idx="127">
                  <c:v>548</c:v>
                </c:pt>
                <c:pt idx="128">
                  <c:v>552</c:v>
                </c:pt>
                <c:pt idx="129">
                  <c:v>556</c:v>
                </c:pt>
                <c:pt idx="130">
                  <c:v>560</c:v>
                </c:pt>
                <c:pt idx="131">
                  <c:v>564</c:v>
                </c:pt>
                <c:pt idx="132">
                  <c:v>568</c:v>
                </c:pt>
                <c:pt idx="133">
                  <c:v>572</c:v>
                </c:pt>
                <c:pt idx="134">
                  <c:v>576</c:v>
                </c:pt>
                <c:pt idx="135">
                  <c:v>580</c:v>
                </c:pt>
                <c:pt idx="136">
                  <c:v>584</c:v>
                </c:pt>
                <c:pt idx="137">
                  <c:v>588</c:v>
                </c:pt>
                <c:pt idx="138">
                  <c:v>592</c:v>
                </c:pt>
                <c:pt idx="139">
                  <c:v>596</c:v>
                </c:pt>
                <c:pt idx="140">
                  <c:v>600</c:v>
                </c:pt>
                <c:pt idx="141">
                  <c:v>604</c:v>
                </c:pt>
                <c:pt idx="142">
                  <c:v>608</c:v>
                </c:pt>
                <c:pt idx="143">
                  <c:v>612</c:v>
                </c:pt>
                <c:pt idx="144">
                  <c:v>616</c:v>
                </c:pt>
                <c:pt idx="145">
                  <c:v>620</c:v>
                </c:pt>
                <c:pt idx="146">
                  <c:v>624</c:v>
                </c:pt>
                <c:pt idx="147">
                  <c:v>628</c:v>
                </c:pt>
                <c:pt idx="148">
                  <c:v>632</c:v>
                </c:pt>
                <c:pt idx="149">
                  <c:v>636</c:v>
                </c:pt>
                <c:pt idx="150">
                  <c:v>640</c:v>
                </c:pt>
                <c:pt idx="151">
                  <c:v>644</c:v>
                </c:pt>
                <c:pt idx="152">
                  <c:v>648</c:v>
                </c:pt>
                <c:pt idx="153">
                  <c:v>652</c:v>
                </c:pt>
                <c:pt idx="154">
                  <c:v>656</c:v>
                </c:pt>
                <c:pt idx="155">
                  <c:v>660</c:v>
                </c:pt>
                <c:pt idx="156">
                  <c:v>664</c:v>
                </c:pt>
                <c:pt idx="157">
                  <c:v>668</c:v>
                </c:pt>
                <c:pt idx="158">
                  <c:v>672</c:v>
                </c:pt>
                <c:pt idx="159">
                  <c:v>676</c:v>
                </c:pt>
                <c:pt idx="160">
                  <c:v>680</c:v>
                </c:pt>
                <c:pt idx="161">
                  <c:v>684</c:v>
                </c:pt>
                <c:pt idx="162">
                  <c:v>688</c:v>
                </c:pt>
                <c:pt idx="163">
                  <c:v>692</c:v>
                </c:pt>
                <c:pt idx="164">
                  <c:v>696</c:v>
                </c:pt>
                <c:pt idx="165">
                  <c:v>700</c:v>
                </c:pt>
                <c:pt idx="166">
                  <c:v>704</c:v>
                </c:pt>
                <c:pt idx="167">
                  <c:v>708</c:v>
                </c:pt>
                <c:pt idx="168">
                  <c:v>712</c:v>
                </c:pt>
                <c:pt idx="169">
                  <c:v>716</c:v>
                </c:pt>
                <c:pt idx="170">
                  <c:v>720</c:v>
                </c:pt>
                <c:pt idx="171">
                  <c:v>724</c:v>
                </c:pt>
                <c:pt idx="172">
                  <c:v>728</c:v>
                </c:pt>
                <c:pt idx="173">
                  <c:v>732</c:v>
                </c:pt>
                <c:pt idx="174">
                  <c:v>736</c:v>
                </c:pt>
                <c:pt idx="175">
                  <c:v>740</c:v>
                </c:pt>
                <c:pt idx="176">
                  <c:v>744</c:v>
                </c:pt>
                <c:pt idx="177">
                  <c:v>748</c:v>
                </c:pt>
                <c:pt idx="178">
                  <c:v>752</c:v>
                </c:pt>
                <c:pt idx="179">
                  <c:v>756</c:v>
                </c:pt>
                <c:pt idx="180">
                  <c:v>760</c:v>
                </c:pt>
                <c:pt idx="181">
                  <c:v>764</c:v>
                </c:pt>
                <c:pt idx="182">
                  <c:v>768</c:v>
                </c:pt>
                <c:pt idx="183">
                  <c:v>772</c:v>
                </c:pt>
                <c:pt idx="184">
                  <c:v>776</c:v>
                </c:pt>
                <c:pt idx="185">
                  <c:v>780</c:v>
                </c:pt>
                <c:pt idx="186">
                  <c:v>784</c:v>
                </c:pt>
                <c:pt idx="187">
                  <c:v>788</c:v>
                </c:pt>
                <c:pt idx="188">
                  <c:v>792</c:v>
                </c:pt>
                <c:pt idx="189">
                  <c:v>796</c:v>
                </c:pt>
                <c:pt idx="190">
                  <c:v>800</c:v>
                </c:pt>
                <c:pt idx="191">
                  <c:v>804</c:v>
                </c:pt>
                <c:pt idx="192">
                  <c:v>808</c:v>
                </c:pt>
                <c:pt idx="193">
                  <c:v>812</c:v>
                </c:pt>
                <c:pt idx="194">
                  <c:v>816</c:v>
                </c:pt>
                <c:pt idx="195">
                  <c:v>820</c:v>
                </c:pt>
                <c:pt idx="196">
                  <c:v>824</c:v>
                </c:pt>
                <c:pt idx="197">
                  <c:v>828</c:v>
                </c:pt>
                <c:pt idx="198">
                  <c:v>832</c:v>
                </c:pt>
                <c:pt idx="199">
                  <c:v>836</c:v>
                </c:pt>
                <c:pt idx="200">
                  <c:v>840</c:v>
                </c:pt>
                <c:pt idx="201">
                  <c:v>844</c:v>
                </c:pt>
                <c:pt idx="202">
                  <c:v>848</c:v>
                </c:pt>
                <c:pt idx="203">
                  <c:v>852</c:v>
                </c:pt>
                <c:pt idx="204">
                  <c:v>856</c:v>
                </c:pt>
                <c:pt idx="205">
                  <c:v>860</c:v>
                </c:pt>
                <c:pt idx="206">
                  <c:v>864</c:v>
                </c:pt>
                <c:pt idx="207">
                  <c:v>868</c:v>
                </c:pt>
                <c:pt idx="208">
                  <c:v>872</c:v>
                </c:pt>
                <c:pt idx="209">
                  <c:v>876</c:v>
                </c:pt>
                <c:pt idx="210">
                  <c:v>880</c:v>
                </c:pt>
                <c:pt idx="211">
                  <c:v>884</c:v>
                </c:pt>
                <c:pt idx="212">
                  <c:v>888</c:v>
                </c:pt>
                <c:pt idx="213">
                  <c:v>892</c:v>
                </c:pt>
                <c:pt idx="214">
                  <c:v>896</c:v>
                </c:pt>
                <c:pt idx="215">
                  <c:v>900</c:v>
                </c:pt>
                <c:pt idx="216">
                  <c:v>904</c:v>
                </c:pt>
                <c:pt idx="217">
                  <c:v>908</c:v>
                </c:pt>
                <c:pt idx="218">
                  <c:v>912</c:v>
                </c:pt>
                <c:pt idx="219">
                  <c:v>916</c:v>
                </c:pt>
                <c:pt idx="220">
                  <c:v>920</c:v>
                </c:pt>
                <c:pt idx="221">
                  <c:v>924</c:v>
                </c:pt>
                <c:pt idx="222">
                  <c:v>928</c:v>
                </c:pt>
                <c:pt idx="223">
                  <c:v>932</c:v>
                </c:pt>
                <c:pt idx="224">
                  <c:v>936</c:v>
                </c:pt>
                <c:pt idx="225">
                  <c:v>940</c:v>
                </c:pt>
                <c:pt idx="226">
                  <c:v>944</c:v>
                </c:pt>
                <c:pt idx="227">
                  <c:v>948</c:v>
                </c:pt>
                <c:pt idx="228">
                  <c:v>952</c:v>
                </c:pt>
                <c:pt idx="229">
                  <c:v>956</c:v>
                </c:pt>
                <c:pt idx="230">
                  <c:v>960</c:v>
                </c:pt>
                <c:pt idx="231">
                  <c:v>964</c:v>
                </c:pt>
                <c:pt idx="232">
                  <c:v>968</c:v>
                </c:pt>
                <c:pt idx="233">
                  <c:v>972</c:v>
                </c:pt>
                <c:pt idx="234">
                  <c:v>976</c:v>
                </c:pt>
                <c:pt idx="235">
                  <c:v>980</c:v>
                </c:pt>
                <c:pt idx="236">
                  <c:v>984</c:v>
                </c:pt>
                <c:pt idx="237">
                  <c:v>988</c:v>
                </c:pt>
                <c:pt idx="238">
                  <c:v>992</c:v>
                </c:pt>
                <c:pt idx="239">
                  <c:v>996</c:v>
                </c:pt>
                <c:pt idx="240">
                  <c:v>1000</c:v>
                </c:pt>
                <c:pt idx="241">
                  <c:v>1004</c:v>
                </c:pt>
                <c:pt idx="242">
                  <c:v>1008</c:v>
                </c:pt>
                <c:pt idx="243">
                  <c:v>1012</c:v>
                </c:pt>
                <c:pt idx="244">
                  <c:v>1016</c:v>
                </c:pt>
                <c:pt idx="245">
                  <c:v>1020</c:v>
                </c:pt>
                <c:pt idx="246">
                  <c:v>1024</c:v>
                </c:pt>
                <c:pt idx="247">
                  <c:v>1028</c:v>
                </c:pt>
                <c:pt idx="248">
                  <c:v>1032</c:v>
                </c:pt>
                <c:pt idx="249">
                  <c:v>1036</c:v>
                </c:pt>
                <c:pt idx="250">
                  <c:v>1040</c:v>
                </c:pt>
                <c:pt idx="251">
                  <c:v>1044</c:v>
                </c:pt>
                <c:pt idx="252">
                  <c:v>1048</c:v>
                </c:pt>
                <c:pt idx="253">
                  <c:v>1052</c:v>
                </c:pt>
                <c:pt idx="254">
                  <c:v>1056</c:v>
                </c:pt>
                <c:pt idx="255">
                  <c:v>1060</c:v>
                </c:pt>
                <c:pt idx="256">
                  <c:v>1064</c:v>
                </c:pt>
                <c:pt idx="257">
                  <c:v>1068</c:v>
                </c:pt>
                <c:pt idx="258">
                  <c:v>1072</c:v>
                </c:pt>
                <c:pt idx="259">
                  <c:v>1076</c:v>
                </c:pt>
                <c:pt idx="260">
                  <c:v>1080</c:v>
                </c:pt>
                <c:pt idx="261">
                  <c:v>1084</c:v>
                </c:pt>
                <c:pt idx="262">
                  <c:v>1088</c:v>
                </c:pt>
                <c:pt idx="263">
                  <c:v>1092</c:v>
                </c:pt>
                <c:pt idx="264">
                  <c:v>1096</c:v>
                </c:pt>
                <c:pt idx="265">
                  <c:v>1100</c:v>
                </c:pt>
                <c:pt idx="266">
                  <c:v>1104</c:v>
                </c:pt>
                <c:pt idx="267">
                  <c:v>1108</c:v>
                </c:pt>
                <c:pt idx="268">
                  <c:v>1112</c:v>
                </c:pt>
                <c:pt idx="269">
                  <c:v>1116</c:v>
                </c:pt>
                <c:pt idx="270">
                  <c:v>1120</c:v>
                </c:pt>
                <c:pt idx="271">
                  <c:v>1124</c:v>
                </c:pt>
                <c:pt idx="272">
                  <c:v>1128</c:v>
                </c:pt>
                <c:pt idx="273">
                  <c:v>1132</c:v>
                </c:pt>
                <c:pt idx="274">
                  <c:v>1136</c:v>
                </c:pt>
                <c:pt idx="275">
                  <c:v>1140</c:v>
                </c:pt>
                <c:pt idx="276">
                  <c:v>1144</c:v>
                </c:pt>
                <c:pt idx="277">
                  <c:v>1148</c:v>
                </c:pt>
                <c:pt idx="278">
                  <c:v>1152</c:v>
                </c:pt>
                <c:pt idx="279">
                  <c:v>1156</c:v>
                </c:pt>
                <c:pt idx="280">
                  <c:v>1160</c:v>
                </c:pt>
                <c:pt idx="281">
                  <c:v>1164</c:v>
                </c:pt>
                <c:pt idx="282">
                  <c:v>1168</c:v>
                </c:pt>
                <c:pt idx="283">
                  <c:v>1172</c:v>
                </c:pt>
                <c:pt idx="284">
                  <c:v>1176</c:v>
                </c:pt>
                <c:pt idx="285">
                  <c:v>1180</c:v>
                </c:pt>
                <c:pt idx="286">
                  <c:v>1184</c:v>
                </c:pt>
                <c:pt idx="287">
                  <c:v>1188</c:v>
                </c:pt>
                <c:pt idx="288">
                  <c:v>1192</c:v>
                </c:pt>
                <c:pt idx="289">
                  <c:v>1196</c:v>
                </c:pt>
                <c:pt idx="290">
                  <c:v>1200</c:v>
                </c:pt>
                <c:pt idx="291">
                  <c:v>1204</c:v>
                </c:pt>
                <c:pt idx="292">
                  <c:v>1208</c:v>
                </c:pt>
                <c:pt idx="293">
                  <c:v>1212</c:v>
                </c:pt>
                <c:pt idx="294">
                  <c:v>1216</c:v>
                </c:pt>
                <c:pt idx="295">
                  <c:v>1220</c:v>
                </c:pt>
                <c:pt idx="296">
                  <c:v>1224</c:v>
                </c:pt>
                <c:pt idx="297">
                  <c:v>1228</c:v>
                </c:pt>
                <c:pt idx="298">
                  <c:v>1232</c:v>
                </c:pt>
                <c:pt idx="299">
                  <c:v>1236</c:v>
                </c:pt>
                <c:pt idx="300">
                  <c:v>1240</c:v>
                </c:pt>
                <c:pt idx="301">
                  <c:v>1244</c:v>
                </c:pt>
                <c:pt idx="302">
                  <c:v>1248</c:v>
                </c:pt>
                <c:pt idx="303">
                  <c:v>1252</c:v>
                </c:pt>
                <c:pt idx="304">
                  <c:v>1256</c:v>
                </c:pt>
                <c:pt idx="305">
                  <c:v>1260</c:v>
                </c:pt>
                <c:pt idx="306">
                  <c:v>1264</c:v>
                </c:pt>
                <c:pt idx="307">
                  <c:v>1268</c:v>
                </c:pt>
                <c:pt idx="308">
                  <c:v>1272</c:v>
                </c:pt>
                <c:pt idx="309">
                  <c:v>1276</c:v>
                </c:pt>
                <c:pt idx="310">
                  <c:v>1280</c:v>
                </c:pt>
                <c:pt idx="311">
                  <c:v>1284</c:v>
                </c:pt>
                <c:pt idx="312">
                  <c:v>1288</c:v>
                </c:pt>
                <c:pt idx="313">
                  <c:v>1292</c:v>
                </c:pt>
                <c:pt idx="314">
                  <c:v>1296</c:v>
                </c:pt>
                <c:pt idx="315">
                  <c:v>1300</c:v>
                </c:pt>
                <c:pt idx="316">
                  <c:v>1304</c:v>
                </c:pt>
                <c:pt idx="317">
                  <c:v>1308</c:v>
                </c:pt>
                <c:pt idx="318">
                  <c:v>1312</c:v>
                </c:pt>
                <c:pt idx="319">
                  <c:v>1316</c:v>
                </c:pt>
                <c:pt idx="320">
                  <c:v>1320</c:v>
                </c:pt>
                <c:pt idx="321">
                  <c:v>1324</c:v>
                </c:pt>
                <c:pt idx="322">
                  <c:v>1328</c:v>
                </c:pt>
                <c:pt idx="323">
                  <c:v>1332</c:v>
                </c:pt>
                <c:pt idx="324">
                  <c:v>1336</c:v>
                </c:pt>
                <c:pt idx="325">
                  <c:v>1340</c:v>
                </c:pt>
                <c:pt idx="326">
                  <c:v>1344</c:v>
                </c:pt>
                <c:pt idx="327">
                  <c:v>1348</c:v>
                </c:pt>
                <c:pt idx="328">
                  <c:v>1352</c:v>
                </c:pt>
                <c:pt idx="329">
                  <c:v>1356</c:v>
                </c:pt>
                <c:pt idx="330">
                  <c:v>1360</c:v>
                </c:pt>
                <c:pt idx="331">
                  <c:v>1364</c:v>
                </c:pt>
                <c:pt idx="332">
                  <c:v>1368</c:v>
                </c:pt>
                <c:pt idx="333">
                  <c:v>1372</c:v>
                </c:pt>
                <c:pt idx="334">
                  <c:v>1376</c:v>
                </c:pt>
                <c:pt idx="335">
                  <c:v>1380</c:v>
                </c:pt>
                <c:pt idx="336">
                  <c:v>1384</c:v>
                </c:pt>
                <c:pt idx="337">
                  <c:v>1388</c:v>
                </c:pt>
                <c:pt idx="338">
                  <c:v>1392</c:v>
                </c:pt>
                <c:pt idx="339">
                  <c:v>1396</c:v>
                </c:pt>
                <c:pt idx="340">
                  <c:v>1400</c:v>
                </c:pt>
                <c:pt idx="341">
                  <c:v>1404</c:v>
                </c:pt>
                <c:pt idx="342">
                  <c:v>1408</c:v>
                </c:pt>
                <c:pt idx="343">
                  <c:v>1412</c:v>
                </c:pt>
                <c:pt idx="344">
                  <c:v>1416</c:v>
                </c:pt>
                <c:pt idx="345">
                  <c:v>1420</c:v>
                </c:pt>
                <c:pt idx="346">
                  <c:v>1424</c:v>
                </c:pt>
                <c:pt idx="347">
                  <c:v>1428</c:v>
                </c:pt>
                <c:pt idx="348">
                  <c:v>1432</c:v>
                </c:pt>
                <c:pt idx="349">
                  <c:v>1436</c:v>
                </c:pt>
                <c:pt idx="350">
                  <c:v>1440</c:v>
                </c:pt>
                <c:pt idx="351">
                  <c:v>1444</c:v>
                </c:pt>
                <c:pt idx="352">
                  <c:v>1448</c:v>
                </c:pt>
                <c:pt idx="353">
                  <c:v>1452</c:v>
                </c:pt>
                <c:pt idx="354">
                  <c:v>1456</c:v>
                </c:pt>
                <c:pt idx="355">
                  <c:v>1460</c:v>
                </c:pt>
                <c:pt idx="356">
                  <c:v>1464</c:v>
                </c:pt>
                <c:pt idx="357">
                  <c:v>1468</c:v>
                </c:pt>
                <c:pt idx="358">
                  <c:v>1472</c:v>
                </c:pt>
                <c:pt idx="359">
                  <c:v>1476</c:v>
                </c:pt>
                <c:pt idx="360">
                  <c:v>1480</c:v>
                </c:pt>
                <c:pt idx="361">
                  <c:v>1484</c:v>
                </c:pt>
                <c:pt idx="362">
                  <c:v>1488</c:v>
                </c:pt>
                <c:pt idx="363">
                  <c:v>1492</c:v>
                </c:pt>
                <c:pt idx="364">
                  <c:v>1496</c:v>
                </c:pt>
                <c:pt idx="365">
                  <c:v>1500</c:v>
                </c:pt>
                <c:pt idx="366">
                  <c:v>1504</c:v>
                </c:pt>
                <c:pt idx="367">
                  <c:v>1508</c:v>
                </c:pt>
                <c:pt idx="368">
                  <c:v>1512</c:v>
                </c:pt>
                <c:pt idx="369">
                  <c:v>1516</c:v>
                </c:pt>
                <c:pt idx="370">
                  <c:v>1520</c:v>
                </c:pt>
                <c:pt idx="371">
                  <c:v>1524</c:v>
                </c:pt>
                <c:pt idx="372">
                  <c:v>1528</c:v>
                </c:pt>
                <c:pt idx="373">
                  <c:v>1532</c:v>
                </c:pt>
                <c:pt idx="374">
                  <c:v>1536</c:v>
                </c:pt>
                <c:pt idx="375">
                  <c:v>1540</c:v>
                </c:pt>
                <c:pt idx="376">
                  <c:v>1544</c:v>
                </c:pt>
                <c:pt idx="377">
                  <c:v>1548</c:v>
                </c:pt>
                <c:pt idx="378">
                  <c:v>1552</c:v>
                </c:pt>
                <c:pt idx="379">
                  <c:v>1556</c:v>
                </c:pt>
                <c:pt idx="380">
                  <c:v>1560</c:v>
                </c:pt>
                <c:pt idx="381">
                  <c:v>1564</c:v>
                </c:pt>
                <c:pt idx="382">
                  <c:v>1568</c:v>
                </c:pt>
                <c:pt idx="383">
                  <c:v>1572</c:v>
                </c:pt>
                <c:pt idx="384">
                  <c:v>1576</c:v>
                </c:pt>
                <c:pt idx="385">
                  <c:v>1580</c:v>
                </c:pt>
                <c:pt idx="386">
                  <c:v>1584</c:v>
                </c:pt>
                <c:pt idx="387">
                  <c:v>1588</c:v>
                </c:pt>
                <c:pt idx="388">
                  <c:v>1592</c:v>
                </c:pt>
                <c:pt idx="389">
                  <c:v>1596</c:v>
                </c:pt>
                <c:pt idx="390">
                  <c:v>1600</c:v>
                </c:pt>
                <c:pt idx="391">
                  <c:v>1604</c:v>
                </c:pt>
                <c:pt idx="392">
                  <c:v>1608</c:v>
                </c:pt>
                <c:pt idx="393">
                  <c:v>1612</c:v>
                </c:pt>
                <c:pt idx="394">
                  <c:v>1616</c:v>
                </c:pt>
                <c:pt idx="395">
                  <c:v>1620</c:v>
                </c:pt>
                <c:pt idx="396">
                  <c:v>1624</c:v>
                </c:pt>
                <c:pt idx="397">
                  <c:v>1628</c:v>
                </c:pt>
                <c:pt idx="398">
                  <c:v>1632</c:v>
                </c:pt>
                <c:pt idx="399">
                  <c:v>1636</c:v>
                </c:pt>
                <c:pt idx="400">
                  <c:v>1640</c:v>
                </c:pt>
                <c:pt idx="401">
                  <c:v>1644</c:v>
                </c:pt>
                <c:pt idx="402">
                  <c:v>1648</c:v>
                </c:pt>
                <c:pt idx="403">
                  <c:v>1652</c:v>
                </c:pt>
                <c:pt idx="404">
                  <c:v>1656</c:v>
                </c:pt>
                <c:pt idx="405">
                  <c:v>1660</c:v>
                </c:pt>
                <c:pt idx="406">
                  <c:v>1664</c:v>
                </c:pt>
                <c:pt idx="407">
                  <c:v>1668</c:v>
                </c:pt>
                <c:pt idx="408">
                  <c:v>1672</c:v>
                </c:pt>
                <c:pt idx="409">
                  <c:v>1676</c:v>
                </c:pt>
                <c:pt idx="410">
                  <c:v>1680</c:v>
                </c:pt>
                <c:pt idx="411">
                  <c:v>1684</c:v>
                </c:pt>
                <c:pt idx="412">
                  <c:v>1688</c:v>
                </c:pt>
                <c:pt idx="413">
                  <c:v>1692</c:v>
                </c:pt>
                <c:pt idx="414">
                  <c:v>1696</c:v>
                </c:pt>
                <c:pt idx="415">
                  <c:v>1700</c:v>
                </c:pt>
                <c:pt idx="416">
                  <c:v>1704</c:v>
                </c:pt>
                <c:pt idx="417">
                  <c:v>1708</c:v>
                </c:pt>
                <c:pt idx="418">
                  <c:v>1712</c:v>
                </c:pt>
                <c:pt idx="419">
                  <c:v>1716</c:v>
                </c:pt>
                <c:pt idx="420">
                  <c:v>1720</c:v>
                </c:pt>
                <c:pt idx="421">
                  <c:v>1724</c:v>
                </c:pt>
                <c:pt idx="422">
                  <c:v>1728</c:v>
                </c:pt>
                <c:pt idx="423">
                  <c:v>1732</c:v>
                </c:pt>
                <c:pt idx="424">
                  <c:v>1736</c:v>
                </c:pt>
                <c:pt idx="425">
                  <c:v>1740</c:v>
                </c:pt>
                <c:pt idx="426">
                  <c:v>1744</c:v>
                </c:pt>
                <c:pt idx="427">
                  <c:v>1748</c:v>
                </c:pt>
                <c:pt idx="428">
                  <c:v>1752</c:v>
                </c:pt>
                <c:pt idx="429">
                  <c:v>1756</c:v>
                </c:pt>
                <c:pt idx="430">
                  <c:v>1760</c:v>
                </c:pt>
                <c:pt idx="431">
                  <c:v>1764</c:v>
                </c:pt>
                <c:pt idx="432">
                  <c:v>1768</c:v>
                </c:pt>
                <c:pt idx="433">
                  <c:v>1772</c:v>
                </c:pt>
                <c:pt idx="434">
                  <c:v>1776</c:v>
                </c:pt>
                <c:pt idx="435">
                  <c:v>1780</c:v>
                </c:pt>
                <c:pt idx="436">
                  <c:v>1784</c:v>
                </c:pt>
                <c:pt idx="437">
                  <c:v>1788</c:v>
                </c:pt>
                <c:pt idx="438">
                  <c:v>1792</c:v>
                </c:pt>
                <c:pt idx="439">
                  <c:v>1796</c:v>
                </c:pt>
                <c:pt idx="440">
                  <c:v>1800</c:v>
                </c:pt>
                <c:pt idx="441">
                  <c:v>1804</c:v>
                </c:pt>
                <c:pt idx="442">
                  <c:v>1808</c:v>
                </c:pt>
                <c:pt idx="443">
                  <c:v>1812</c:v>
                </c:pt>
                <c:pt idx="444">
                  <c:v>1816</c:v>
                </c:pt>
                <c:pt idx="445">
                  <c:v>1820</c:v>
                </c:pt>
                <c:pt idx="446">
                  <c:v>1824</c:v>
                </c:pt>
                <c:pt idx="447">
                  <c:v>1828</c:v>
                </c:pt>
                <c:pt idx="448">
                  <c:v>1832</c:v>
                </c:pt>
                <c:pt idx="449">
                  <c:v>1836</c:v>
                </c:pt>
                <c:pt idx="450">
                  <c:v>1840</c:v>
                </c:pt>
                <c:pt idx="451">
                  <c:v>1844</c:v>
                </c:pt>
                <c:pt idx="452">
                  <c:v>1848</c:v>
                </c:pt>
                <c:pt idx="453">
                  <c:v>1852</c:v>
                </c:pt>
                <c:pt idx="454">
                  <c:v>1856</c:v>
                </c:pt>
                <c:pt idx="455">
                  <c:v>1860</c:v>
                </c:pt>
                <c:pt idx="456">
                  <c:v>1864</c:v>
                </c:pt>
                <c:pt idx="457">
                  <c:v>1868</c:v>
                </c:pt>
                <c:pt idx="458">
                  <c:v>1872</c:v>
                </c:pt>
                <c:pt idx="459">
                  <c:v>1876</c:v>
                </c:pt>
                <c:pt idx="460">
                  <c:v>1880</c:v>
                </c:pt>
                <c:pt idx="461">
                  <c:v>1884</c:v>
                </c:pt>
                <c:pt idx="462">
                  <c:v>1888</c:v>
                </c:pt>
                <c:pt idx="463">
                  <c:v>1892</c:v>
                </c:pt>
                <c:pt idx="464">
                  <c:v>1896</c:v>
                </c:pt>
                <c:pt idx="465">
                  <c:v>1900</c:v>
                </c:pt>
                <c:pt idx="466">
                  <c:v>1904</c:v>
                </c:pt>
                <c:pt idx="467">
                  <c:v>1908</c:v>
                </c:pt>
                <c:pt idx="468">
                  <c:v>1912</c:v>
                </c:pt>
                <c:pt idx="469">
                  <c:v>1916</c:v>
                </c:pt>
                <c:pt idx="470">
                  <c:v>1920</c:v>
                </c:pt>
                <c:pt idx="471">
                  <c:v>1924</c:v>
                </c:pt>
                <c:pt idx="472">
                  <c:v>1928</c:v>
                </c:pt>
                <c:pt idx="473">
                  <c:v>1932</c:v>
                </c:pt>
                <c:pt idx="474">
                  <c:v>1936</c:v>
                </c:pt>
                <c:pt idx="475">
                  <c:v>1940</c:v>
                </c:pt>
                <c:pt idx="476">
                  <c:v>1944</c:v>
                </c:pt>
                <c:pt idx="477">
                  <c:v>1948</c:v>
                </c:pt>
                <c:pt idx="478">
                  <c:v>1952</c:v>
                </c:pt>
                <c:pt idx="479">
                  <c:v>1956</c:v>
                </c:pt>
                <c:pt idx="480">
                  <c:v>1960</c:v>
                </c:pt>
                <c:pt idx="481">
                  <c:v>1964</c:v>
                </c:pt>
                <c:pt idx="482">
                  <c:v>1968</c:v>
                </c:pt>
                <c:pt idx="483">
                  <c:v>1972</c:v>
                </c:pt>
                <c:pt idx="484">
                  <c:v>1976</c:v>
                </c:pt>
                <c:pt idx="485">
                  <c:v>1980</c:v>
                </c:pt>
                <c:pt idx="486">
                  <c:v>1984</c:v>
                </c:pt>
                <c:pt idx="487">
                  <c:v>1988</c:v>
                </c:pt>
                <c:pt idx="488">
                  <c:v>1992</c:v>
                </c:pt>
                <c:pt idx="489">
                  <c:v>1996</c:v>
                </c:pt>
                <c:pt idx="490">
                  <c:v>2000</c:v>
                </c:pt>
                <c:pt idx="491">
                  <c:v>2004</c:v>
                </c:pt>
                <c:pt idx="492">
                  <c:v>2008</c:v>
                </c:pt>
              </c:numCache>
            </c:numRef>
          </c:xVal>
          <c:yVal>
            <c:numRef>
              <c:f>Sheet1!$AO$5:$AO$497</c:f>
              <c:numCache>
                <c:formatCode>General</c:formatCode>
                <c:ptCount val="493"/>
                <c:pt idx="0">
                  <c:v>0</c:v>
                </c:pt>
                <c:pt idx="1">
                  <c:v>0.0003138481422413</c:v>
                </c:pt>
                <c:pt idx="2">
                  <c:v>0.00059902362289794</c:v>
                </c:pt>
                <c:pt idx="3">
                  <c:v>0.000860182495591656</c:v>
                </c:pt>
                <c:pt idx="4">
                  <c:v>0.00110092783432669</c:v>
                </c:pt>
                <c:pt idx="5">
                  <c:v>0.00132410362134038</c:v>
                </c:pt>
                <c:pt idx="6">
                  <c:v>0.00153199301348186</c:v>
                </c:pt>
                <c:pt idx="7">
                  <c:v>0.00172645599401785</c:v>
                </c:pt>
                <c:pt idx="8">
                  <c:v>0.0019090273367849</c:v>
                </c:pt>
                <c:pt idx="9">
                  <c:v>0.00208098784638374</c:v>
                </c:pt>
                <c:pt idx="10">
                  <c:v>0.00224341715737363</c:v>
                </c:pt>
                <c:pt idx="11">
                  <c:v>0.00239723353022478</c:v>
                </c:pt>
                <c:pt idx="12">
                  <c:v>0.00254322430055625</c:v>
                </c:pt>
                <c:pt idx="13">
                  <c:v>0.00268206949351812</c:v>
                </c:pt>
                <c:pt idx="14">
                  <c:v>0.00281436036221542</c:v>
                </c:pt>
                <c:pt idx="15">
                  <c:v>0.00294061410328281</c:v>
                </c:pt>
                <c:pt idx="16">
                  <c:v>0.0030612856564679</c:v>
                </c:pt>
                <c:pt idx="17">
                  <c:v>0.00317677725393523</c:v>
                </c:pt>
                <c:pt idx="18">
                  <c:v>0.00328744621440035</c:v>
                </c:pt>
                <c:pt idx="19">
                  <c:v>0.00339361135476217</c:v>
                </c:pt>
                <c:pt idx="20">
                  <c:v>0.00349555830285574</c:v>
                </c:pt>
                <c:pt idx="21">
                  <c:v>0.0035935439293946</c:v>
                </c:pt>
                <c:pt idx="22">
                  <c:v>0.00368780006836576</c:v>
                </c:pt>
                <c:pt idx="23">
                  <c:v>0.00377853665842005</c:v>
                </c:pt>
                <c:pt idx="24">
                  <c:v>0.00386594440990253</c:v>
                </c:pt>
                <c:pt idx="25">
                  <c:v>0.00395019708077814</c:v>
                </c:pt>
                <c:pt idx="26">
                  <c:v>0.00403145342816881</c:v>
                </c:pt>
                <c:pt idx="27">
                  <c:v>0.00410985888932639</c:v>
                </c:pt>
                <c:pt idx="28">
                  <c:v>0.00418554703574208</c:v>
                </c:pt>
                <c:pt idx="29">
                  <c:v>0.00425864083608611</c:v>
                </c:pt>
                <c:pt idx="30">
                  <c:v>0.00432925375729687</c:v>
                </c:pt>
                <c:pt idx="31">
                  <c:v>0.00439749072803109</c:v>
                </c:pt>
                <c:pt idx="32">
                  <c:v>0.0044634489845708</c:v>
                </c:pt>
                <c:pt idx="33">
                  <c:v>0.00452721881594619</c:v>
                </c:pt>
                <c:pt idx="34">
                  <c:v>0.00458888422231491</c:v>
                </c:pt>
                <c:pt idx="35">
                  <c:v>0.00464852349841178</c:v>
                </c:pt>
                <c:pt idx="36">
                  <c:v>0.0047062097520506</c:v>
                </c:pt>
                <c:pt idx="37">
                  <c:v>0.00476201136614432</c:v>
                </c:pt>
                <c:pt idx="38">
                  <c:v>0.00481599241145221</c:v>
                </c:pt>
                <c:pt idx="39">
                  <c:v>0.00486821301621319</c:v>
                </c:pt>
                <c:pt idx="40">
                  <c:v>0.00491872969794625</c:v>
                </c:pt>
                <c:pt idx="41">
                  <c:v>0.00496759566196068</c:v>
                </c:pt>
                <c:pt idx="42">
                  <c:v>0.00501486107049583</c:v>
                </c:pt>
                <c:pt idx="43">
                  <c:v>0.00506057328588331</c:v>
                </c:pt>
                <c:pt idx="44">
                  <c:v>0.00510477709067642</c:v>
                </c:pt>
                <c:pt idx="45">
                  <c:v>0.00514751488731027</c:v>
                </c:pt>
                <c:pt idx="46">
                  <c:v>0.00518882687952969</c:v>
                </c:pt>
                <c:pt idx="47">
                  <c:v>0.00522875123754256</c:v>
                </c:pt>
                <c:pt idx="48">
                  <c:v>0.00526732424861555</c:v>
                </c:pt>
                <c:pt idx="49">
                  <c:v>0.00530458045462218</c:v>
                </c:pt>
                <c:pt idx="50">
                  <c:v>0.00534055277787357</c:v>
                </c:pt>
                <c:pt idx="51">
                  <c:v>0.00537527263640716</c:v>
                </c:pt>
                <c:pt idx="52">
                  <c:v>0.00540877004977357</c:v>
                </c:pt>
                <c:pt idx="53">
                  <c:v>0.00544107373624404</c:v>
                </c:pt>
                <c:pt idx="54">
                  <c:v>0.00547221120225858</c:v>
                </c:pt>
                <c:pt idx="55">
                  <c:v>0.00550220882484475</c:v>
                </c:pt>
                <c:pt idx="56">
                  <c:v>0.00553109192765854</c:v>
                </c:pt>
                <c:pt idx="57">
                  <c:v>0.00555888485122923</c:v>
                </c:pt>
                <c:pt idx="58">
                  <c:v>0.00558561101792963</c:v>
                </c:pt>
                <c:pt idx="59">
                  <c:v>0.00561129299213884</c:v>
                </c:pt>
                <c:pt idx="60">
                  <c:v>0.00563595253601744</c:v>
                </c:pt>
                <c:pt idx="61">
                  <c:v>0.0056596106612728</c:v>
                </c:pt>
                <c:pt idx="62">
                  <c:v>0.00568228767725484</c:v>
                </c:pt>
                <c:pt idx="63">
                  <c:v>0.00570400323568936</c:v>
                </c:pt>
                <c:pt idx="64">
                  <c:v>0.00572477637232655</c:v>
                </c:pt>
                <c:pt idx="65">
                  <c:v>0.00574462554575583</c:v>
                </c:pt>
                <c:pt idx="66">
                  <c:v>0.00576356867361469</c:v>
                </c:pt>
                <c:pt idx="67">
                  <c:v>0.00578162316639817</c:v>
                </c:pt>
                <c:pt idx="68">
                  <c:v>0.00579880595905657</c:v>
                </c:pt>
                <c:pt idx="69">
                  <c:v>0.00581513354055217</c:v>
                </c:pt>
                <c:pt idx="70">
                  <c:v>0.00583062198153061</c:v>
                </c:pt>
                <c:pt idx="71">
                  <c:v>0.00584528696024854</c:v>
                </c:pt>
                <c:pt idx="72">
                  <c:v>0.00585914378688718</c:v>
                </c:pt>
                <c:pt idx="73">
                  <c:v>0.00587220742637007</c:v>
                </c:pt>
                <c:pt idx="74">
                  <c:v>0.00588449251979321</c:v>
                </c:pt>
                <c:pt idx="75">
                  <c:v>0.0058960134045668</c:v>
                </c:pt>
                <c:pt idx="76">
                  <c:v>0.00590678413335934</c:v>
                </c:pt>
                <c:pt idx="77">
                  <c:v>0.00591681849192767</c:v>
                </c:pt>
                <c:pt idx="78">
                  <c:v>0.00592613001590933</c:v>
                </c:pt>
                <c:pt idx="79">
                  <c:v>0.00593473200664772</c:v>
                </c:pt>
                <c:pt idx="80">
                  <c:v>0.00594263754611479</c:v>
                </c:pt>
                <c:pt idx="81">
                  <c:v>0.00594985951099092</c:v>
                </c:pt>
                <c:pt idx="82">
                  <c:v>0.00595641058595684</c:v>
                </c:pt>
                <c:pt idx="83">
                  <c:v>0.00596230327624825</c:v>
                </c:pt>
                <c:pt idx="84">
                  <c:v>0.00596754991951991</c:v>
                </c:pt>
                <c:pt idx="85">
                  <c:v>0.0059721626970622</c:v>
                </c:pt>
                <c:pt idx="86">
                  <c:v>0.00597615364441015</c:v>
                </c:pt>
                <c:pt idx="87">
                  <c:v>0.00597953466138152</c:v>
                </c:pt>
                <c:pt idx="88">
                  <c:v>0.00598231752157816</c:v>
                </c:pt>
                <c:pt idx="89">
                  <c:v>0.00598451388138198</c:v>
                </c:pt>
                <c:pt idx="90">
                  <c:v>0.00598613528847471</c:v>
                </c:pt>
                <c:pt idx="91">
                  <c:v>0.00598719318990828</c:v>
                </c:pt>
                <c:pt idx="92">
                  <c:v>0.00598769893975084</c:v>
                </c:pt>
                <c:pt idx="93">
                  <c:v>0.00598766380633142</c:v>
                </c:pt>
                <c:pt idx="94">
                  <c:v>0.00598709897910458</c:v>
                </c:pt>
                <c:pt idx="95">
                  <c:v>0.00598601557515478</c:v>
                </c:pt>
                <c:pt idx="96">
                  <c:v>0.00598442464535878</c:v>
                </c:pt>
                <c:pt idx="97">
                  <c:v>0.00598233718022284</c:v>
                </c:pt>
                <c:pt idx="98">
                  <c:v>0.00597976411541048</c:v>
                </c:pt>
                <c:pt idx="99">
                  <c:v>0.00597671633697508</c:v>
                </c:pt>
                <c:pt idx="100">
                  <c:v>0.0059732046863107</c:v>
                </c:pt>
                <c:pt idx="101">
                  <c:v>0.00596923996483325</c:v>
                </c:pt>
                <c:pt idx="102">
                  <c:v>0.00596483293840354</c:v>
                </c:pt>
                <c:pt idx="103">
                  <c:v>0.00595999434150224</c:v>
                </c:pt>
                <c:pt idx="104">
                  <c:v>0.00595473488116656</c:v>
                </c:pt>
                <c:pt idx="105">
                  <c:v>0.00594906524069723</c:v>
                </c:pt>
                <c:pt idx="106">
                  <c:v>0.00594299608314374</c:v>
                </c:pt>
                <c:pt idx="107">
                  <c:v>0.00593653805457506</c:v>
                </c:pt>
                <c:pt idx="108">
                  <c:v>0.00592970178714255</c:v>
                </c:pt>
                <c:pt idx="109">
                  <c:v>0.00592249790194083</c:v>
                </c:pt>
                <c:pt idx="110">
                  <c:v>0.00591493701167205</c:v>
                </c:pt>
                <c:pt idx="111">
                  <c:v>0.00590702972311837</c:v>
                </c:pt>
                <c:pt idx="112">
                  <c:v>0.00589878663942683</c:v>
                </c:pt>
                <c:pt idx="113">
                  <c:v>0.00589021836221041</c:v>
                </c:pt>
                <c:pt idx="114">
                  <c:v>0.00588133549346846</c:v>
                </c:pt>
                <c:pt idx="115">
                  <c:v>0.0058721486373295</c:v>
                </c:pt>
                <c:pt idx="116">
                  <c:v>0.00586266840161856</c:v>
                </c:pt>
                <c:pt idx="117">
                  <c:v>0.00585290539925114</c:v>
                </c:pt>
                <c:pt idx="118">
                  <c:v>0.00584287024945548</c:v>
                </c:pt>
                <c:pt idx="119">
                  <c:v>0.00583257357882418</c:v>
                </c:pt>
                <c:pt idx="120">
                  <c:v>0.00582202602219624</c:v>
                </c:pt>
                <c:pt idx="121">
                  <c:v>0.00581123822337001</c:v>
                </c:pt>
                <c:pt idx="122">
                  <c:v>0.00580022083564731</c:v>
                </c:pt>
                <c:pt idx="123">
                  <c:v>0.00578898452220881</c:v>
                </c:pt>
                <c:pt idx="124">
                  <c:v>0.00577753995632028</c:v>
                </c:pt>
                <c:pt idx="125">
                  <c:v>0.00576589782136926</c:v>
                </c:pt>
                <c:pt idx="126">
                  <c:v>0.00575406881073145</c:v>
                </c:pt>
                <c:pt idx="127">
                  <c:v>0.0057420636274658</c:v>
                </c:pt>
                <c:pt idx="128">
                  <c:v>0.00572989298383726</c:v>
                </c:pt>
                <c:pt idx="129">
                  <c:v>0.00571756760066586</c:v>
                </c:pt>
                <c:pt idx="130">
                  <c:v>0.00570509820650076</c:v>
                </c:pt>
                <c:pt idx="131">
                  <c:v>0.00569249553661769</c:v>
                </c:pt>
                <c:pt idx="132">
                  <c:v>0.00567977033183814</c:v>
                </c:pt>
                <c:pt idx="133">
                  <c:v>0.00566693333716873</c:v>
                </c:pt>
                <c:pt idx="134">
                  <c:v>0.00565399530025881</c:v>
                </c:pt>
                <c:pt idx="135">
                  <c:v>0.00564096696967475</c:v>
                </c:pt>
                <c:pt idx="136">
                  <c:v>0.00562785909298905</c:v>
                </c:pt>
                <c:pt idx="137">
                  <c:v>0.00561468241468255</c:v>
                </c:pt>
                <c:pt idx="138">
                  <c:v>0.00560144767385819</c:v>
                </c:pt>
                <c:pt idx="139">
                  <c:v>0.00558816560176463</c:v>
                </c:pt>
                <c:pt idx="140">
                  <c:v>0.00557484691912845</c:v>
                </c:pt>
                <c:pt idx="141">
                  <c:v>0.00556150233329352</c:v>
                </c:pt>
                <c:pt idx="142">
                  <c:v>0.00554814253516653</c:v>
                </c:pt>
                <c:pt idx="143">
                  <c:v>0.00553477819596792</c:v>
                </c:pt>
                <c:pt idx="144">
                  <c:v>0.00552141996378736</c:v>
                </c:pt>
                <c:pt idx="145">
                  <c:v>0.00550807845994372</c:v>
                </c:pt>
                <c:pt idx="146">
                  <c:v>0.00549476427514943</c:v>
                </c:pt>
                <c:pt idx="147">
                  <c:v>0.0054814879654797</c:v>
                </c:pt>
                <c:pt idx="148">
                  <c:v>0.00546826004814728</c:v>
                </c:pt>
                <c:pt idx="149">
                  <c:v>0.0054550909970841</c:v>
                </c:pt>
                <c:pt idx="150">
                  <c:v>0.00544199123833149</c:v>
                </c:pt>
                <c:pt idx="151">
                  <c:v>0.00542897114524112</c:v>
                </c:pt>
                <c:pt idx="152">
                  <c:v>0.00541604103348955</c:v>
                </c:pt>
                <c:pt idx="153">
                  <c:v>0.00540321115590964</c:v>
                </c:pt>
                <c:pt idx="154">
                  <c:v>0.0053904916971429</c:v>
                </c:pt>
                <c:pt idx="155">
                  <c:v>0.00537789276811733</c:v>
                </c:pt>
                <c:pt idx="156">
                  <c:v>0.00536542440035605</c:v>
                </c:pt>
                <c:pt idx="157">
                  <c:v>0.00535309654012285</c:v>
                </c:pt>
                <c:pt idx="158">
                  <c:v>0.00534091904241123</c:v>
                </c:pt>
                <c:pt idx="159">
                  <c:v>0.00532890166478469</c:v>
                </c:pt>
                <c:pt idx="160">
                  <c:v>0.00531705406107633</c:v>
                </c:pt>
                <c:pt idx="161">
                  <c:v>0.00530538577495696</c:v>
                </c:pt>
                <c:pt idx="162">
                  <c:v>0.00529390623338172</c:v>
                </c:pt>
                <c:pt idx="163">
                  <c:v>0.00528262473992573</c:v>
                </c:pt>
                <c:pt idx="164">
                  <c:v>0.00527155046802045</c:v>
                </c:pt>
                <c:pt idx="165">
                  <c:v>0.00526069245410309</c:v>
                </c:pt>
                <c:pt idx="166">
                  <c:v>0.00525005959069225</c:v>
                </c:pt>
                <c:pt idx="167">
                  <c:v>0.0052396606194037</c:v>
                </c:pt>
                <c:pt idx="168">
                  <c:v>0.00522950412392116</c:v>
                </c:pt>
                <c:pt idx="169">
                  <c:v>0.00521959852293749</c:v>
                </c:pt>
                <c:pt idx="170">
                  <c:v>0.00520995206308262</c:v>
                </c:pt>
                <c:pt idx="171">
                  <c:v>0.00520057281185501</c:v>
                </c:pt>
                <c:pt idx="172">
                  <c:v>0.00519146865057437</c:v>
                </c:pt>
                <c:pt idx="173">
                  <c:v>0.00518264726737359</c:v>
                </c:pt>
                <c:pt idx="174">
                  <c:v>0.00517411615024876</c:v>
                </c:pt>
                <c:pt idx="175">
                  <c:v>0.00516588258018621</c:v>
                </c:pt>
                <c:pt idx="176">
                  <c:v>0.00515795362438629</c:v>
                </c:pt>
                <c:pt idx="177">
                  <c:v>0.00515033612960361</c:v>
                </c:pt>
                <c:pt idx="178">
                  <c:v>0.00514303671562387</c:v>
                </c:pt>
                <c:pt idx="179">
                  <c:v>0.00513606176889748</c:v>
                </c:pt>
                <c:pt idx="180">
                  <c:v>0.00512941743635025</c:v>
                </c:pt>
                <c:pt idx="181">
                  <c:v>0.0051231096193914</c:v>
                </c:pt>
                <c:pt idx="182">
                  <c:v>0.00511714396813883</c:v>
                </c:pt>
                <c:pt idx="183">
                  <c:v>0.00511152587588166</c:v>
                </c:pt>
                <c:pt idx="184">
                  <c:v>0.00510626047379931</c:v>
                </c:pt>
                <c:pt idx="185">
                  <c:v>0.0051013526259562</c:v>
                </c:pt>
                <c:pt idx="186">
                  <c:v>0.00509680692459041</c:v>
                </c:pt>
                <c:pt idx="187">
                  <c:v>0.00509262768571409</c:v>
                </c:pt>
                <c:pt idx="188">
                  <c:v>0.00508881894504244</c:v>
                </c:pt>
                <c:pt idx="189">
                  <c:v>0.00508538445426736</c:v>
                </c:pt>
                <c:pt idx="190">
                  <c:v>0.00508232767769081</c:v>
                </c:pt>
                <c:pt idx="191">
                  <c:v>0.00507965178923168</c:v>
                </c:pt>
                <c:pt idx="192">
                  <c:v>0.0050773596698192</c:v>
                </c:pt>
                <c:pt idx="193">
                  <c:v>0.00507545390518398</c:v>
                </c:pt>
                <c:pt idx="194">
                  <c:v>0.00507393678405729</c:v>
                </c:pt>
                <c:pt idx="195">
                  <c:v>0.00507281029678686</c:v>
                </c:pt>
                <c:pt idx="196">
                  <c:v>0.00507207613437685</c:v>
                </c:pt>
                <c:pt idx="197">
                  <c:v>0.00507173568795748</c:v>
                </c:pt>
                <c:pt idx="198">
                  <c:v>0.00507179004868853</c:v>
                </c:pt>
                <c:pt idx="199">
                  <c:v>0.00507224000809953</c:v>
                </c:pt>
                <c:pt idx="200">
                  <c:v>0.00507308605886719</c:v>
                </c:pt>
                <c:pt idx="201">
                  <c:v>0.00507432839602989</c:v>
                </c:pt>
                <c:pt idx="202">
                  <c:v>0.00507596691863663</c:v>
                </c:pt>
                <c:pt idx="203">
                  <c:v>0.0050780012318267</c:v>
                </c:pt>
                <c:pt idx="204">
                  <c:v>0.00508043064933467</c:v>
                </c:pt>
                <c:pt idx="205">
                  <c:v>0.00508325419641361</c:v>
                </c:pt>
                <c:pt idx="206">
                  <c:v>0.00508647061316813</c:v>
                </c:pt>
                <c:pt idx="207">
                  <c:v>0.00509007835828731</c:v>
                </c:pt>
                <c:pt idx="208">
                  <c:v>0.00509407561316609</c:v>
                </c:pt>
                <c:pt idx="209">
                  <c:v>0.00509846028640275</c:v>
                </c:pt>
                <c:pt idx="210">
                  <c:v>0.0051032300186584</c:v>
                </c:pt>
                <c:pt idx="211">
                  <c:v>0.00510838218786363</c:v>
                </c:pt>
                <c:pt idx="212">
                  <c:v>0.00511391391475633</c:v>
                </c:pt>
                <c:pt idx="213">
                  <c:v>0.00511982206873366</c:v>
                </c:pt>
                <c:pt idx="214">
                  <c:v>0.00512610327400037</c:v>
                </c:pt>
                <c:pt idx="215">
                  <c:v>0.00513275391599508</c:v>
                </c:pt>
                <c:pt idx="216">
                  <c:v>0.00513977014807517</c:v>
                </c:pt>
                <c:pt idx="217">
                  <c:v>0.00514714789844081</c:v>
                </c:pt>
                <c:pt idx="218">
                  <c:v>0.00515488287727794</c:v>
                </c:pt>
                <c:pt idx="219">
                  <c:v>0.00516297058409993</c:v>
                </c:pt>
                <c:pt idx="220">
                  <c:v>0.00517140631526728</c:v>
                </c:pt>
                <c:pt idx="221">
                  <c:v>0.00518018517166498</c:v>
                </c:pt>
                <c:pt idx="222">
                  <c:v>0.00518930206651655</c:v>
                </c:pt>
                <c:pt idx="223">
                  <c:v>0.00519875173331473</c:v>
                </c:pt>
                <c:pt idx="224">
                  <c:v>0.00520852873384826</c:v>
                </c:pt>
                <c:pt idx="225">
                  <c:v>0.0052186274663049</c:v>
                </c:pt>
                <c:pt idx="226">
                  <c:v>0.00522904217343122</c:v>
                </c:pt>
                <c:pt idx="227">
                  <c:v>0.00523976695072996</c:v>
                </c:pt>
                <c:pt idx="228">
                  <c:v>0.00525079575467651</c:v>
                </c:pt>
                <c:pt idx="229">
                  <c:v>0.00526212241093643</c:v>
                </c:pt>
                <c:pt idx="230">
                  <c:v>0.00527374062256697</c:v>
                </c:pt>
                <c:pt idx="231">
                  <c:v>0.0052856439781857</c:v>
                </c:pt>
                <c:pt idx="232">
                  <c:v>0.00529782596009076</c:v>
                </c:pt>
                <c:pt idx="233">
                  <c:v>0.00531027995231743</c:v>
                </c:pt>
                <c:pt idx="234">
                  <c:v>0.00532299924861707</c:v>
                </c:pt>
                <c:pt idx="235">
                  <c:v>0.00533597706034483</c:v>
                </c:pt>
                <c:pt idx="236">
                  <c:v>0.00534920652424383</c:v>
                </c:pt>
                <c:pt idx="237">
                  <c:v>0.00536268071011414</c:v>
                </c:pt>
                <c:pt idx="238">
                  <c:v>0.00537639262835575</c:v>
                </c:pt>
                <c:pt idx="239">
                  <c:v>0.00539033523737584</c:v>
                </c:pt>
                <c:pt idx="240">
                  <c:v>0.00540450145085116</c:v>
                </c:pt>
                <c:pt idx="241">
                  <c:v>0.0054188841448376</c:v>
                </c:pt>
                <c:pt idx="242">
                  <c:v>0.0054334761647196</c:v>
                </c:pt>
                <c:pt idx="243">
                  <c:v>0.00544827033199297</c:v>
                </c:pt>
                <c:pt idx="244">
                  <c:v>0.00546325945087552</c:v>
                </c:pt>
                <c:pt idx="245">
                  <c:v>0.0054784363147407</c:v>
                </c:pt>
                <c:pt idx="246">
                  <c:v>0.00549379371237014</c:v>
                </c:pt>
                <c:pt idx="247">
                  <c:v>0.00550932443402175</c:v>
                </c:pt>
                <c:pt idx="248">
                  <c:v>0.00552502127731087</c:v>
                </c:pt>
                <c:pt idx="249">
                  <c:v>0.00554087705290224</c:v>
                </c:pt>
                <c:pt idx="250">
                  <c:v>0.00555688459001177</c:v>
                </c:pt>
                <c:pt idx="251">
                  <c:v>0.00557303674171708</c:v>
                </c:pt>
                <c:pt idx="252">
                  <c:v>0.00558932639007687</c:v>
                </c:pt>
                <c:pt idx="253">
                  <c:v>0.00560574645105923</c:v>
                </c:pt>
                <c:pt idx="254">
                  <c:v>0.00562228987927994</c:v>
                </c:pt>
                <c:pt idx="255">
                  <c:v>0.00563894967255192</c:v>
                </c:pt>
                <c:pt idx="256">
                  <c:v>0.00565571887624751</c:v>
                </c:pt>
                <c:pt idx="257">
                  <c:v>0.00567259058747575</c:v>
                </c:pt>
                <c:pt idx="258">
                  <c:v>0.005689557959077</c:v>
                </c:pt>
                <c:pt idx="259">
                  <c:v>0.00570661420343778</c:v>
                </c:pt>
                <c:pt idx="260">
                  <c:v>0.00572375259612861</c:v>
                </c:pt>
                <c:pt idx="261">
                  <c:v>0.0057409664793684</c:v>
                </c:pt>
                <c:pt idx="262">
                  <c:v>0.0057582492653187</c:v>
                </c:pt>
                <c:pt idx="263">
                  <c:v>0.00577559443921157</c:v>
                </c:pt>
                <c:pt idx="264">
                  <c:v>0.00579299556231488</c:v>
                </c:pt>
                <c:pt idx="265">
                  <c:v>0.00581044627473909</c:v>
                </c:pt>
                <c:pt idx="266">
                  <c:v>0.00582794029808956</c:v>
                </c:pt>
                <c:pt idx="267">
                  <c:v>0.00584547143796861</c:v>
                </c:pt>
                <c:pt idx="268">
                  <c:v>0.0058630335863316</c:v>
                </c:pt>
                <c:pt idx="269">
                  <c:v>0.00588062072370135</c:v>
                </c:pt>
                <c:pt idx="270">
                  <c:v>0.00589822692124521</c:v>
                </c:pt>
                <c:pt idx="271">
                  <c:v>0.0059158463427192</c:v>
                </c:pt>
                <c:pt idx="272">
                  <c:v>0.00593347324628353</c:v>
                </c:pt>
                <c:pt idx="273">
                  <c:v>0.00595110198619393</c:v>
                </c:pt>
                <c:pt idx="274">
                  <c:v>0.00596872701437293</c:v>
                </c:pt>
                <c:pt idx="275">
                  <c:v>0.00598634288186563</c:v>
                </c:pt>
                <c:pt idx="276">
                  <c:v>0.00600394424018388</c:v>
                </c:pt>
                <c:pt idx="277">
                  <c:v>0.00602152584254331</c:v>
                </c:pt>
                <c:pt idx="278">
                  <c:v>0.00603908254499707</c:v>
                </c:pt>
                <c:pt idx="279">
                  <c:v>0.0060566093074705</c:v>
                </c:pt>
                <c:pt idx="280">
                  <c:v>0.0060741011947004</c:v>
                </c:pt>
                <c:pt idx="281">
                  <c:v>0.00609155337708305</c:v>
                </c:pt>
                <c:pt idx="282">
                  <c:v>0.00610896113143441</c:v>
                </c:pt>
                <c:pt idx="283">
                  <c:v>0.00612631984166639</c:v>
                </c:pt>
                <c:pt idx="284">
                  <c:v>0.00614362499938252</c:v>
                </c:pt>
                <c:pt idx="285">
                  <c:v>0.00616087220439662</c:v>
                </c:pt>
                <c:pt idx="286">
                  <c:v>0.00617805716517766</c:v>
                </c:pt>
                <c:pt idx="287">
                  <c:v>0.00619517569922413</c:v>
                </c:pt>
                <c:pt idx="288">
                  <c:v>0.00621222373337091</c:v>
                </c:pt>
                <c:pt idx="289">
                  <c:v>0.00622919730403172</c:v>
                </c:pt>
                <c:pt idx="290">
                  <c:v>0.00624609255737997</c:v>
                </c:pt>
                <c:pt idx="291">
                  <c:v>0.00626290574947078</c:v>
                </c:pt>
                <c:pt idx="292">
                  <c:v>0.00627963324630687</c:v>
                </c:pt>
                <c:pt idx="293">
                  <c:v>0.00629627152385082</c:v>
                </c:pt>
                <c:pt idx="294">
                  <c:v>0.00631281716798613</c:v>
                </c:pt>
                <c:pt idx="295">
                  <c:v>0.00632926687442942</c:v>
                </c:pt>
                <c:pt idx="296">
                  <c:v>0.00634561744859603</c:v>
                </c:pt>
                <c:pt idx="297">
                  <c:v>0.00636186580542106</c:v>
                </c:pt>
                <c:pt idx="298">
                  <c:v>0.00637800896913797</c:v>
                </c:pt>
                <c:pt idx="299">
                  <c:v>0.00639404407301656</c:v>
                </c:pt>
                <c:pt idx="300">
                  <c:v>0.0064099683590622</c:v>
                </c:pt>
                <c:pt idx="301">
                  <c:v>0.00642577917767807</c:v>
                </c:pt>
                <c:pt idx="302">
                  <c:v>0.00644147398729194</c:v>
                </c:pt>
                <c:pt idx="303">
                  <c:v>0.00645705035394924</c:v>
                </c:pt>
                <c:pt idx="304">
                  <c:v>0.00647250595087359</c:v>
                </c:pt>
                <c:pt idx="305">
                  <c:v>0.00648783855799645</c:v>
                </c:pt>
                <c:pt idx="306">
                  <c:v>0.00650304606145704</c:v>
                </c:pt>
                <c:pt idx="307">
                  <c:v>0.00651812645307371</c:v>
                </c:pt>
                <c:pt idx="308">
                  <c:v>0.0065330778297881</c:v>
                </c:pt>
                <c:pt idx="309">
                  <c:v>0.00654789839308288</c:v>
                </c:pt>
                <c:pt idx="310">
                  <c:v>0.00656258644837437</c:v>
                </c:pt>
                <c:pt idx="311">
                  <c:v>0.00657714040438071</c:v>
                </c:pt>
                <c:pt idx="312">
                  <c:v>0.00659155877246662</c:v>
                </c:pt>
                <c:pt idx="313">
                  <c:v>0.00660584016596553</c:v>
                </c:pt>
                <c:pt idx="314">
                  <c:v>0.00661998329947974</c:v>
                </c:pt>
                <c:pt idx="315">
                  <c:v>0.00663398698815942</c:v>
                </c:pt>
                <c:pt idx="316">
                  <c:v>0.00664785014696102</c:v>
                </c:pt>
                <c:pt idx="317">
                  <c:v>0.00666157178988566</c:v>
                </c:pt>
                <c:pt idx="318">
                  <c:v>0.00667515102919815</c:v>
                </c:pt>
                <c:pt idx="319">
                  <c:v>0.00668858707462691</c:v>
                </c:pt>
                <c:pt idx="320">
                  <c:v>0.00670187923254554</c:v>
                </c:pt>
                <c:pt idx="321">
                  <c:v>0.00671502690513614</c:v>
                </c:pt>
                <c:pt idx="322">
                  <c:v>0.00672802958953499</c:v>
                </c:pt>
                <c:pt idx="323">
                  <c:v>0.00674088687696069</c:v>
                </c:pt>
                <c:pt idx="324">
                  <c:v>0.00675359845182528</c:v>
                </c:pt>
                <c:pt idx="325">
                  <c:v>0.00676616409082843</c:v>
                </c:pt>
                <c:pt idx="326">
                  <c:v>0.00677858366203495</c:v>
                </c:pt>
                <c:pt idx="327">
                  <c:v>0.00679085712393592</c:v>
                </c:pt>
                <c:pt idx="328">
                  <c:v>0.00680298452449346</c:v>
                </c:pt>
                <c:pt idx="329">
                  <c:v>0.00681496600016939</c:v>
                </c:pt>
                <c:pt idx="330">
                  <c:v>0.00682680177493783</c:v>
                </c:pt>
                <c:pt idx="331">
                  <c:v>0.00683849215928191</c:v>
                </c:pt>
                <c:pt idx="332">
                  <c:v>0.00685003754917452</c:v>
                </c:pt>
                <c:pt idx="333">
                  <c:v>0.0068614384250434</c:v>
                </c:pt>
                <c:pt idx="334">
                  <c:v>0.00687269535072033</c:v>
                </c:pt>
                <c:pt idx="335">
                  <c:v>0.00688380897237461</c:v>
                </c:pt>
                <c:pt idx="336">
                  <c:v>0.00689478001743085</c:v>
                </c:pt>
                <c:pt idx="337">
                  <c:v>0.00690560929347095</c:v>
                </c:pt>
                <c:pt idx="338">
                  <c:v>0.00691629768712038</c:v>
                </c:pt>
                <c:pt idx="339">
                  <c:v>0.00692684616291859</c:v>
                </c:pt>
                <c:pt idx="340">
                  <c:v>0.00693725576217375</c:v>
                </c:pt>
                <c:pt idx="341">
                  <c:v>0.00694752760180148</c:v>
                </c:pt>
                <c:pt idx="342">
                  <c:v>0.00695766287314779</c:v>
                </c:pt>
                <c:pt idx="343">
                  <c:v>0.00696766284079601</c:v>
                </c:pt>
                <c:pt idx="344">
                  <c:v>0.0069775288413578</c:v>
                </c:pt>
                <c:pt idx="345">
                  <c:v>0.00698726228224801</c:v>
                </c:pt>
                <c:pt idx="346">
                  <c:v>0.00699686464044355</c:v>
                </c:pt>
                <c:pt idx="347">
                  <c:v>0.00700633746122601</c:v>
                </c:pt>
                <c:pt idx="348">
                  <c:v>0.00701568235690819</c:v>
                </c:pt>
                <c:pt idx="349">
                  <c:v>0.00702490100554431</c:v>
                </c:pt>
                <c:pt idx="350">
                  <c:v>0.00703399514962398</c:v>
                </c:pt>
                <c:pt idx="351">
                  <c:v>0.00704296659474989</c:v>
                </c:pt>
                <c:pt idx="352">
                  <c:v>0.00705181720829911</c:v>
                </c:pt>
                <c:pt idx="353">
                  <c:v>0.00706054891806814</c:v>
                </c:pt>
                <c:pt idx="354">
                  <c:v>0.00706916371090152</c:v>
                </c:pt>
                <c:pt idx="355">
                  <c:v>0.00707766363130419</c:v>
                </c:pt>
                <c:pt idx="356">
                  <c:v>0.00708605078003748</c:v>
                </c:pt>
                <c:pt idx="357">
                  <c:v>0.00709432731269882</c:v>
                </c:pt>
                <c:pt idx="358">
                  <c:v>0.00710249543828528</c:v>
                </c:pt>
                <c:pt idx="359">
                  <c:v>0.00711055741774084</c:v>
                </c:pt>
                <c:pt idx="360">
                  <c:v>0.00711851556248769</c:v>
                </c:pt>
                <c:pt idx="361">
                  <c:v>0.00712637223294142</c:v>
                </c:pt>
                <c:pt idx="362">
                  <c:v>0.00713412983701045</c:v>
                </c:pt>
                <c:pt idx="363">
                  <c:v>0.00714179082857965</c:v>
                </c:pt>
                <c:pt idx="364">
                  <c:v>0.00714935770597844</c:v>
                </c:pt>
                <c:pt idx="365">
                  <c:v>0.00715683301043348</c:v>
                </c:pt>
                <c:pt idx="366">
                  <c:v>0.00716421932450612</c:v>
                </c:pt>
                <c:pt idx="367">
                  <c:v>0.007171519270515</c:v>
                </c:pt>
                <c:pt idx="368">
                  <c:v>0.00717873550894384</c:v>
                </c:pt>
                <c:pt idx="369">
                  <c:v>0.00718587073683485</c:v>
                </c:pt>
                <c:pt idx="370">
                  <c:v>0.00719292768616796</c:v>
                </c:pt>
                <c:pt idx="371">
                  <c:v>0.00719990912222634</c:v>
                </c:pt>
                <c:pt idx="372">
                  <c:v>0.0072068178419484</c:v>
                </c:pt>
                <c:pt idx="373">
                  <c:v>0.00721365667226672</c:v>
                </c:pt>
                <c:pt idx="374">
                  <c:v>0.00722042846843446</c:v>
                </c:pt>
                <c:pt idx="375">
                  <c:v>0.00722713611233942</c:v>
                </c:pt>
                <c:pt idx="376">
                  <c:v>0.00723378251080647</c:v>
                </c:pt>
                <c:pt idx="377">
                  <c:v>0.00724037059388877</c:v>
                </c:pt>
                <c:pt idx="378">
                  <c:v>0.00724690331314825</c:v>
                </c:pt>
                <c:pt idx="379">
                  <c:v>0.00725338363992604</c:v>
                </c:pt>
                <c:pt idx="380">
                  <c:v>0.00725981456360332</c:v>
                </c:pt>
                <c:pt idx="381">
                  <c:v>0.00726619908985336</c:v>
                </c:pt>
                <c:pt idx="382">
                  <c:v>0.00727254023888529</c:v>
                </c:pt>
                <c:pt idx="383">
                  <c:v>0.00727884104368033</c:v>
                </c:pt>
                <c:pt idx="384">
                  <c:v>0.00728510454822127</c:v>
                </c:pt>
                <c:pt idx="385">
                  <c:v>0.00729133380571591</c:v>
                </c:pt>
                <c:pt idx="386">
                  <c:v>0.00729753187681516</c:v>
                </c:pt>
                <c:pt idx="387">
                  <c:v>0.00730370182782687</c:v>
                </c:pt>
                <c:pt idx="388">
                  <c:v>0.00730984672892592</c:v>
                </c:pt>
                <c:pt idx="389">
                  <c:v>0.00731596965236176</c:v>
                </c:pt>
                <c:pt idx="390">
                  <c:v>0.00732207367066409</c:v>
                </c:pt>
                <c:pt idx="391">
                  <c:v>0.0073281618548478</c:v>
                </c:pt>
                <c:pt idx="392">
                  <c:v>0.00733423727261796</c:v>
                </c:pt>
                <c:pt idx="393">
                  <c:v>0.00734030298657608</c:v>
                </c:pt>
                <c:pt idx="394">
                  <c:v>0.00734636205242846</c:v>
                </c:pt>
                <c:pt idx="395">
                  <c:v>0.00735241751719789</c:v>
                </c:pt>
                <c:pt idx="396">
                  <c:v>0.00735847241743958</c:v>
                </c:pt>
                <c:pt idx="397">
                  <c:v>0.00736452977746266</c:v>
                </c:pt>
                <c:pt idx="398">
                  <c:v>0.00737059260755815</c:v>
                </c:pt>
                <c:pt idx="399">
                  <c:v>0.00737666390223475</c:v>
                </c:pt>
                <c:pt idx="400">
                  <c:v>0.00738274663846354</c:v>
                </c:pt>
                <c:pt idx="401">
                  <c:v>0.00738884377393277</c:v>
                </c:pt>
                <c:pt idx="402">
                  <c:v>0.00739495824531405</c:v>
                </c:pt>
                <c:pt idx="403">
                  <c:v>0.00740109296654102</c:v>
                </c:pt>
                <c:pt idx="404">
                  <c:v>0.00740725082710196</c:v>
                </c:pt>
                <c:pt idx="405">
                  <c:v>0.00741343469034742</c:v>
                </c:pt>
                <c:pt idx="406">
                  <c:v>0.00741964739181419</c:v>
                </c:pt>
                <c:pt idx="407">
                  <c:v>0.00742589173756701</c:v>
                </c:pt>
                <c:pt idx="408">
                  <c:v>0.00743217050255912</c:v>
                </c:pt>
                <c:pt idx="409">
                  <c:v>0.00743848642901308</c:v>
                </c:pt>
                <c:pt idx="410">
                  <c:v>0.0074448422248232</c:v>
                </c:pt>
                <c:pt idx="411">
                  <c:v>0.00745124056198065</c:v>
                </c:pt>
                <c:pt idx="412">
                  <c:v>0.00745768407502289</c:v>
                </c:pt>
                <c:pt idx="413">
                  <c:v>0.00746417535950839</c:v>
                </c:pt>
                <c:pt idx="414">
                  <c:v>0.00747071697051816</c:v>
                </c:pt>
                <c:pt idx="415">
                  <c:v>0.00747731142118527</c:v>
                </c:pt>
                <c:pt idx="416">
                  <c:v>0.00748396118125366</c:v>
                </c:pt>
                <c:pt idx="417">
                  <c:v>0.00749066867566746</c:v>
                </c:pt>
                <c:pt idx="418">
                  <c:v>0.00749743628319217</c:v>
                </c:pt>
                <c:pt idx="419">
                  <c:v>0.00750426633506878</c:v>
                </c:pt>
                <c:pt idx="420">
                  <c:v>0.00751116111370218</c:v>
                </c:pt>
                <c:pt idx="421">
                  <c:v>0.00751812285138496</c:v>
                </c:pt>
                <c:pt idx="422">
                  <c:v>0.00752515372905771</c:v>
                </c:pt>
                <c:pt idx="423">
                  <c:v>0.00753225587510716</c:v>
                </c:pt>
                <c:pt idx="424">
                  <c:v>0.00753943136420297</c:v>
                </c:pt>
                <c:pt idx="425">
                  <c:v>0.00754668221617451</c:v>
                </c:pt>
                <c:pt idx="426">
                  <c:v>0.0075540103949285</c:v>
                </c:pt>
                <c:pt idx="427">
                  <c:v>0.00756141780740852</c:v>
                </c:pt>
                <c:pt idx="428">
                  <c:v>0.00756890630259745</c:v>
                </c:pt>
                <c:pt idx="429">
                  <c:v>0.00757647767056368</c:v>
                </c:pt>
                <c:pt idx="430">
                  <c:v>0.00758413364155193</c:v>
                </c:pt>
                <c:pt idx="431">
                  <c:v>0.00759187588511963</c:v>
                </c:pt>
                <c:pt idx="432">
                  <c:v>0.0075997060093195</c:v>
                </c:pt>
                <c:pt idx="433">
                  <c:v>0.00760762555992923</c:v>
                </c:pt>
                <c:pt idx="434">
                  <c:v>0.00761563601972873</c:v>
                </c:pt>
                <c:pt idx="435">
                  <c:v>0.00762373880782584</c:v>
                </c:pt>
                <c:pt idx="436">
                  <c:v>0.00763193527903081</c:v>
                </c:pt>
                <c:pt idx="437">
                  <c:v>0.00764022672328033</c:v>
                </c:pt>
                <c:pt idx="438">
                  <c:v>0.00764861436511134</c:v>
                </c:pt>
                <c:pt idx="439">
                  <c:v>0.00765709936318522</c:v>
                </c:pt>
                <c:pt idx="440">
                  <c:v>0.00766568280986261</c:v>
                </c:pt>
                <c:pt idx="441">
                  <c:v>0.0076743657308292</c:v>
                </c:pt>
                <c:pt idx="442">
                  <c:v>0.00768314908477263</c:v>
                </c:pt>
                <c:pt idx="443">
                  <c:v>0.00769203376311084</c:v>
                </c:pt>
                <c:pt idx="444">
                  <c:v>0.00770102058977185</c:v>
                </c:pt>
                <c:pt idx="445">
                  <c:v>0.00771011032102501</c:v>
                </c:pt>
                <c:pt idx="446">
                  <c:v>0.00771930364536387</c:v>
                </c:pt>
                <c:pt idx="447">
                  <c:v>0.00772860118344035</c:v>
                </c:pt>
                <c:pt idx="448">
                  <c:v>0.00773800348805034</c:v>
                </c:pt>
                <c:pt idx="449">
                  <c:v>0.00774751104417034</c:v>
                </c:pt>
                <c:pt idx="450">
                  <c:v>0.00775712426904499</c:v>
                </c:pt>
                <c:pt idx="451">
                  <c:v>0.00776684351232514</c:v>
                </c:pt>
                <c:pt idx="452">
                  <c:v>0.00777666905625609</c:v>
                </c:pt>
                <c:pt idx="453">
                  <c:v>0.00778660111591561</c:v>
                </c:pt>
                <c:pt idx="454">
                  <c:v>0.00779663983950116</c:v>
                </c:pt>
                <c:pt idx="455">
                  <c:v>0.00780678530866592</c:v>
                </c:pt>
                <c:pt idx="456">
                  <c:v>0.00781703753890281</c:v>
                </c:pt>
                <c:pt idx="457">
                  <c:v>0.00782739647997615</c:v>
                </c:pt>
                <c:pt idx="458">
                  <c:v>0.0078378620163999</c:v>
                </c:pt>
                <c:pt idx="459">
                  <c:v>0.00784843396796207</c:v>
                </c:pt>
                <c:pt idx="460">
                  <c:v>0.00785911209029425</c:v>
                </c:pt>
                <c:pt idx="461">
                  <c:v>0.00786989607548553</c:v>
                </c:pt>
                <c:pt idx="462">
                  <c:v>0.00788078555273989</c:v>
                </c:pt>
                <c:pt idx="463">
                  <c:v>0.0078917800890761</c:v>
                </c:pt>
                <c:pt idx="464">
                  <c:v>0.00790287919006919</c:v>
                </c:pt>
                <c:pt idx="465">
                  <c:v>0.00791408230063245</c:v>
                </c:pt>
                <c:pt idx="466">
                  <c:v>0.00792538880583891</c:v>
                </c:pt>
                <c:pt idx="467">
                  <c:v>0.00793679803178115</c:v>
                </c:pt>
                <c:pt idx="468">
                  <c:v>0.00794830924646848</c:v>
                </c:pt>
                <c:pt idx="469">
                  <c:v>0.0079599216607601</c:v>
                </c:pt>
                <c:pt idx="470">
                  <c:v>0.00797163442933331</c:v>
                </c:pt>
                <c:pt idx="471">
                  <c:v>0.00798344665168535</c:v>
                </c:pt>
                <c:pt idx="472">
                  <c:v>0.00799535737316779</c:v>
                </c:pt>
                <c:pt idx="473">
                  <c:v>0.00800736558605208</c:v>
                </c:pt>
                <c:pt idx="474">
                  <c:v>0.00801947023062514</c:v>
                </c:pt>
                <c:pt idx="475">
                  <c:v>0.00803167019631363</c:v>
                </c:pt>
                <c:pt idx="476">
                  <c:v>0.00804396432283549</c:v>
                </c:pt>
                <c:pt idx="477">
                  <c:v>0.00805635140137769</c:v>
                </c:pt>
                <c:pt idx="478">
                  <c:v>0.00806883017579859</c:v>
                </c:pt>
                <c:pt idx="479">
                  <c:v>0.00808139934385381</c:v>
                </c:pt>
                <c:pt idx="480">
                  <c:v>0.00809405755844406</c:v>
                </c:pt>
                <c:pt idx="481">
                  <c:v>0.00810680342888383</c:v>
                </c:pt>
                <c:pt idx="482">
                  <c:v>0.0081196355221894</c:v>
                </c:pt>
                <c:pt idx="483">
                  <c:v>0.00813255236438486</c:v>
                </c:pt>
                <c:pt idx="484">
                  <c:v>0.00814555244182496</c:v>
                </c:pt>
                <c:pt idx="485">
                  <c:v>0.00815863420253327</c:v>
                </c:pt>
                <c:pt idx="486">
                  <c:v>0.00817179605755444</c:v>
                </c:pt>
                <c:pt idx="487">
                  <c:v>0.00818503638231916</c:v>
                </c:pt>
                <c:pt idx="488">
                  <c:v>0.00819835351802066</c:v>
                </c:pt>
                <c:pt idx="489">
                  <c:v>0.00821174577300128</c:v>
                </c:pt>
                <c:pt idx="490">
                  <c:v>0.00822521142414792</c:v>
                </c:pt>
                <c:pt idx="491">
                  <c:v>0.00823874871829521</c:v>
                </c:pt>
                <c:pt idx="492">
                  <c:v>0.00825235587363491</c:v>
                </c:pt>
              </c:numCache>
            </c:numRef>
          </c:yVal>
          <c:smooth val="1"/>
        </c:ser>
        <c:axId val="68094804"/>
        <c:axId val="98335308"/>
      </c:scatterChart>
      <c:valAx>
        <c:axId val="68094804"/>
        <c:scaling>
          <c:orientation val="minMax"/>
          <c:max val="200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Burnout Altitude,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335308"/>
        <c:crossesAt val="0"/>
        <c:crossBetween val="midCat"/>
      </c:valAx>
      <c:valAx>
        <c:axId val="9833530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Launcher QE Standard Deviation, rad.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094804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Effect of Static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Sheet1!$AQ$5:$AQ$15</c:f>
              <c:numCache>
                <c:formatCode>General</c:formatCode>
                <c:ptCount val="11"/>
                <c:pt idx="0">
                  <c:v>0.012</c:v>
                </c:pt>
                <c:pt idx="1">
                  <c:v>0.013</c:v>
                </c:pt>
                <c:pt idx="2">
                  <c:v>0.014</c:v>
                </c:pt>
                <c:pt idx="3">
                  <c:v>0.015</c:v>
                </c:pt>
                <c:pt idx="4">
                  <c:v>0.016</c:v>
                </c:pt>
                <c:pt idx="5">
                  <c:v>0.017</c:v>
                </c:pt>
                <c:pt idx="6">
                  <c:v>0.018</c:v>
                </c:pt>
                <c:pt idx="7">
                  <c:v>0.019</c:v>
                </c:pt>
                <c:pt idx="8">
                  <c:v>0.02</c:v>
                </c:pt>
                <c:pt idx="9">
                  <c:v>0.021</c:v>
                </c:pt>
                <c:pt idx="10">
                  <c:v>0.022</c:v>
                </c:pt>
              </c:numCache>
            </c:numRef>
          </c:xVal>
          <c:yVal>
            <c:numRef>
              <c:f>Sheet1!$AR$5:$AR$15</c:f>
              <c:numCache>
                <c:formatCode>General</c:formatCode>
                <c:ptCount val="11"/>
                <c:pt idx="0">
                  <c:v>0.0739</c:v>
                </c:pt>
                <c:pt idx="1">
                  <c:v>0.04836</c:v>
                </c:pt>
                <c:pt idx="2">
                  <c:v>0.03344</c:v>
                </c:pt>
                <c:pt idx="3">
                  <c:v>0.02423</c:v>
                </c:pt>
                <c:pt idx="4">
                  <c:v>0.01832</c:v>
                </c:pt>
                <c:pt idx="5">
                  <c:v>0.01445</c:v>
                </c:pt>
                <c:pt idx="6">
                  <c:v>0.01188</c:v>
                </c:pt>
                <c:pt idx="7">
                  <c:v>0.01017</c:v>
                </c:pt>
                <c:pt idx="8">
                  <c:v>0.00904</c:v>
                </c:pt>
                <c:pt idx="9">
                  <c:v>0.00828</c:v>
                </c:pt>
                <c:pt idx="10">
                  <c:v>0.00779</c:v>
                </c:pt>
              </c:numCache>
            </c:numRef>
          </c:yVal>
          <c:smooth val="1"/>
        </c:ser>
        <c:axId val="78597969"/>
        <c:axId val="67180436"/>
      </c:scatterChart>
      <c:valAx>
        <c:axId val="78597969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Pitch Wave Number, rad/ft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180436"/>
        <c:crossesAt val="0"/>
        <c:crossBetween val="midCat"/>
      </c:valAx>
      <c:valAx>
        <c:axId val="6718043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Launcher QE Standard Deviation, rad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597969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152640</xdr:rowOff>
    </xdr:from>
    <xdr:to>
      <xdr:col>8</xdr:col>
      <xdr:colOff>714600</xdr:colOff>
      <xdr:row>30</xdr:row>
      <xdr:rowOff>105120</xdr:rowOff>
    </xdr:to>
    <xdr:graphicFrame>
      <xdr:nvGraphicFramePr>
        <xdr:cNvPr id="1" name="Chart 4"/>
        <xdr:cNvGraphicFramePr/>
      </xdr:nvGraphicFramePr>
      <xdr:xfrm>
        <a:off x="0" y="1762200"/>
        <a:ext cx="5836680" cy="351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42</xdr:col>
      <xdr:colOff>0</xdr:colOff>
      <xdr:row>39</xdr:row>
      <xdr:rowOff>0</xdr:rowOff>
    </xdr:from>
    <xdr:to>
      <xdr:col>51</xdr:col>
      <xdr:colOff>369360</xdr:colOff>
      <xdr:row>58</xdr:row>
      <xdr:rowOff>142920</xdr:rowOff>
    </xdr:to>
    <xdr:graphicFrame>
      <xdr:nvGraphicFramePr>
        <xdr:cNvPr id="2" name="Chart 5"/>
        <xdr:cNvGraphicFramePr/>
      </xdr:nvGraphicFramePr>
      <xdr:xfrm>
        <a:off x="28426320" y="6629400"/>
        <a:ext cx="6113160" cy="321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42</xdr:col>
      <xdr:colOff>0</xdr:colOff>
      <xdr:row>17</xdr:row>
      <xdr:rowOff>0</xdr:rowOff>
    </xdr:from>
    <xdr:to>
      <xdr:col>51</xdr:col>
      <xdr:colOff>369360</xdr:colOff>
      <xdr:row>36</xdr:row>
      <xdr:rowOff>142920</xdr:rowOff>
    </xdr:to>
    <xdr:graphicFrame>
      <xdr:nvGraphicFramePr>
        <xdr:cNvPr id="3" name="Chart 6"/>
        <xdr:cNvGraphicFramePr/>
      </xdr:nvGraphicFramePr>
      <xdr:xfrm>
        <a:off x="28426320" y="3067200"/>
        <a:ext cx="6113160" cy="321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rsandt.com/staging/media/Flt%20Path%20Angl%20Dispersions.doc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R49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7.85"/>
    <col collapsed="false" customWidth="true" hidden="false" outlineLevel="0" max="2" min="2" style="0" width="9.41"/>
    <col collapsed="false" customWidth="true" hidden="false" outlineLevel="0" max="7" min="7" style="0" width="10.13"/>
    <col collapsed="false" customWidth="true" hidden="false" outlineLevel="0" max="9" min="9" style="0" width="10.41"/>
    <col collapsed="false" customWidth="true" hidden="false" outlineLevel="0" max="10" min="10" style="0" width="12.28"/>
    <col collapsed="false" customWidth="true" hidden="false" outlineLevel="0" max="11" min="11" style="0" width="9.85"/>
    <col collapsed="false" customWidth="true" hidden="false" outlineLevel="0" max="12" min="12" style="0" width="11.13"/>
    <col collapsed="false" customWidth="true" hidden="false" outlineLevel="0" max="13" min="13" style="0" width="10.99"/>
    <col collapsed="false" customWidth="true" hidden="false" outlineLevel="0" max="31" min="31" style="0" width="9.41"/>
    <col collapsed="false" customWidth="true" hidden="false" outlineLevel="0" max="33" min="33" style="0" width="9.28"/>
    <col collapsed="false" customWidth="true" hidden="false" outlineLevel="0" max="36" min="36" style="0" width="9.85"/>
    <col collapsed="false" customWidth="true" hidden="false" outlineLevel="0" max="37" min="37" style="0" width="9.7"/>
    <col collapsed="false" customWidth="true" hidden="false" outlineLevel="0" max="40" min="39" style="0" width="12.56"/>
    <col collapsed="false" customWidth="true" hidden="false" outlineLevel="0" max="41" min="41" style="0" width="13.41"/>
  </cols>
  <sheetData>
    <row r="1" customFormat="false" ht="12.75" hidden="false" customHeight="false" outlineLevel="0" collapsed="false">
      <c r="E1" s="1" t="s">
        <v>0</v>
      </c>
      <c r="F1" s="1"/>
      <c r="G1" s="1"/>
      <c r="H1" s="1"/>
      <c r="I1" s="1"/>
      <c r="J1" s="1"/>
      <c r="K1" s="1"/>
      <c r="L1" s="1"/>
      <c r="M1" s="1"/>
    </row>
    <row r="2" customFormat="false" ht="12.75" hidden="false" customHeight="false" outlineLevel="0" collapsed="false">
      <c r="AG2" s="2"/>
    </row>
    <row r="4" customFormat="false" ht="37.5" hidden="false" customHeight="true" outlineLevel="0" collapsed="false">
      <c r="B4" s="2" t="s">
        <v>1</v>
      </c>
      <c r="C4" s="2" t="s">
        <v>2</v>
      </c>
      <c r="D4" s="2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2" t="s">
        <v>13</v>
      </c>
      <c r="O4" s="2" t="s">
        <v>14</v>
      </c>
      <c r="P4" s="2" t="s">
        <v>15</v>
      </c>
      <c r="Q4" s="4" t="s">
        <v>16</v>
      </c>
      <c r="R4" s="4" t="s">
        <v>17</v>
      </c>
      <c r="S4" s="4" t="s">
        <v>18</v>
      </c>
      <c r="T4" s="3" t="s">
        <v>19</v>
      </c>
      <c r="U4" s="3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5" t="s">
        <v>25</v>
      </c>
      <c r="AA4" s="4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tr">
        <f aca="false">Y4</f>
        <v>Altitude, h, ft</v>
      </c>
      <c r="AO4" s="2" t="s">
        <v>39</v>
      </c>
      <c r="AQ4" s="2" t="s">
        <v>40</v>
      </c>
      <c r="AR4" s="2" t="s">
        <v>41</v>
      </c>
    </row>
    <row r="5" customFormat="false" ht="12.75" hidden="false" customHeight="false" outlineLevel="0" collapsed="false">
      <c r="B5" s="0" t="n">
        <v>32.174</v>
      </c>
      <c r="C5" s="0" t="n">
        <v>0.002378</v>
      </c>
      <c r="D5" s="0" t="n">
        <v>0.19635</v>
      </c>
      <c r="E5" s="0" t="n">
        <v>6.56325</v>
      </c>
      <c r="F5" s="0" t="n">
        <v>550</v>
      </c>
      <c r="G5" s="0" t="n">
        <v>12.235</v>
      </c>
      <c r="H5" s="0" t="n">
        <v>4.2</v>
      </c>
      <c r="I5" s="0" t="n">
        <v>0.002</v>
      </c>
      <c r="J5" s="0" t="n">
        <v>0.015</v>
      </c>
      <c r="K5" s="0" t="n">
        <v>1.95</v>
      </c>
      <c r="L5" s="0" t="n">
        <v>3.3</v>
      </c>
      <c r="M5" s="0" t="n">
        <v>0.0016949</v>
      </c>
      <c r="N5" s="0" t="n">
        <f aca="false">F5/(K5*B5)</f>
        <v>8.766435073391</v>
      </c>
      <c r="O5" s="0" t="n">
        <f aca="false">1/(2*N5)</f>
        <v>0.0570357272727273</v>
      </c>
      <c r="P5" s="0" t="n">
        <v>1000</v>
      </c>
      <c r="Q5" s="0" t="n">
        <f aca="false">2*PI()/P5</f>
        <v>0.00628318530717959</v>
      </c>
      <c r="R5" s="0" t="n">
        <v>0.022</v>
      </c>
      <c r="S5" s="0" t="n">
        <f aca="false">C5*D5*E5*F5*SQRT((I5*H5)^2+J5^2)/(2*G5*(R5^2-Q5^2))</f>
        <v>2.66391522852716</v>
      </c>
      <c r="T5" s="0" t="n">
        <f aca="false">S5/(K5*B5)</f>
        <v>0.042460072530729</v>
      </c>
      <c r="U5" s="0" t="n">
        <f aca="false">S5/(2*K5*N5)</f>
        <v>0.0779170986933027</v>
      </c>
      <c r="V5" s="0" t="n">
        <v>40</v>
      </c>
      <c r="W5" s="0" t="n">
        <f aca="false">C5*D5*E5*V5*L5*R5*SQRT(N5*B5*M5/(2*(R5^2+Q5^2)))/(K5*B5*(2*N5-1))</f>
        <v>0.000183333606644241</v>
      </c>
      <c r="X5" s="0" t="n">
        <v>4</v>
      </c>
      <c r="Y5" s="0" t="n">
        <f aca="false">V5</f>
        <v>40</v>
      </c>
      <c r="Z5" s="0" t="n">
        <f aca="false">(Y5/$V$5)^$O$5</f>
        <v>1</v>
      </c>
      <c r="AA5" s="0" t="n">
        <f aca="false">$Q$5*(Y5-$V$5)</f>
        <v>0</v>
      </c>
      <c r="AB5" s="0" t="n">
        <f aca="false">COS(AA5)</f>
        <v>1</v>
      </c>
      <c r="AC5" s="0" t="n">
        <f aca="false">SIN(AA5)</f>
        <v>0</v>
      </c>
      <c r="AD5" s="0" t="n">
        <f aca="false">$T$5*(Z5-1)</f>
        <v>0</v>
      </c>
      <c r="AE5" s="0" t="n">
        <f aca="false">2*$T$5*$U$5*Z5*$X$5/(Y5+Y6)</f>
        <v>0.000315082443990628</v>
      </c>
      <c r="AF5" s="0" t="n">
        <f aca="false">AB5*AE5</f>
        <v>0.000315082443990628</v>
      </c>
      <c r="AG5" s="0" t="n">
        <f aca="false">0</f>
        <v>0</v>
      </c>
      <c r="AH5" s="0" t="n">
        <f aca="false">AC5*AE5</f>
        <v>0</v>
      </c>
      <c r="AI5" s="0" t="n">
        <v>0</v>
      </c>
      <c r="AJ5" s="6" t="n">
        <f aca="false">Y5/$P$5</f>
        <v>0.04</v>
      </c>
      <c r="AK5" s="0" t="n">
        <f aca="false">SQRT(AG5^2+AI5^2)</f>
        <v>0</v>
      </c>
      <c r="AL5" s="0" t="n">
        <f aca="false">$W$5*(Y5/$V$5-Z5)</f>
        <v>0</v>
      </c>
      <c r="AM5" s="0" t="n">
        <f aca="false">SQRT(AK5^2+AL5^2)</f>
        <v>0</v>
      </c>
      <c r="AN5" s="2" t="n">
        <f aca="false">Y5</f>
        <v>40</v>
      </c>
      <c r="AO5" s="0" t="n">
        <f aca="false">AM5/Z5</f>
        <v>0</v>
      </c>
      <c r="AQ5" s="0" t="n">
        <v>0.012</v>
      </c>
      <c r="AR5" s="0" t="n">
        <v>0.0739</v>
      </c>
    </row>
    <row r="6" customFormat="false" ht="12.75" hidden="false" customHeight="false" outlineLevel="0" collapsed="false">
      <c r="Y6" s="0" t="n">
        <f aca="false">Y5+$X$5</f>
        <v>44</v>
      </c>
      <c r="Z6" s="0" t="n">
        <f aca="false">(Y6/$V$5)^$O$5</f>
        <v>1.00545088774406</v>
      </c>
      <c r="AA6" s="0" t="n">
        <f aca="false">$Q$5*(Y6-$V$5)</f>
        <v>0.0251327412287183</v>
      </c>
      <c r="AB6" s="0" t="n">
        <f aca="false">COS(AA6)</f>
        <v>0.9996841892833</v>
      </c>
      <c r="AC6" s="0" t="n">
        <f aca="false">SIN(AA6)</f>
        <v>0.0251300954433375</v>
      </c>
      <c r="AD6" s="0" t="n">
        <f aca="false">$T$5*(Z6-1)</f>
        <v>0.000231445088969837</v>
      </c>
      <c r="AE6" s="0" t="n">
        <f aca="false">2*$T$5*$U$5*Z6*$X$5/(Y6+Y7)</f>
        <v>0.000289252103629647</v>
      </c>
      <c r="AF6" s="0" t="n">
        <f aca="false">AB6*AE6</f>
        <v>0.000289160754715493</v>
      </c>
      <c r="AG6" s="0" t="n">
        <f aca="false">AG5+AF5</f>
        <v>0.000315082443990628</v>
      </c>
      <c r="AH6" s="0" t="n">
        <f aca="false">AC6*AE6</f>
        <v>7.26893297139917E-006</v>
      </c>
      <c r="AI6" s="0" t="n">
        <f aca="false">AI5+AH5</f>
        <v>0</v>
      </c>
      <c r="AJ6" s="6" t="n">
        <f aca="false">Y6/$P$5</f>
        <v>0.044</v>
      </c>
      <c r="AK6" s="0" t="n">
        <f aca="false">SQRT(AG6^2+AI6^2)</f>
        <v>0.000315082443990628</v>
      </c>
      <c r="AL6" s="0" t="n">
        <f aca="false">$W$5*(Y6/$V$5-Z6)</f>
        <v>1.73340297548919E-005</v>
      </c>
      <c r="AM6" s="0" t="n">
        <f aca="false">SQRT(AK6^2+AL6^2)</f>
        <v>0.000315558893233341</v>
      </c>
      <c r="AN6" s="2" t="n">
        <f aca="false">Y6</f>
        <v>44</v>
      </c>
      <c r="AO6" s="0" t="n">
        <f aca="false">AM6/Z6</f>
        <v>0.0003138481422413</v>
      </c>
      <c r="AQ6" s="0" t="n">
        <v>0.013</v>
      </c>
      <c r="AR6" s="0" t="n">
        <v>0.04836</v>
      </c>
    </row>
    <row r="7" customFormat="false" ht="12.75" hidden="false" customHeight="false" outlineLevel="0" collapsed="false">
      <c r="Y7" s="0" t="n">
        <f aca="false">Y6+$X$5</f>
        <v>48</v>
      </c>
      <c r="Z7" s="0" t="n">
        <f aca="false">(Y7/$V$5)^$O$5</f>
        <v>1.01045309845582</v>
      </c>
      <c r="AA7" s="0" t="n">
        <f aca="false">$Q$5*(Y7-$V$5)</f>
        <v>0.0502654824574367</v>
      </c>
      <c r="AB7" s="0" t="n">
        <f aca="false">COS(AA7)</f>
        <v>0.998736956606018</v>
      </c>
      <c r="AC7" s="0" t="n">
        <f aca="false">SIN(AA7)</f>
        <v>0.0502443181797696</v>
      </c>
      <c r="AD7" s="0" t="n">
        <f aca="false">$T$5*(Z7-1)</f>
        <v>0.000443839318605118</v>
      </c>
      <c r="AE7" s="0" t="n">
        <f aca="false">2*$T$5*$U$5*Z7*$X$5/(Y7+Y8)</f>
        <v>0.000267435866711466</v>
      </c>
      <c r="AF7" s="0" t="n">
        <f aca="false">AB7*AE7</f>
        <v>0.000267098083606702</v>
      </c>
      <c r="AG7" s="0" t="n">
        <f aca="false">AG6+AF6</f>
        <v>0.000604243198706121</v>
      </c>
      <c r="AH7" s="0" t="n">
        <f aca="false">AC7*AE7</f>
        <v>1.34371327797333E-005</v>
      </c>
      <c r="AI7" s="0" t="n">
        <f aca="false">AI6+AH6</f>
        <v>7.26893297139917E-006</v>
      </c>
      <c r="AJ7" s="6" t="n">
        <f aca="false">Y7/$P$5</f>
        <v>0.048</v>
      </c>
      <c r="AK7" s="0" t="n">
        <f aca="false">SQRT(AG7^2+AI7^2)</f>
        <v>0.000604286919078303</v>
      </c>
      <c r="AL7" s="0" t="n">
        <f aca="false">$W$5*(Y7/$V$5-Z7)</f>
        <v>3.47503170883347E-005</v>
      </c>
      <c r="AM7" s="0" t="n">
        <f aca="false">SQRT(AK7^2+AL7^2)</f>
        <v>0.000605285275805456</v>
      </c>
      <c r="AN7" s="2" t="n">
        <f aca="false">Y7</f>
        <v>48</v>
      </c>
      <c r="AO7" s="0" t="n">
        <f aca="false">AM7/Z7</f>
        <v>0.00059902362289794</v>
      </c>
      <c r="AQ7" s="0" t="n">
        <v>0.014</v>
      </c>
      <c r="AR7" s="0" t="n">
        <v>0.03344</v>
      </c>
    </row>
    <row r="8" customFormat="false" ht="12.75" hidden="false" customHeight="false" outlineLevel="0" collapsed="false">
      <c r="Y8" s="0" t="n">
        <f aca="false">Y7+$X$5</f>
        <v>52</v>
      </c>
      <c r="Z8" s="0" t="n">
        <f aca="false">(Y8/$V$5)^$O$5</f>
        <v>1.01507665989743</v>
      </c>
      <c r="AA8" s="0" t="n">
        <f aca="false">$Q$5*(Y8-$V$5)</f>
        <v>0.075398223686155</v>
      </c>
      <c r="AB8" s="0" t="n">
        <f aca="false">COS(AA8)</f>
        <v>0.997158900260614</v>
      </c>
      <c r="AC8" s="0" t="n">
        <f aca="false">SIN(AA8)</f>
        <v>0.0753268055279327</v>
      </c>
      <c r="AD8" s="0" t="n">
        <f aca="false">$T$5*(Z8-1)</f>
        <v>0.000640156072766213</v>
      </c>
      <c r="AE8" s="0" t="n">
        <f aca="false">2*$T$5*$U$5*Z8*$X$5/(Y8+Y9)</f>
        <v>0.000248758871540921</v>
      </c>
      <c r="AF8" s="0" t="n">
        <f aca="false">AB8*AE8</f>
        <v>0.000248052122775817</v>
      </c>
      <c r="AG8" s="0" t="n">
        <f aca="false">AG7+AF7</f>
        <v>0.000871341282312823</v>
      </c>
      <c r="AH8" s="0" t="n">
        <f aca="false">AC8*AE8</f>
        <v>1.8738211139911E-005</v>
      </c>
      <c r="AI8" s="0" t="n">
        <f aca="false">AI7+AH7</f>
        <v>2.07060657511325E-005</v>
      </c>
      <c r="AJ8" s="6" t="n">
        <f aca="false">Y8/$P$5</f>
        <v>0.052</v>
      </c>
      <c r="AK8" s="0" t="n">
        <f aca="false">SQRT(AG8^2+AI8^2)</f>
        <v>0.000871587271259422</v>
      </c>
      <c r="AL8" s="0" t="n">
        <f aca="false">$W$5*(Y8/$V$5-Z8)</f>
        <v>5.22360235581269E-005</v>
      </c>
      <c r="AM8" s="0" t="n">
        <f aca="false">SQRT(AK8^2+AL8^2)</f>
        <v>0.000873151174527418</v>
      </c>
      <c r="AN8" s="2" t="n">
        <f aca="false">Y8</f>
        <v>52</v>
      </c>
      <c r="AO8" s="0" t="n">
        <f aca="false">AM8/Z8</f>
        <v>0.000860182495591656</v>
      </c>
      <c r="AQ8" s="0" t="n">
        <v>0.015</v>
      </c>
      <c r="AR8" s="0" t="n">
        <v>0.02423</v>
      </c>
    </row>
    <row r="9" customFormat="false" ht="12.75" hidden="false" customHeight="false" outlineLevel="0" collapsed="false">
      <c r="Y9" s="0" t="n">
        <f aca="false">Y8+$X$5</f>
        <v>56</v>
      </c>
      <c r="Z9" s="0" t="n">
        <f aca="false">(Y9/$V$5)^$O$5</f>
        <v>1.01937626843931</v>
      </c>
      <c r="AA9" s="0" t="n">
        <f aca="false">$Q$5*(Y9-$V$5)</f>
        <v>0.100530964914873</v>
      </c>
      <c r="AB9" s="0" t="n">
        <f aca="false">COS(AA9)</f>
        <v>0.9949510169813</v>
      </c>
      <c r="AC9" s="0" t="n">
        <f aca="false">SIN(AA9)</f>
        <v>0.100361714851215</v>
      </c>
      <c r="AD9" s="0" t="n">
        <f aca="false">$T$5*(Z9-1)</f>
        <v>0.000822717763307833</v>
      </c>
      <c r="AE9" s="0" t="n">
        <f aca="false">2*$T$5*$U$5*Z9*$X$5/(Y9+Y10)</f>
        <v>0.000232584099521516</v>
      </c>
      <c r="AF9" s="0" t="n">
        <f aca="false">AB9*AE9</f>
        <v>0.000231409786352613</v>
      </c>
      <c r="AG9" s="0" t="n">
        <f aca="false">AG8+AF8</f>
        <v>0.00111939340508864</v>
      </c>
      <c r="AH9" s="0" t="n">
        <f aca="false">AC9*AE9</f>
        <v>2.3342539075105E-005</v>
      </c>
      <c r="AI9" s="0" t="n">
        <f aca="false">AI8+AH8</f>
        <v>3.94442768910435E-005</v>
      </c>
      <c r="AJ9" s="6" t="n">
        <f aca="false">Y9/$P$5</f>
        <v>0.056</v>
      </c>
      <c r="AK9" s="0" t="n">
        <f aca="false">SQRT(AG9^2+AI9^2)</f>
        <v>0.00112008814221712</v>
      </c>
      <c r="AL9" s="0" t="n">
        <f aca="false">$W$5*(Y9/$V$5-Z9)</f>
        <v>6.97811214814112E-005</v>
      </c>
      <c r="AM9" s="0" t="n">
        <f aca="false">SQRT(AK9^2+AL9^2)</f>
        <v>0.0011222597075769</v>
      </c>
      <c r="AN9" s="2" t="n">
        <f aca="false">Y9</f>
        <v>56</v>
      </c>
      <c r="AO9" s="0" t="n">
        <f aca="false">AM9/Z9</f>
        <v>0.00110092783432669</v>
      </c>
      <c r="AQ9" s="0" t="n">
        <v>0.016</v>
      </c>
      <c r="AR9" s="0" t="n">
        <v>0.01832</v>
      </c>
    </row>
    <row r="10" customFormat="false" ht="12.75" hidden="false" customHeight="false" outlineLevel="0" collapsed="false">
      <c r="Y10" s="0" t="n">
        <f aca="false">Y9+$X$5</f>
        <v>60</v>
      </c>
      <c r="Z10" s="0" t="n">
        <f aca="false">(Y10/$V$5)^$O$5</f>
        <v>1.0233954765163</v>
      </c>
      <c r="AA10" s="0" t="n">
        <f aca="false">$Q$5*(Y10-$V$5)</f>
        <v>0.125663706143592</v>
      </c>
      <c r="AB10" s="0" t="n">
        <f aca="false">COS(AA10)</f>
        <v>0.992114701314478</v>
      </c>
      <c r="AC10" s="0" t="n">
        <f aca="false">SIN(AA10)</f>
        <v>0.125333233564304</v>
      </c>
      <c r="AD10" s="0" t="n">
        <f aca="false">$T$5*(Z10-1)</f>
        <v>0.000993373629773263</v>
      </c>
      <c r="AE10" s="0" t="n">
        <f aca="false">2*$T$5*$U$5*Z10*$X$5/(Y10+Y11)</f>
        <v>0.000218436545358191</v>
      </c>
      <c r="AF10" s="0" t="n">
        <f aca="false">AB10*AE10</f>
        <v>0.000216714107954208</v>
      </c>
      <c r="AG10" s="0" t="n">
        <f aca="false">AG9+AF9</f>
        <v>0.00135080319144125</v>
      </c>
      <c r="AH10" s="0" t="n">
        <f aca="false">AC10*AE10</f>
        <v>2.73773585583579E-005</v>
      </c>
      <c r="AI10" s="0" t="n">
        <f aca="false">AI9+AH9</f>
        <v>6.27868159661485E-005</v>
      </c>
      <c r="AJ10" s="6" t="n">
        <f aca="false">Y10/$P$5</f>
        <v>0.06</v>
      </c>
      <c r="AK10" s="0" t="n">
        <f aca="false">SQRT(AG10^2+AI10^2)</f>
        <v>0.00135226160422717</v>
      </c>
      <c r="AL10" s="0" t="n">
        <f aca="false">$W$5*(Y10/$V$5-Z10)</f>
        <v>8.73776262332256E-005</v>
      </c>
      <c r="AM10" s="0" t="n">
        <f aca="false">SQRT(AK10^2+AL10^2)</f>
        <v>0.0013550816565186</v>
      </c>
      <c r="AN10" s="2" t="n">
        <f aca="false">Y10</f>
        <v>60</v>
      </c>
      <c r="AO10" s="0" t="n">
        <f aca="false">AM10/Z10</f>
        <v>0.00132410362134038</v>
      </c>
      <c r="AQ10" s="0" t="n">
        <v>0.017</v>
      </c>
      <c r="AR10" s="0" t="n">
        <v>0.01445</v>
      </c>
    </row>
    <row r="11" customFormat="false" ht="12.75" hidden="false" customHeight="false" outlineLevel="0" collapsed="false">
      <c r="Y11" s="0" t="n">
        <f aca="false">Y10+$X$5</f>
        <v>64</v>
      </c>
      <c r="Z11" s="0" t="n">
        <f aca="false">(Y11/$V$5)^$O$5</f>
        <v>1.02716953869319</v>
      </c>
      <c r="AA11" s="0" t="n">
        <f aca="false">$Q$5*(Y11-$V$5)</f>
        <v>0.15079644737231</v>
      </c>
      <c r="AB11" s="0" t="n">
        <f aca="false">COS(AA11)</f>
        <v>0.988651744737914</v>
      </c>
      <c r="AC11" s="0" t="n">
        <f aca="false">SIN(AA11)</f>
        <v>0.150225589120757</v>
      </c>
      <c r="AD11" s="0" t="n">
        <f aca="false">$T$5*(Z11-1)</f>
        <v>0.00115362058353924</v>
      </c>
      <c r="AE11" s="0" t="n">
        <f aca="false">2*$T$5*$U$5*Z11*$X$5/(Y11+Y12)</f>
        <v>0.000205954692773567</v>
      </c>
      <c r="AF11" s="0" t="n">
        <f aca="false">AB11*AE11</f>
        <v>0.000203617466347548</v>
      </c>
      <c r="AG11" s="0" t="n">
        <f aca="false">AG10+AF10</f>
        <v>0.00156751729939546</v>
      </c>
      <c r="AH11" s="0" t="n">
        <f aca="false">AC11*AE11</f>
        <v>3.09396650540936E-005</v>
      </c>
      <c r="AI11" s="0" t="n">
        <f aca="false">AI10+AH10</f>
        <v>9.01641745245064E-005</v>
      </c>
      <c r="AJ11" s="6" t="n">
        <f aca="false">Y11/$P$5</f>
        <v>0.064</v>
      </c>
      <c r="AK11" s="0" t="n">
        <f aca="false">SQRT(AG11^2+AI11^2)</f>
        <v>0.00157010829635147</v>
      </c>
      <c r="AL11" s="0" t="n">
        <f aca="false">$W$5*(Y11/$V$5-Z11)</f>
        <v>0.000105019074467062</v>
      </c>
      <c r="AM11" s="0" t="n">
        <f aca="false">SQRT(AK11^2+AL11^2)</f>
        <v>0.00157361655693935</v>
      </c>
      <c r="AN11" s="2" t="n">
        <f aca="false">Y11</f>
        <v>64</v>
      </c>
      <c r="AO11" s="0" t="n">
        <f aca="false">AM11/Z11</f>
        <v>0.00153199301348186</v>
      </c>
      <c r="AQ11" s="0" t="n">
        <v>0.018</v>
      </c>
      <c r="AR11" s="0" t="n">
        <v>0.01188</v>
      </c>
    </row>
    <row r="12" customFormat="false" ht="12.75" hidden="false" customHeight="false" outlineLevel="0" collapsed="false">
      <c r="Y12" s="0" t="n">
        <f aca="false">Y11+$X$5</f>
        <v>68</v>
      </c>
      <c r="Z12" s="0" t="n">
        <f aca="false">(Y12/$V$5)^$O$5</f>
        <v>1.03072740167852</v>
      </c>
      <c r="AA12" s="0" t="n">
        <f aca="false">$Q$5*(Y12-$V$5)</f>
        <v>0.175929188601028</v>
      </c>
      <c r="AB12" s="0" t="n">
        <f aca="false">COS(AA12)</f>
        <v>0.984564334529205</v>
      </c>
      <c r="AC12" s="0" t="n">
        <f aca="false">SIN(AA12)</f>
        <v>0.175023058975276</v>
      </c>
      <c r="AD12" s="0" t="n">
        <f aca="false">$T$5*(Z12-1)</f>
        <v>0.00130468770395097</v>
      </c>
      <c r="AE12" s="0" t="n">
        <f aca="false">2*$T$5*$U$5*Z12*$X$5/(Y12+Y13)</f>
        <v>0.000194858465285388</v>
      </c>
      <c r="AF12" s="0" t="n">
        <f aca="false">AB12*AE12</f>
        <v>0.00019185069520109</v>
      </c>
      <c r="AG12" s="0" t="n">
        <f aca="false">AG11+AF11</f>
        <v>0.00177113476574301</v>
      </c>
      <c r="AH12" s="0" t="n">
        <f aca="false">AC12*AE12</f>
        <v>3.41047246614762E-005</v>
      </c>
      <c r="AI12" s="0" t="n">
        <f aca="false">AI11+AH11</f>
        <v>0.0001211038395786</v>
      </c>
      <c r="AJ12" s="6" t="n">
        <f aca="false">Y12/$P$5</f>
        <v>0.068</v>
      </c>
      <c r="AK12" s="0" t="n">
        <f aca="false">SQRT(AG12^2+AI12^2)</f>
        <v>0.00177527026066011</v>
      </c>
      <c r="AL12" s="0" t="n">
        <f aca="false">$W$5*(Y12/$V$5-Z12)</f>
        <v>0.000122700159278438</v>
      </c>
      <c r="AM12" s="0" t="n">
        <f aca="false">SQRT(AK12^2+AL12^2)</f>
        <v>0.00177950550082633</v>
      </c>
      <c r="AN12" s="2" t="n">
        <f aca="false">Y12</f>
        <v>68</v>
      </c>
      <c r="AO12" s="0" t="n">
        <f aca="false">AM12/Z12</f>
        <v>0.00172645599401785</v>
      </c>
      <c r="AQ12" s="0" t="n">
        <v>0.019</v>
      </c>
      <c r="AR12" s="0" t="n">
        <v>0.01017</v>
      </c>
    </row>
    <row r="13" customFormat="false" ht="12.75" hidden="false" customHeight="false" outlineLevel="0" collapsed="false">
      <c r="Y13" s="0" t="n">
        <f aca="false">Y12+$X$5</f>
        <v>72</v>
      </c>
      <c r="Z13" s="0" t="n">
        <f aca="false">(Y13/$V$5)^$O$5</f>
        <v>1.03409313019157</v>
      </c>
      <c r="AA13" s="0" t="n">
        <f aca="false">$Q$5*(Y13-$V$5)</f>
        <v>0.201061929829747</v>
      </c>
      <c r="AB13" s="0" t="n">
        <f aca="false">COS(AA13)</f>
        <v>0.979855052384247</v>
      </c>
      <c r="AC13" s="0" t="n">
        <f aca="false">SIN(AA13)</f>
        <v>0.199709980514407</v>
      </c>
      <c r="AD13" s="0" t="n">
        <f aca="false">$T$5*(Z13-1)</f>
        <v>0.00144759678073383</v>
      </c>
      <c r="AE13" s="0" t="n">
        <f aca="false">2*$T$5*$U$5*Z13*$X$5/(Y13+Y14)</f>
        <v>0.000184927470439683</v>
      </c>
      <c r="AF13" s="0" t="n">
        <f aca="false">AB13*AE13</f>
        <v>0.000181202116234962</v>
      </c>
      <c r="AG13" s="0" t="n">
        <f aca="false">AG12+AF12</f>
        <v>0.0019629854609441</v>
      </c>
      <c r="AH13" s="0" t="n">
        <f aca="false">AC13*AE13</f>
        <v>3.69318615180878E-005</v>
      </c>
      <c r="AI13" s="0" t="n">
        <f aca="false">AI12+AH12</f>
        <v>0.000155208564240076</v>
      </c>
      <c r="AJ13" s="6" t="n">
        <f aca="false">Y13/$P$5</f>
        <v>0.072</v>
      </c>
      <c r="AK13" s="0" t="n">
        <f aca="false">SQRT(AG13^2+AI13^2)</f>
        <v>0.00196911188567115</v>
      </c>
      <c r="AL13" s="0" t="n">
        <f aca="false">$W$5*(Y13/$V$5-Z13)</f>
        <v>0.00014041646879558</v>
      </c>
      <c r="AM13" s="0" t="n">
        <f aca="false">SQRT(AK13^2+AL13^2)</f>
        <v>0.00197411205431718</v>
      </c>
      <c r="AN13" s="2" t="n">
        <f aca="false">Y13</f>
        <v>72</v>
      </c>
      <c r="AO13" s="0" t="n">
        <f aca="false">AM13/Z13</f>
        <v>0.0019090273367849</v>
      </c>
      <c r="AQ13" s="0" t="n">
        <v>0.02</v>
      </c>
      <c r="AR13" s="0" t="n">
        <v>0.00904</v>
      </c>
    </row>
    <row r="14" customFormat="false" ht="12.75" hidden="false" customHeight="false" outlineLevel="0" collapsed="false">
      <c r="Y14" s="0" t="n">
        <f aca="false">Y13+$X$5</f>
        <v>76</v>
      </c>
      <c r="Z14" s="0" t="n">
        <f aca="false">(Y14/$V$5)^$O$5</f>
        <v>1.0372869505836</v>
      </c>
      <c r="AA14" s="0" t="n">
        <f aca="false">$Q$5*(Y14-$V$5)</f>
        <v>0.226194671058465</v>
      </c>
      <c r="AB14" s="0" t="n">
        <f aca="false">COS(AA14)</f>
        <v>0.974526872786577</v>
      </c>
      <c r="AC14" s="0" t="n">
        <f aca="false">SIN(AA14)</f>
        <v>0.224270760949381</v>
      </c>
      <c r="AD14" s="0" t="n">
        <f aca="false">$T$5*(Z14-1)</f>
        <v>0.00158320662622917</v>
      </c>
      <c r="AE14" s="0" t="n">
        <f aca="false">2*$T$5*$U$5*Z14*$X$5/(Y14+Y15)</f>
        <v>0.000175985873274328</v>
      </c>
      <c r="AF14" s="0" t="n">
        <f aca="false">AB14*AE14</f>
        <v>0.000171502962736645</v>
      </c>
      <c r="AG14" s="0" t="n">
        <f aca="false">AG13+AF13</f>
        <v>0.00214418757717906</v>
      </c>
      <c r="AH14" s="0" t="n">
        <f aca="false">AC14*AE14</f>
        <v>3.94684857155748E-005</v>
      </c>
      <c r="AI14" s="0" t="n">
        <f aca="false">AI13+AH13</f>
        <v>0.000192140425758164</v>
      </c>
      <c r="AJ14" s="6" t="n">
        <f aca="false">Y14/$P$5</f>
        <v>0.076</v>
      </c>
      <c r="AK14" s="0" t="n">
        <f aca="false">SQRT(AG14^2+AI14^2)</f>
        <v>0.00215277920589631</v>
      </c>
      <c r="AL14" s="0" t="n">
        <f aca="false">$W$5*(Y14/$V$5-Z14)</f>
        <v>0.000158164294848561</v>
      </c>
      <c r="AM14" s="0" t="n">
        <f aca="false">SQRT(AK14^2+AL14^2)</f>
        <v>0.00215858153737691</v>
      </c>
      <c r="AN14" s="2" t="n">
        <f aca="false">Y14</f>
        <v>76</v>
      </c>
      <c r="AO14" s="0" t="n">
        <f aca="false">AM14/Z14</f>
        <v>0.00208098784638374</v>
      </c>
      <c r="AQ14" s="0" t="n">
        <v>0.021</v>
      </c>
      <c r="AR14" s="0" t="n">
        <v>0.00828</v>
      </c>
    </row>
    <row r="15" customFormat="false" ht="12.75" hidden="false" customHeight="false" outlineLevel="0" collapsed="false">
      <c r="Y15" s="0" t="n">
        <f aca="false">Y14+$X$5</f>
        <v>80</v>
      </c>
      <c r="Z15" s="0" t="n">
        <f aca="false">(Y15/$V$5)^$O$5</f>
        <v>1.04032602910555</v>
      </c>
      <c r="AA15" s="0" t="n">
        <f aca="false">$Q$5*(Y15-$V$5)</f>
        <v>0.251327412287183</v>
      </c>
      <c r="AB15" s="0" t="n">
        <f aca="false">COS(AA15)</f>
        <v>0.968583161128631</v>
      </c>
      <c r="AC15" s="0" t="n">
        <f aca="false">SIN(AA15)</f>
        <v>0.248689887164855</v>
      </c>
      <c r="AD15" s="0" t="n">
        <f aca="false">$T$5*(Z15-1)</f>
        <v>0.00171224612069804</v>
      </c>
      <c r="AE15" s="0" t="n">
        <f aca="false">2*$T$5*$U$5*Z15*$X$5/(Y15+Y16)</f>
        <v>0.000167891654237817</v>
      </c>
      <c r="AF15" s="0" t="n">
        <f aca="false">AB15*AE15</f>
        <v>0.00016261702918878</v>
      </c>
      <c r="AG15" s="0" t="n">
        <f aca="false">AG14+AF14</f>
        <v>0.00231569053991571</v>
      </c>
      <c r="AH15" s="0" t="n">
        <f aca="false">AC15*AE15</f>
        <v>4.17529565483236E-005</v>
      </c>
      <c r="AI15" s="0" t="n">
        <f aca="false">AI14+AH14</f>
        <v>0.000231608911473739</v>
      </c>
      <c r="AJ15" s="6" t="n">
        <f aca="false">Y15/$P$5</f>
        <v>0.08</v>
      </c>
      <c r="AK15" s="0" t="n">
        <f aca="false">SQRT(AG15^2+AI15^2)</f>
        <v>0.00232724415662155</v>
      </c>
      <c r="AL15" s="0" t="n">
        <f aca="false">$W$5*(Y15/$V$5-Z15)</f>
        <v>0.000175940490286679</v>
      </c>
      <c r="AM15" s="0" t="n">
        <f aca="false">SQRT(AK15^2+AL15^2)</f>
        <v>0.00233388526295777</v>
      </c>
      <c r="AN15" s="2" t="n">
        <f aca="false">Y15</f>
        <v>80</v>
      </c>
      <c r="AO15" s="0" t="n">
        <f aca="false">AM15/Z15</f>
        <v>0.00224341715737363</v>
      </c>
      <c r="AQ15" s="0" t="n">
        <v>0.022</v>
      </c>
      <c r="AR15" s="0" t="n">
        <v>0.00779</v>
      </c>
    </row>
    <row r="16" customFormat="false" ht="12.75" hidden="false" customHeight="false" outlineLevel="0" collapsed="false">
      <c r="Y16" s="0" t="n">
        <f aca="false">Y15+$X$5</f>
        <v>84</v>
      </c>
      <c r="Z16" s="0" t="n">
        <f aca="false">(Y16/$V$5)^$O$5</f>
        <v>1.04322506198886</v>
      </c>
      <c r="AA16" s="0" t="n">
        <f aca="false">$Q$5*(Y16-$V$5)</f>
        <v>0.276460153515902</v>
      </c>
      <c r="AB16" s="0" t="n">
        <f aca="false">COS(AA16)</f>
        <v>0.962027671586086</v>
      </c>
      <c r="AC16" s="0" t="n">
        <f aca="false">SIN(AA16)</f>
        <v>0.272951935517325</v>
      </c>
      <c r="AD16" s="0" t="n">
        <f aca="false">$T$5*(Z16-1)</f>
        <v>0.00183533926719211</v>
      </c>
      <c r="AE16" s="0" t="n">
        <f aca="false">2*$T$5*$U$5*Z16*$X$5/(Y16+Y17)</f>
        <v>0.000160528835940423</v>
      </c>
      <c r="AF16" s="0" t="n">
        <f aca="false">AB16*AE16</f>
        <v>0.00015443318226219</v>
      </c>
      <c r="AG16" s="0" t="n">
        <f aca="false">AG15+AF15</f>
        <v>0.00247830756910449</v>
      </c>
      <c r="AH16" s="0" t="n">
        <f aca="false">AC16*AE16</f>
        <v>4.38166564762817E-005</v>
      </c>
      <c r="AI16" s="0" t="n">
        <f aca="false">AI15+AH15</f>
        <v>0.000273361868022062</v>
      </c>
      <c r="AJ16" s="6" t="n">
        <f aca="false">Y16/$P$5</f>
        <v>0.084</v>
      </c>
      <c r="AK16" s="0" t="n">
        <f aca="false">SQRT(AG16^2+AI16^2)</f>
        <v>0.00249333814753817</v>
      </c>
      <c r="AL16" s="0" t="n">
        <f aca="false">$W$5*(Y16/$V$5-Z16)</f>
        <v>0.000193742360796827</v>
      </c>
      <c r="AM16" s="0" t="n">
        <f aca="false">SQRT(AK16^2+AL16^2)</f>
        <v>0.00250085409817051</v>
      </c>
      <c r="AN16" s="2" t="n">
        <f aca="false">Y16</f>
        <v>84</v>
      </c>
      <c r="AO16" s="0" t="n">
        <f aca="false">AM16/Z16</f>
        <v>0.00239723353022478</v>
      </c>
    </row>
    <row r="17" customFormat="false" ht="12.75" hidden="false" customHeight="false" outlineLevel="0" collapsed="false">
      <c r="Y17" s="0" t="n">
        <f aca="false">Y16+$X$5</f>
        <v>88</v>
      </c>
      <c r="Z17" s="0" t="n">
        <f aca="false">(Y17/$V$5)^$O$5</f>
        <v>1.04599672950744</v>
      </c>
      <c r="AA17" s="0" t="n">
        <f aca="false">$Q$5*(Y17-$V$5)</f>
        <v>0.30159289474462</v>
      </c>
      <c r="AB17" s="0" t="n">
        <f aca="false">COS(AA17)</f>
        <v>0.954864544746643</v>
      </c>
      <c r="AC17" s="0" t="n">
        <f aca="false">SIN(AA17)</f>
        <v>0.297041581577035</v>
      </c>
      <c r="AD17" s="0" t="n">
        <f aca="false">$T$5*(Z17-1)</f>
        <v>0.00195302447106201</v>
      </c>
      <c r="AE17" s="0" t="n">
        <f aca="false">2*$T$5*$U$5*Z17*$X$5/(Y17+Y18)</f>
        <v>0.000153801762771723</v>
      </c>
      <c r="AF17" s="0" t="n">
        <f aca="false">AB17*AE17</f>
        <v>0.000146859850190253</v>
      </c>
      <c r="AG17" s="0" t="n">
        <f aca="false">AG16+AF16</f>
        <v>0.00263274075136668</v>
      </c>
      <c r="AH17" s="0" t="n">
        <f aca="false">AC17*AE17</f>
        <v>4.56855188630486E-005</v>
      </c>
      <c r="AI17" s="0" t="n">
        <f aca="false">AI16+AH16</f>
        <v>0.000317178524498344</v>
      </c>
      <c r="AJ17" s="6" t="n">
        <f aca="false">Y17/$P$5</f>
        <v>0.088</v>
      </c>
      <c r="AK17" s="0" t="n">
        <f aca="false">SQRT(AG17^2+AI17^2)</f>
        <v>0.00265177790931098</v>
      </c>
      <c r="AL17" s="0" t="n">
        <f aca="false">$W$5*(Y17/$V$5-Z17)</f>
        <v>0.000211567581658651</v>
      </c>
      <c r="AM17" s="0" t="n">
        <f aca="false">SQRT(AK17^2+AL17^2)</f>
        <v>0.00266020430078568</v>
      </c>
      <c r="AN17" s="2" t="n">
        <f aca="false">Y17</f>
        <v>88</v>
      </c>
      <c r="AO17" s="0" t="n">
        <f aca="false">AM17/Z17</f>
        <v>0.00254322430055625</v>
      </c>
    </row>
    <row r="18" customFormat="false" ht="12.75" hidden="false" customHeight="false" outlineLevel="0" collapsed="false">
      <c r="Y18" s="0" t="n">
        <f aca="false">Y17+$X$5</f>
        <v>92</v>
      </c>
      <c r="Z18" s="0" t="n">
        <f aca="false">(Y18/$V$5)^$O$5</f>
        <v>1.0486520500443</v>
      </c>
      <c r="AA18" s="0" t="n">
        <f aca="false">$Q$5*(Y18-$V$5)</f>
        <v>0.326725635973339</v>
      </c>
      <c r="AB18" s="0" t="n">
        <f aca="false">COS(AA18)</f>
        <v>0.947098304994744</v>
      </c>
      <c r="AC18" s="0" t="n">
        <f aca="false">SIN(AA18)</f>
        <v>0.32094360980721</v>
      </c>
      <c r="AD18" s="0" t="n">
        <f aca="false">$T$5*(Z18-1)</f>
        <v>0.00206576957364983</v>
      </c>
      <c r="AE18" s="0" t="n">
        <f aca="false">2*$T$5*$U$5*Z18*$X$5/(Y18+Y19)</f>
        <v>0.0001476308269638</v>
      </c>
      <c r="AF18" s="0" t="n">
        <f aca="false">AB18*AE18</f>
        <v>0.000139820905982387</v>
      </c>
      <c r="AG18" s="0" t="n">
        <f aca="false">AG17+AF17</f>
        <v>0.00277960060155693</v>
      </c>
      <c r="AH18" s="0" t="n">
        <f aca="false">AC18*AE18</f>
        <v>4.73811705245854E-005</v>
      </c>
      <c r="AI18" s="0" t="n">
        <f aca="false">AI17+AH17</f>
        <v>0.000362864043361393</v>
      </c>
      <c r="AJ18" s="6" t="n">
        <f aca="false">Y18/$P$5</f>
        <v>0.092</v>
      </c>
      <c r="AK18" s="0" t="n">
        <f aca="false">SQRT(AG18^2+AI18^2)</f>
        <v>0.0028031856553108</v>
      </c>
      <c r="AL18" s="0" t="n">
        <f aca="false">$W$5*(Y18/$V$5-Z18)</f>
        <v>0.000229414132832255</v>
      </c>
      <c r="AM18" s="0" t="n">
        <f aca="false">SQRT(AK18^2+AL18^2)</f>
        <v>0.00281255767273907</v>
      </c>
      <c r="AN18" s="2" t="n">
        <f aca="false">Y18</f>
        <v>92</v>
      </c>
      <c r="AO18" s="0" t="n">
        <f aca="false">AM18/Z18</f>
        <v>0.00268206949351812</v>
      </c>
    </row>
    <row r="19" customFormat="false" ht="12.75" hidden="false" customHeight="false" outlineLevel="0" collapsed="false">
      <c r="Y19" s="0" t="n">
        <f aca="false">Y18+$X$5</f>
        <v>96</v>
      </c>
      <c r="Z19" s="0" t="n">
        <f aca="false">(Y19/$V$5)^$O$5</f>
        <v>1.05120065951395</v>
      </c>
      <c r="AA19" s="0" t="n">
        <f aca="false">$Q$5*(Y19-$V$5)</f>
        <v>0.351858377202057</v>
      </c>
      <c r="AB19" s="0" t="n">
        <f aca="false">COS(AA19)</f>
        <v>0.938733857653874</v>
      </c>
      <c r="AC19" s="0" t="n">
        <f aca="false">SIN(AA19)</f>
        <v>0.344642923174517</v>
      </c>
      <c r="AD19" s="0" t="n">
        <f aca="false">$T$5*(Z19-1)</f>
        <v>0.00217398371658342</v>
      </c>
      <c r="AE19" s="0" t="n">
        <f aca="false">2*$T$5*$U$5*Z19*$X$5/(Y19+Y20)</f>
        <v>0.000141949231253235</v>
      </c>
      <c r="AF19" s="0" t="n">
        <f aca="false">AB19*AE19</f>
        <v>0.000133252549445351</v>
      </c>
      <c r="AG19" s="0" t="n">
        <f aca="false">AG18+AF18</f>
        <v>0.00291942150753932</v>
      </c>
      <c r="AH19" s="0" t="n">
        <f aca="false">AC19*AE19</f>
        <v>4.89217980014905E-005</v>
      </c>
      <c r="AI19" s="0" t="n">
        <f aca="false">AI18+AH18</f>
        <v>0.000410245213885978</v>
      </c>
      <c r="AJ19" s="6" t="n">
        <f aca="false">Y19/$P$5</f>
        <v>0.096</v>
      </c>
      <c r="AK19" s="0" t="n">
        <f aca="false">SQRT(AG19^2+AI19^2)</f>
        <v>0.00294810499714638</v>
      </c>
      <c r="AL19" s="0" t="n">
        <f aca="false">$W$5*(Y19/$V$5-Z19)</f>
        <v>0.000247280247730681</v>
      </c>
      <c r="AM19" s="0" t="n">
        <f aca="false">SQRT(AK19^2+AL19^2)</f>
        <v>0.00295845746887077</v>
      </c>
      <c r="AN19" s="2" t="n">
        <f aca="false">Y19</f>
        <v>96</v>
      </c>
      <c r="AO19" s="0" t="n">
        <f aca="false">AM19/Z19</f>
        <v>0.00281436036221542</v>
      </c>
    </row>
    <row r="20" customFormat="false" ht="12.75" hidden="false" customHeight="false" outlineLevel="0" collapsed="false">
      <c r="Y20" s="0" t="n">
        <f aca="false">Y19+$X$5</f>
        <v>100</v>
      </c>
      <c r="Z20" s="0" t="n">
        <f aca="false">(Y20/$V$5)^$O$5</f>
        <v>1.05365103428929</v>
      </c>
      <c r="AA20" s="0" t="n">
        <f aca="false">$Q$5*(Y20-$V$5)</f>
        <v>0.376991118430775</v>
      </c>
      <c r="AB20" s="0" t="n">
        <f aca="false">COS(AA20)</f>
        <v>0.929776485888251</v>
      </c>
      <c r="AC20" s="0" t="n">
        <f aca="false">SIN(AA20)</f>
        <v>0.368124552684678</v>
      </c>
      <c r="AD20" s="0" t="n">
        <f aca="false">$T$5*(Z20-1)</f>
        <v>0.00227802680727169</v>
      </c>
      <c r="AE20" s="0" t="n">
        <f aca="false">2*$T$5*$U$5*Z20*$X$5/(Y20+Y21)</f>
        <v>0.000136700505939991</v>
      </c>
      <c r="AF20" s="0" t="n">
        <f aca="false">AB20*AE20</f>
        <v>0.000127100916032031</v>
      </c>
      <c r="AG20" s="0" t="n">
        <f aca="false">AG19+AF19</f>
        <v>0.00305267405698467</v>
      </c>
      <c r="AH20" s="0" t="n">
        <f aca="false">AC20*AE20</f>
        <v>5.03228126009284E-005</v>
      </c>
      <c r="AI20" s="0" t="n">
        <f aca="false">AI19+AH19</f>
        <v>0.000459167011887468</v>
      </c>
      <c r="AJ20" s="6" t="n">
        <f aca="false">Y20/$P$5</f>
        <v>0.1</v>
      </c>
      <c r="AK20" s="0" t="n">
        <f aca="false">SQRT(AG20^2+AI20^2)</f>
        <v>0.00308701364476947</v>
      </c>
      <c r="AL20" s="0" t="n">
        <f aca="false">$W$5*(Y20/$V$5-Z20)</f>
        <v>0.000265164372349913</v>
      </c>
      <c r="AM20" s="0" t="n">
        <f aca="false">SQRT(AK20^2+AL20^2)</f>
        <v>0.00309838109136959</v>
      </c>
      <c r="AN20" s="2" t="n">
        <f aca="false">Y20</f>
        <v>100</v>
      </c>
      <c r="AO20" s="0" t="n">
        <f aca="false">AM20/Z20</f>
        <v>0.00294061410328281</v>
      </c>
    </row>
    <row r="21" customFormat="false" ht="12.75" hidden="false" customHeight="false" outlineLevel="0" collapsed="false">
      <c r="Y21" s="0" t="n">
        <f aca="false">Y20+$X$5</f>
        <v>104</v>
      </c>
      <c r="Z21" s="0" t="n">
        <f aca="false">(Y21/$V$5)^$O$5</f>
        <v>1.05601067082883</v>
      </c>
      <c r="AA21" s="0" t="n">
        <f aca="false">$Q$5*(Y21-$V$5)</f>
        <v>0.402123859659494</v>
      </c>
      <c r="AB21" s="0" t="n">
        <f aca="false">COS(AA21)</f>
        <v>0.92023184736587</v>
      </c>
      <c r="AC21" s="0" t="n">
        <f aca="false">SIN(AA21)</f>
        <v>0.391373666837202</v>
      </c>
      <c r="AD21" s="0" t="n">
        <f aca="false">$T$5*(Z21-1)</f>
        <v>0.00237821714588671</v>
      </c>
      <c r="AE21" s="0" t="n">
        <f aca="false">2*$T$5*$U$5*Z21*$X$5/(Y21+Y22)</f>
        <v>0.000131836582715915</v>
      </c>
      <c r="AF21" s="0" t="n">
        <f aca="false">AB21*AE21</f>
        <v>0.00012132022206307</v>
      </c>
      <c r="AG21" s="0" t="n">
        <f aca="false">AG20+AF20</f>
        <v>0.0031797749730167</v>
      </c>
      <c r="AH21" s="0" t="n">
        <f aca="false">AC21*AE21</f>
        <v>5.15973668008139E-005</v>
      </c>
      <c r="AI21" s="0" t="n">
        <f aca="false">AI20+AH20</f>
        <v>0.000509489824488397</v>
      </c>
      <c r="AJ21" s="6" t="n">
        <f aca="false">Y21/$P$5</f>
        <v>0.104</v>
      </c>
      <c r="AK21" s="0" t="n">
        <f aca="false">SQRT(AG21^2+AI21^2)</f>
        <v>0.0032203336411435</v>
      </c>
      <c r="AL21" s="0" t="n">
        <f aca="false">$W$5*(Y21/$V$5-Z21)</f>
        <v>0.000283065132337173</v>
      </c>
      <c r="AM21" s="0" t="n">
        <f aca="false">SQRT(AK21^2+AL21^2)</f>
        <v>0.00323275031968533</v>
      </c>
      <c r="AN21" s="2" t="n">
        <f aca="false">Y21</f>
        <v>104</v>
      </c>
      <c r="AO21" s="0" t="n">
        <f aca="false">AM21/Z21</f>
        <v>0.0030612856564679</v>
      </c>
    </row>
    <row r="22" customFormat="false" ht="12.75" hidden="false" customHeight="false" outlineLevel="0" collapsed="false">
      <c r="Y22" s="0" t="n">
        <f aca="false">Y21+$X$5</f>
        <v>108</v>
      </c>
      <c r="Z22" s="0" t="n">
        <f aca="false">(Y22/$V$5)^$O$5</f>
        <v>1.05828623173464</v>
      </c>
      <c r="AA22" s="0" t="n">
        <f aca="false">$Q$5*(Y22-$V$5)</f>
        <v>0.427256600888212</v>
      </c>
      <c r="AB22" s="0" t="n">
        <f aca="false">COS(AA22)</f>
        <v>0.910105970684996</v>
      </c>
      <c r="AC22" s="0" t="n">
        <f aca="false">SIN(AA22)</f>
        <v>0.414375580993284</v>
      </c>
      <c r="AD22" s="0" t="n">
        <f aca="false">$T$5*(Z22-1)</f>
        <v>0.00247483762699583</v>
      </c>
      <c r="AE22" s="0" t="n">
        <f aca="false">2*$T$5*$U$5*Z22*$X$5/(Y22+Y23)</f>
        <v>0.000127316284710332</v>
      </c>
      <c r="AF22" s="0" t="n">
        <f aca="false">AB22*AE22</f>
        <v>0.000115871310880304</v>
      </c>
      <c r="AG22" s="0" t="n">
        <f aca="false">AG21+AF21</f>
        <v>0.00330109519507977</v>
      </c>
      <c r="AH22" s="0" t="n">
        <f aca="false">AC22*AE22</f>
        <v>5.27567594467502E-005</v>
      </c>
      <c r="AI22" s="0" t="n">
        <f aca="false">AI21+AH21</f>
        <v>0.000561087191289211</v>
      </c>
      <c r="AJ22" s="6" t="n">
        <f aca="false">Y22/$P$5</f>
        <v>0.108</v>
      </c>
      <c r="AK22" s="0" t="n">
        <f aca="false">SQRT(AG22^2+AI22^2)</f>
        <v>0.00334843968486929</v>
      </c>
      <c r="AL22" s="0" t="n">
        <f aca="false">$W$5*(Y22/$V$5-Z22)</f>
        <v>0.000300981306213595</v>
      </c>
      <c r="AM22" s="0" t="n">
        <f aca="false">SQRT(AK22^2+AL22^2)</f>
        <v>0.00336193962912744</v>
      </c>
      <c r="AN22" s="2" t="n">
        <f aca="false">Y22</f>
        <v>108</v>
      </c>
      <c r="AO22" s="0" t="n">
        <f aca="false">AM22/Z22</f>
        <v>0.00317677725393523</v>
      </c>
    </row>
    <row r="23" customFormat="false" ht="12.75" hidden="false" customHeight="false" outlineLevel="0" collapsed="false">
      <c r="Y23" s="0" t="n">
        <f aca="false">Y22+$X$5</f>
        <v>112</v>
      </c>
      <c r="Z23" s="0" t="n">
        <f aca="false">(Y23/$V$5)^$O$5</f>
        <v>1.0604836655099</v>
      </c>
      <c r="AA23" s="0" t="n">
        <f aca="false">$Q$5*(Y23-$V$5)</f>
        <v>0.45238934211693</v>
      </c>
      <c r="AB23" s="0" t="n">
        <f aca="false">COS(AA23)</f>
        <v>0.899405251566371</v>
      </c>
      <c r="AC23" s="0" t="n">
        <f aca="false">SIN(AA23)</f>
        <v>0.437115766650933</v>
      </c>
      <c r="AD23" s="0" t="n">
        <f aca="false">$T$5*(Z23-1)</f>
        <v>0.00256814082447467</v>
      </c>
      <c r="AE23" s="0" t="n">
        <f aca="false">2*$T$5*$U$5*Z23*$X$5/(Y23+Y24)</f>
        <v>0.000123104131367736</v>
      </c>
      <c r="AF23" s="0" t="n">
        <f aca="false">AB23*AE23</f>
        <v>0.000110720502241659</v>
      </c>
      <c r="AG23" s="0" t="n">
        <f aca="false">AG22+AF22</f>
        <v>0.00341696650596007</v>
      </c>
      <c r="AH23" s="0" t="n">
        <f aca="false">AC23*AE23</f>
        <v>5.38107567607053E-005</v>
      </c>
      <c r="AI23" s="0" t="n">
        <f aca="false">AI22+AH22</f>
        <v>0.000613843950735961</v>
      </c>
      <c r="AJ23" s="6" t="n">
        <f aca="false">Y23/$P$5</f>
        <v>0.112</v>
      </c>
      <c r="AK23" s="0" t="n">
        <f aca="false">SQRT(AG23^2+AI23^2)</f>
        <v>0.00347166595436659</v>
      </c>
      <c r="AL23" s="0" t="n">
        <f aca="false">$W$5*(Y23/$V$5-Z23)</f>
        <v>0.00031891180341864</v>
      </c>
      <c r="AM23" s="0" t="n">
        <f aca="false">SQRT(AK23^2+AL23^2)</f>
        <v>0.00348628301161392</v>
      </c>
      <c r="AN23" s="2" t="n">
        <f aca="false">Y23</f>
        <v>112</v>
      </c>
      <c r="AO23" s="0" t="n">
        <f aca="false">AM23/Z23</f>
        <v>0.00328744621440035</v>
      </c>
    </row>
    <row r="24" customFormat="false" ht="12.75" hidden="false" customHeight="false" outlineLevel="0" collapsed="false">
      <c r="Y24" s="0" t="n">
        <f aca="false">Y23+$X$5</f>
        <v>116</v>
      </c>
      <c r="Z24" s="0" t="n">
        <f aca="false">(Y24/$V$5)^$O$5</f>
        <v>1.06260830551036</v>
      </c>
      <c r="AA24" s="0" t="n">
        <f aca="false">$Q$5*(Y24-$V$5)</f>
        <v>0.477522083345649</v>
      </c>
      <c r="AB24" s="0" t="n">
        <f aca="false">COS(AA24)</f>
        <v>0.888136448813545</v>
      </c>
      <c r="AC24" s="0" t="n">
        <f aca="false">SIN(AA24)</f>
        <v>0.459579860621488</v>
      </c>
      <c r="AD24" s="0" t="n">
        <f aca="false">$T$5*(Z24-1)</f>
        <v>0.00265835319299601</v>
      </c>
      <c r="AE24" s="0" t="n">
        <f aca="false">2*$T$5*$U$5*Z24*$X$5/(Y24+Y25)</f>
        <v>0.000119169384067862</v>
      </c>
      <c r="AF24" s="0" t="n">
        <f aca="false">AB24*AE24</f>
        <v>0.000105838673573328</v>
      </c>
      <c r="AG24" s="0" t="n">
        <f aca="false">AG23+AF23</f>
        <v>0.00352768700820173</v>
      </c>
      <c r="AH24" s="0" t="n">
        <f aca="false">AC24*AE24</f>
        <v>5.47678489202565E-005</v>
      </c>
      <c r="AI24" s="0" t="n">
        <f aca="false">AI23+AH23</f>
        <v>0.000667654707496666</v>
      </c>
      <c r="AJ24" s="6" t="n">
        <f aca="false">Y24/$P$5</f>
        <v>0.116</v>
      </c>
      <c r="AK24" s="0" t="n">
        <f aca="false">SQRT(AG24^2+AI24^2)</f>
        <v>0.00359031174639163</v>
      </c>
      <c r="AL24" s="0" t="n">
        <f aca="false">$W$5*(Y24/$V$5-Z24)</f>
        <v>0.000336855646168958</v>
      </c>
      <c r="AM24" s="0" t="n">
        <f aca="false">SQRT(AK24^2+AL24^2)</f>
        <v>0.00360607961124455</v>
      </c>
      <c r="AN24" s="2" t="n">
        <f aca="false">Y24</f>
        <v>116</v>
      </c>
      <c r="AO24" s="0" t="n">
        <f aca="false">AM24/Z24</f>
        <v>0.00339361135476217</v>
      </c>
    </row>
    <row r="25" customFormat="false" ht="12.75" hidden="false" customHeight="false" outlineLevel="0" collapsed="false">
      <c r="Y25" s="0" t="n">
        <f aca="false">Y24+$X$5</f>
        <v>120</v>
      </c>
      <c r="Z25" s="0" t="n">
        <f aca="false">(Y25/$V$5)^$O$5</f>
        <v>1.06466495228879</v>
      </c>
      <c r="AA25" s="0" t="n">
        <f aca="false">$Q$5*(Y25-$V$5)</f>
        <v>0.502654824574367</v>
      </c>
      <c r="AB25" s="0" t="n">
        <f aca="false">COS(AA25)</f>
        <v>0.876306680043864</v>
      </c>
      <c r="AC25" s="0" t="n">
        <f aca="false">SIN(AA25)</f>
        <v>0.481753674101715</v>
      </c>
      <c r="AD25" s="0" t="n">
        <f aca="false">$T$5*(Z25-1)</f>
        <v>0.00274567856437823</v>
      </c>
      <c r="AE25" s="0" t="n">
        <f aca="false">2*$T$5*$U$5*Z25*$X$5/(Y25+Y26)</f>
        <v>0.000115485277691224</v>
      </c>
      <c r="AF25" s="0" t="n">
        <f aca="false">AB25*AE25</f>
        <v>0.00010120052028754</v>
      </c>
      <c r="AG25" s="0" t="n">
        <f aca="false">AG24+AF24</f>
        <v>0.00363352568177506</v>
      </c>
      <c r="AH25" s="0" t="n">
        <f aca="false">AC25*AE25</f>
        <v>5.56354568324042E-005</v>
      </c>
      <c r="AI25" s="0" t="n">
        <f aca="false">AI24+AH24</f>
        <v>0.000722422556416923</v>
      </c>
      <c r="AJ25" s="6" t="n">
        <f aca="false">Y25/$P$5</f>
        <v>0.12</v>
      </c>
      <c r="AK25" s="0" t="n">
        <f aca="false">SQRT(AG25^2+AI25^2)</f>
        <v>0.00370464616800834</v>
      </c>
      <c r="AL25" s="0" t="n">
        <f aca="false">$W$5*(Y25/$V$5-Z25)</f>
        <v>0.0003548119543619</v>
      </c>
      <c r="AM25" s="0" t="n">
        <f aca="false">SQRT(AK25^2+AL25^2)</f>
        <v>0.0037215984137326</v>
      </c>
      <c r="AN25" s="2" t="n">
        <f aca="false">Y25</f>
        <v>120</v>
      </c>
      <c r="AO25" s="0" t="n">
        <f aca="false">AM25/Z25</f>
        <v>0.00349555830285574</v>
      </c>
    </row>
    <row r="26" customFormat="false" ht="12.75" hidden="false" customHeight="false" outlineLevel="0" collapsed="false">
      <c r="Y26" s="0" t="n">
        <f aca="false">Y25+$X$5</f>
        <v>124</v>
      </c>
      <c r="Z26" s="0" t="n">
        <f aca="false">(Y26/$V$5)^$O$5</f>
        <v>1.06665794257351</v>
      </c>
      <c r="AA26" s="0" t="n">
        <f aca="false">$Q$5*(Y26-$V$5)</f>
        <v>0.527787565803085</v>
      </c>
      <c r="AB26" s="0" t="n">
        <f aca="false">COS(AA26)</f>
        <v>0.863923417192835</v>
      </c>
      <c r="AC26" s="0" t="n">
        <f aca="false">SIN(AA26)</f>
        <v>0.503623201635761</v>
      </c>
      <c r="AD26" s="0" t="n">
        <f aca="false">$T$5*(Z26-1)</f>
        <v>0.00283030107642059</v>
      </c>
      <c r="AE26" s="0" t="n">
        <f aca="false">2*$T$5*$U$5*Z26*$X$5/(Y26+Y27)</f>
        <v>0.000112028397149359</v>
      </c>
      <c r="AF26" s="0" t="n">
        <f aca="false">AB26*AE26</f>
        <v>9.67839556879107E-005</v>
      </c>
      <c r="AG26" s="0" t="n">
        <f aca="false">AG25+AF25</f>
        <v>0.0037347262020626</v>
      </c>
      <c r="AH26" s="0" t="n">
        <f aca="false">AC26*AE26</f>
        <v>5.64201000464829E-005</v>
      </c>
      <c r="AI26" s="0" t="n">
        <f aca="false">AI25+AH25</f>
        <v>0.000778058013249327</v>
      </c>
      <c r="AJ26" s="6" t="n">
        <f aca="false">Y26/$P$5</f>
        <v>0.124</v>
      </c>
      <c r="AK26" s="0" t="n">
        <f aca="false">SQRT(AG26^2+AI26^2)</f>
        <v>0.00381491206666083</v>
      </c>
      <c r="AL26" s="0" t="n">
        <f aca="false">$W$5*(Y26/$V$5-Z26)</f>
        <v>0.000372779932929419</v>
      </c>
      <c r="AM26" s="0" t="n">
        <f aca="false">SQRT(AK26^2+AL26^2)</f>
        <v>0.00383308217427559</v>
      </c>
      <c r="AN26" s="2" t="n">
        <f aca="false">Y26</f>
        <v>124</v>
      </c>
      <c r="AO26" s="0" t="n">
        <f aca="false">AM26/Z26</f>
        <v>0.0035935439293946</v>
      </c>
    </row>
    <row r="27" customFormat="false" ht="12.75" hidden="false" customHeight="false" outlineLevel="0" collapsed="false">
      <c r="Y27" s="0" t="n">
        <f aca="false">Y26+$X$5</f>
        <v>128</v>
      </c>
      <c r="Z27" s="0" t="n">
        <f aca="false">(Y27/$V$5)^$O$5</f>
        <v>1.06859120740687</v>
      </c>
      <c r="AA27" s="0" t="n">
        <f aca="false">$Q$5*(Y27-$V$5)</f>
        <v>0.552920307031804</v>
      </c>
      <c r="AB27" s="0" t="n">
        <f aca="false">COS(AA27)</f>
        <v>0.850994481794692</v>
      </c>
      <c r="AC27" s="0" t="n">
        <f aca="false">SIN(AA27)</f>
        <v>0.525174629961296</v>
      </c>
      <c r="AD27" s="0" t="n">
        <f aca="false">$T$5*(Z27-1)</f>
        <v>0.00291238764146584</v>
      </c>
      <c r="AE27" s="0" t="n">
        <f aca="false">2*$T$5*$U$5*Z27*$X$5/(Y27+Y28)</f>
        <v>0.000108778167913688</v>
      </c>
      <c r="AF27" s="0" t="n">
        <f aca="false">AB27*AE27</f>
        <v>9.25696206342845E-005</v>
      </c>
      <c r="AG27" s="0" t="n">
        <f aca="false">AG26+AF26</f>
        <v>0.00383151015775051</v>
      </c>
      <c r="AH27" s="0" t="n">
        <f aca="false">AC27*AE27</f>
        <v>5.71275340819386E-005</v>
      </c>
      <c r="AI27" s="0" t="n">
        <f aca="false">AI26+AH26</f>
        <v>0.00083447811329581</v>
      </c>
      <c r="AJ27" s="6" t="n">
        <f aca="false">Y27/$P$5</f>
        <v>0.128</v>
      </c>
      <c r="AK27" s="0" t="n">
        <f aca="false">SQRT(AG27^2+AI27^2)</f>
        <v>0.00392132934226584</v>
      </c>
      <c r="AL27" s="0" t="n">
        <f aca="false">$W$5*(Y27/$V$5-Z27)</f>
        <v>0.000390758861179346</v>
      </c>
      <c r="AM27" s="0" t="n">
        <f aca="false">SQRT(AK27^2+AL27^2)</f>
        <v>0.00394075072773009</v>
      </c>
      <c r="AN27" s="2" t="n">
        <f aca="false">Y27</f>
        <v>128</v>
      </c>
      <c r="AO27" s="0" t="n">
        <f aca="false">AM27/Z27</f>
        <v>0.00368780006836576</v>
      </c>
    </row>
    <row r="28" customFormat="false" ht="12.75" hidden="false" customHeight="false" outlineLevel="0" collapsed="false">
      <c r="Y28" s="0" t="n">
        <f aca="false">Y27+$X$5</f>
        <v>132</v>
      </c>
      <c r="Z28" s="0" t="n">
        <f aca="false">(Y28/$V$5)^$O$5</f>
        <v>1.07046832142876</v>
      </c>
      <c r="AA28" s="0" t="n">
        <f aca="false">$Q$5*(Y28-$V$5)</f>
        <v>0.578053048260522</v>
      </c>
      <c r="AB28" s="0" t="n">
        <f aca="false">COS(AA28)</f>
        <v>0.837528040042142</v>
      </c>
      <c r="AC28" s="0" t="n">
        <f aca="false">SIN(AA28)</f>
        <v>0.546394346734269</v>
      </c>
      <c r="AD28" s="0" t="n">
        <f aca="false">$T$5*(Z28-1)</f>
        <v>0.00299209003898378</v>
      </c>
      <c r="AE28" s="0" t="n">
        <f aca="false">2*$T$5*$U$5*Z28*$X$5/(Y28+Y29)</f>
        <v>0.000105716436918458</v>
      </c>
      <c r="AF28" s="0" t="n">
        <f aca="false">AB28*AE28</f>
        <v>8.85404802125549E-005</v>
      </c>
      <c r="AG28" s="0" t="n">
        <f aca="false">AG27+AF27</f>
        <v>0.00392407977838479</v>
      </c>
      <c r="AH28" s="0" t="n">
        <f aca="false">AC28*AE28</f>
        <v>5.77628634891354E-005</v>
      </c>
      <c r="AI28" s="0" t="n">
        <f aca="false">AI27+AH27</f>
        <v>0.000891605647377748</v>
      </c>
      <c r="AJ28" s="6" t="n">
        <f aca="false">Y28/$P$5</f>
        <v>0.132</v>
      </c>
      <c r="AK28" s="0" t="n">
        <f aca="false">SQRT(AG28^2+AI28^2)</f>
        <v>0.00402409775447421</v>
      </c>
      <c r="AL28" s="0" t="n">
        <f aca="false">$W$5*(Y28/$V$5-Z28)</f>
        <v>0.000408748083760054</v>
      </c>
      <c r="AM28" s="0" t="n">
        <f aca="false">SQRT(AK28^2+AL28^2)</f>
        <v>0.00404480379419594</v>
      </c>
      <c r="AN28" s="2" t="n">
        <f aca="false">Y28</f>
        <v>132</v>
      </c>
      <c r="AO28" s="0" t="n">
        <f aca="false">AM28/Z28</f>
        <v>0.00377853665842005</v>
      </c>
    </row>
    <row r="29" customFormat="false" ht="12.75" hidden="false" customHeight="false" outlineLevel="0" collapsed="false">
      <c r="Y29" s="0" t="n">
        <f aca="false">Y28+$X$5</f>
        <v>136</v>
      </c>
      <c r="Z29" s="0" t="n">
        <f aca="false">(Y29/$V$5)^$O$5</f>
        <v>1.0722925448785</v>
      </c>
      <c r="AA29" s="0" t="n">
        <f aca="false">$Q$5*(Y29-$V$5)</f>
        <v>0.60318578948924</v>
      </c>
      <c r="AB29" s="0" t="n">
        <f aca="false">COS(AA29)</f>
        <v>0.823532597628428</v>
      </c>
      <c r="AC29" s="0" t="n">
        <f aca="false">SIN(AA29)</f>
        <v>0.567268949126757</v>
      </c>
      <c r="AD29" s="0" t="n">
        <f aca="false">$T$5*(Z29-1)</f>
        <v>0.00306954669897219</v>
      </c>
      <c r="AE29" s="0" t="n">
        <f aca="false">2*$T$5*$U$5*Z29*$X$5/(Y29+Y30)</f>
        <v>0.000102827125651858</v>
      </c>
      <c r="AF29" s="0" t="n">
        <f aca="false">AB29*AE29</f>
        <v>8.46814898947397E-005</v>
      </c>
      <c r="AG29" s="0" t="n">
        <f aca="false">AG28+AF28</f>
        <v>0.00401262025859735</v>
      </c>
      <c r="AH29" s="0" t="n">
        <f aca="false">AC29*AE29</f>
        <v>5.83306355102547E-005</v>
      </c>
      <c r="AI29" s="0" t="n">
        <f aca="false">AI28+AH28</f>
        <v>0.000949368510866884</v>
      </c>
      <c r="AJ29" s="6" t="n">
        <f aca="false">Y29/$P$5</f>
        <v>0.136</v>
      </c>
      <c r="AK29" s="0" t="n">
        <f aca="false">SQRT(AG29^2+AI29^2)</f>
        <v>0.0041233993147804</v>
      </c>
      <c r="AL29" s="0" t="n">
        <f aca="false">$W$5*(Y29/$V$5-Z29)</f>
        <v>0.000426747002960111</v>
      </c>
      <c r="AM29" s="0" t="n">
        <f aca="false">SQRT(AK29^2+AL29^2)</f>
        <v>0.0041454233696532</v>
      </c>
      <c r="AN29" s="2" t="n">
        <f aca="false">Y29</f>
        <v>136</v>
      </c>
      <c r="AO29" s="0" t="n">
        <f aca="false">AM29/Z29</f>
        <v>0.00386594440990253</v>
      </c>
    </row>
    <row r="30" customFormat="false" ht="12.75" hidden="false" customHeight="false" outlineLevel="0" collapsed="false">
      <c r="Y30" s="0" t="n">
        <f aca="false">Y29+$X$5</f>
        <v>140</v>
      </c>
      <c r="Z30" s="0" t="n">
        <f aca="false">(Y30/$V$5)^$O$5</f>
        <v>1.07406685957103</v>
      </c>
      <c r="AA30" s="0" t="n">
        <f aca="false">$Q$5*(Y30-$V$5)</f>
        <v>0.628318530717959</v>
      </c>
      <c r="AB30" s="0" t="n">
        <f aca="false">COS(AA30)</f>
        <v>0.809016994374948</v>
      </c>
      <c r="AC30" s="0" t="n">
        <f aca="false">SIN(AA30)</f>
        <v>0.587785252292473</v>
      </c>
      <c r="AD30" s="0" t="n">
        <f aca="false">$T$5*(Z30-1)</f>
        <v>0.00314488422950915</v>
      </c>
      <c r="AE30" s="0" t="n">
        <f aca="false">2*$T$5*$U$5*Z30*$X$5/(Y30+Y31)</f>
        <v>0.000100095941318064</v>
      </c>
      <c r="AF30" s="0" t="n">
        <f aca="false">AB30*AE30</f>
        <v>8.09793175942713E-005</v>
      </c>
      <c r="AG30" s="0" t="n">
        <f aca="false">AG29+AF29</f>
        <v>0.00409730174849209</v>
      </c>
      <c r="AH30" s="0" t="n">
        <f aca="false">AC30*AE30</f>
        <v>5.88349181210908E-005</v>
      </c>
      <c r="AI30" s="0" t="n">
        <f aca="false">AI29+AH29</f>
        <v>0.00100769914637714</v>
      </c>
      <c r="AJ30" s="6" t="n">
        <f aca="false">Y30/$P$5</f>
        <v>0.14</v>
      </c>
      <c r="AK30" s="0" t="n">
        <f aca="false">SQRT(AG30^2+AI30^2)</f>
        <v>0.00421940033509568</v>
      </c>
      <c r="AL30" s="0" t="n">
        <f aca="false">$W$5*(Y30/$V$5-Z30)</f>
        <v>0.000444755072112633</v>
      </c>
      <c r="AM30" s="0" t="n">
        <f aca="false">SQRT(AK30^2+AL30^2)</f>
        <v>0.00424277577323802</v>
      </c>
      <c r="AN30" s="2" t="n">
        <f aca="false">Y30</f>
        <v>140</v>
      </c>
      <c r="AO30" s="0" t="n">
        <f aca="false">AM30/Z30</f>
        <v>0.00395019708077814</v>
      </c>
    </row>
    <row r="31" customFormat="false" ht="12.75" hidden="false" customHeight="false" outlineLevel="0" collapsed="false">
      <c r="Y31" s="0" t="n">
        <f aca="false">Y30+$X$5</f>
        <v>144</v>
      </c>
      <c r="Z31" s="0" t="n">
        <f aca="false">(Y31/$V$5)^$O$5</f>
        <v>1.07579399985753</v>
      </c>
      <c r="AA31" s="0" t="n">
        <f aca="false">$Q$5*(Y31-$V$5)</f>
        <v>0.653451271946677</v>
      </c>
      <c r="AB31" s="0" t="n">
        <f aca="false">COS(AA31)</f>
        <v>0.793990398647835</v>
      </c>
      <c r="AC31" s="0" t="n">
        <f aca="false">SIN(AA31)</f>
        <v>0.607930297694605</v>
      </c>
      <c r="AD31" s="0" t="n">
        <f aca="false">$T$5*(Z31-1)</f>
        <v>0.00321821873134484</v>
      </c>
      <c r="AE31" s="0" t="n">
        <f aca="false">2*$T$5*$U$5*Z31*$X$5/(Y31+Y32)</f>
        <v>9.75101350248885E-005</v>
      </c>
      <c r="AF31" s="0" t="n">
        <f aca="false">AB31*AE31</f>
        <v>7.74221109806154E-005</v>
      </c>
      <c r="AG31" s="0" t="n">
        <f aca="false">AG30+AF30</f>
        <v>0.00417828106608636</v>
      </c>
      <c r="AH31" s="0" t="n">
        <f aca="false">AC31*AE31</f>
        <v>5.92793654139216E-005</v>
      </c>
      <c r="AI31" s="0" t="n">
        <f aca="false">AI30+AH30</f>
        <v>0.00106653406449823</v>
      </c>
      <c r="AJ31" s="6" t="n">
        <f aca="false">Y31/$P$5</f>
        <v>0.144</v>
      </c>
      <c r="AK31" s="0" t="n">
        <f aca="false">SQRT(AG31^2+AI31^2)</f>
        <v>0.00431225319038097</v>
      </c>
      <c r="AL31" s="0" t="n">
        <f aca="false">$W$5*(Y31/$V$5-Z31)</f>
        <v>0.000462771789919152</v>
      </c>
      <c r="AM31" s="0" t="n">
        <f aca="false">SQRT(AK31^2+AL31^2)</f>
        <v>0.00433701340872908</v>
      </c>
      <c r="AN31" s="2" t="n">
        <f aca="false">Y31</f>
        <v>144</v>
      </c>
      <c r="AO31" s="0" t="n">
        <f aca="false">AM31/Z31</f>
        <v>0.00403145342816881</v>
      </c>
    </row>
    <row r="32" customFormat="false" ht="12.75" hidden="false" customHeight="false" outlineLevel="0" collapsed="false">
      <c r="Y32" s="0" t="n">
        <f aca="false">Y31+$X$5</f>
        <v>148</v>
      </c>
      <c r="Z32" s="0" t="n">
        <f aca="false">(Y32/$V$5)^$O$5</f>
        <v>1.07747647938828</v>
      </c>
      <c r="AA32" s="0" t="n">
        <f aca="false">$Q$5*(Y32-$V$5)</f>
        <v>0.678584013175395</v>
      </c>
      <c r="AB32" s="0" t="n">
        <f aca="false">COS(AA32)</f>
        <v>0.778462301567023</v>
      </c>
      <c r="AC32" s="0" t="n">
        <f aca="false">SIN(AA32)</f>
        <v>0.627691361290701</v>
      </c>
      <c r="AD32" s="0" t="n">
        <f aca="false">$T$5*(Z32-1)</f>
        <v>0.00328965693425187</v>
      </c>
      <c r="AE32" s="0" t="n">
        <f aca="false">2*$T$5*$U$5*Z32*$X$5/(Y32+Y33)</f>
        <v>9.50582982910615E-005</v>
      </c>
      <c r="AF32" s="0" t="n">
        <f aca="false">AB32*AE32</f>
        <v>7.39993016707044E-005</v>
      </c>
      <c r="AG32" s="0" t="n">
        <f aca="false">AG31+AF31</f>
        <v>0.00425570317706698</v>
      </c>
      <c r="AH32" s="0" t="n">
        <f aca="false">AC32*AE32</f>
        <v>5.96672726562939E-005</v>
      </c>
      <c r="AI32" s="0" t="n">
        <f aca="false">AI31+AH31</f>
        <v>0.00112581342991215</v>
      </c>
      <c r="AJ32" s="6" t="n">
        <f aca="false">Y32/$P$5</f>
        <v>0.148</v>
      </c>
      <c r="AK32" s="0" t="n">
        <f aca="false">SQRT(AG32^2+AI32^2)</f>
        <v>0.00440209784196904</v>
      </c>
      <c r="AL32" s="0" t="n">
        <f aca="false">$W$5*(Y32/$V$5-Z32)</f>
        <v>0.000480796695543099</v>
      </c>
      <c r="AM32" s="0" t="n">
        <f aca="false">SQRT(AK32^2+AL32^2)</f>
        <v>0.00442827628685403</v>
      </c>
      <c r="AN32" s="2" t="n">
        <f aca="false">Y32</f>
        <v>148</v>
      </c>
      <c r="AO32" s="0" t="n">
        <f aca="false">AM32/Z32</f>
        <v>0.00410985888932639</v>
      </c>
    </row>
    <row r="33" customFormat="false" ht="12.75" hidden="false" customHeight="false" outlineLevel="0" collapsed="false">
      <c r="Y33" s="0" t="n">
        <f aca="false">Y32+$X$5</f>
        <v>152</v>
      </c>
      <c r="Z33" s="0" t="n">
        <f aca="false">(Y33/$V$5)^$O$5</f>
        <v>1.07911661434364</v>
      </c>
      <c r="AA33" s="0" t="n">
        <f aca="false">$Q$5*(Y33-$V$5)</f>
        <v>0.703716754404114</v>
      </c>
      <c r="AB33" s="0" t="n">
        <f aca="false">COS(AA33)</f>
        <v>0.762442511011448</v>
      </c>
      <c r="AC33" s="0" t="n">
        <f aca="false">SIN(AA33)</f>
        <v>0.647055961569444</v>
      </c>
      <c r="AD33" s="0" t="n">
        <f aca="false">$T$5*(Z33-1)</f>
        <v>0.00335929718341663</v>
      </c>
      <c r="AE33" s="0" t="n">
        <f aca="false">2*$T$5*$U$5*Z33*$X$5/(Y33+Y34)</f>
        <v>9.27301909631689E-005</v>
      </c>
      <c r="AF33" s="0" t="n">
        <f aca="false">AB33*AE33</f>
        <v>7.07014396445296E-005</v>
      </c>
      <c r="AG33" s="0" t="n">
        <f aca="false">AG32+AF32</f>
        <v>0.00432970247873768</v>
      </c>
      <c r="AH33" s="0" t="n">
        <f aca="false">AC33*AE33</f>
        <v>6.00016228801915E-005</v>
      </c>
      <c r="AI33" s="0" t="n">
        <f aca="false">AI32+AH32</f>
        <v>0.00118548070256844</v>
      </c>
      <c r="AJ33" s="6" t="n">
        <f aca="false">Y33/$P$5</f>
        <v>0.152</v>
      </c>
      <c r="AK33" s="0" t="n">
        <f aca="false">SQRT(AG33^2+AI33^2)</f>
        <v>0.00448906315956341</v>
      </c>
      <c r="AL33" s="0" t="n">
        <f aca="false">$W$5*(Y33/$V$5-Z33)</f>
        <v>0.000498829364350773</v>
      </c>
      <c r="AM33" s="0" t="n">
        <f aca="false">SQRT(AK33^2+AL33^2)</f>
        <v>0.00451669334638605</v>
      </c>
      <c r="AN33" s="2" t="n">
        <f aca="false">Y33</f>
        <v>152</v>
      </c>
      <c r="AO33" s="0" t="n">
        <f aca="false">AM33/Z33</f>
        <v>0.00418554703574208</v>
      </c>
    </row>
    <row r="34" customFormat="false" ht="12.75" hidden="false" customHeight="false" outlineLevel="0" collapsed="false">
      <c r="Y34" s="0" t="n">
        <f aca="false">Y33+$X$5</f>
        <v>156</v>
      </c>
      <c r="Z34" s="0" t="n">
        <f aca="false">(Y34/$V$5)^$O$5</f>
        <v>1.08071654367917</v>
      </c>
      <c r="AA34" s="0" t="n">
        <f aca="false">$Q$5*(Y34-$V$5)</f>
        <v>0.728849495632832</v>
      </c>
      <c r="AB34" s="0" t="n">
        <f aca="false">COS(AA34)</f>
        <v>0.745941145424182</v>
      </c>
      <c r="AC34" s="0" t="n">
        <f aca="false">SIN(AA34)</f>
        <v>0.666011867434252</v>
      </c>
      <c r="AD34" s="0" t="n">
        <f aca="false">$T$5*(Z34-1)</f>
        <v>0.00342723029904725</v>
      </c>
      <c r="AE34" s="0" t="n">
        <f aca="false">2*$T$5*$U$5*Z34*$X$5/(Y34+Y35)</f>
        <v>9.05165950216997E-005</v>
      </c>
      <c r="AF34" s="0" t="n">
        <f aca="false">AB34*AE34</f>
        <v>6.75200525703835E-005</v>
      </c>
      <c r="AG34" s="0" t="n">
        <f aca="false">AG33+AF33</f>
        <v>0.00440040391838221</v>
      </c>
      <c r="AH34" s="0" t="n">
        <f aca="false">AC34*AE34</f>
        <v>6.02851264841921E-005</v>
      </c>
      <c r="AI34" s="0" t="n">
        <f aca="false">AI33+AH33</f>
        <v>0.00124548232544864</v>
      </c>
      <c r="AJ34" s="6" t="n">
        <f aca="false">Y34/$P$5</f>
        <v>0.156</v>
      </c>
      <c r="AK34" s="0" t="n">
        <f aca="false">SQRT(AG34^2+AI34^2)</f>
        <v>0.00457326807304344</v>
      </c>
      <c r="AL34" s="0" t="n">
        <f aca="false">$W$5*(Y34/$V$5-Z34)</f>
        <v>0.000516869404199739</v>
      </c>
      <c r="AM34" s="0" t="n">
        <f aca="false">SQRT(AK34^2+AL34^2)</f>
        <v>0.00460238360514595</v>
      </c>
      <c r="AN34" s="2" t="n">
        <f aca="false">Y34</f>
        <v>156</v>
      </c>
      <c r="AO34" s="0" t="n">
        <f aca="false">AM34/Z34</f>
        <v>0.00425864083608611</v>
      </c>
    </row>
    <row r="35" customFormat="false" ht="12.75" hidden="false" customHeight="false" outlineLevel="0" collapsed="false">
      <c r="Y35" s="0" t="n">
        <f aca="false">Y34+$X$5</f>
        <v>160</v>
      </c>
      <c r="Z35" s="0" t="n">
        <f aca="false">(Y35/$V$5)^$O$5</f>
        <v>1.08227824683453</v>
      </c>
      <c r="AA35" s="0" t="n">
        <f aca="false">$Q$5*(Y35-$V$5)</f>
        <v>0.75398223686155</v>
      </c>
      <c r="AB35" s="0" t="n">
        <f aca="false">COS(AA35)</f>
        <v>0.728968627421412</v>
      </c>
      <c r="AC35" s="0" t="n">
        <f aca="false">SIN(AA35)</f>
        <v>0.684547105928689</v>
      </c>
      <c r="AD35" s="0" t="n">
        <f aca="false">$T$5*(Z35-1)</f>
        <v>0.00349354032829521</v>
      </c>
      <c r="AE35" s="0" t="n">
        <f aca="false">2*$T$5*$U$5*Z35*$X$5/(Y35+Y36)</f>
        <v>8.84091898382817E-005</v>
      </c>
      <c r="AF35" s="0" t="n">
        <f aca="false">AB35*AE35</f>
        <v>6.44475257678512E-005</v>
      </c>
      <c r="AG35" s="0" t="n">
        <f aca="false">AG34+AF34</f>
        <v>0.00446792397095259</v>
      </c>
      <c r="AH35" s="0" t="n">
        <f aca="false">AC35*AE35</f>
        <v>6.05202550412958E-005</v>
      </c>
      <c r="AI35" s="0" t="n">
        <f aca="false">AI34+AH34</f>
        <v>0.00130576745193283</v>
      </c>
      <c r="AJ35" s="6" t="n">
        <f aca="false">Y35/$P$5</f>
        <v>0.16</v>
      </c>
      <c r="AK35" s="0" t="n">
        <f aca="false">SQRT(AG35^2+AI35^2)</f>
        <v>0.00465482257972739</v>
      </c>
      <c r="AL35" s="0" t="n">
        <f aca="false">$W$5*(Y35/$V$5-Z35)</f>
        <v>0.000534916452192183</v>
      </c>
      <c r="AM35" s="0" t="n">
        <f aca="false">SQRT(AK35^2+AL35^2)</f>
        <v>0.00468545716654904</v>
      </c>
      <c r="AN35" s="2" t="n">
        <f aca="false">Y35</f>
        <v>160</v>
      </c>
      <c r="AO35" s="0" t="n">
        <f aca="false">AM35/Z35</f>
        <v>0.00432925375729687</v>
      </c>
    </row>
    <row r="36" customFormat="false" ht="12.75" hidden="false" customHeight="false" outlineLevel="0" collapsed="false">
      <c r="Y36" s="0" t="n">
        <f aca="false">Y35+$X$5</f>
        <v>164</v>
      </c>
      <c r="Z36" s="0" t="n">
        <f aca="false">(Y36/$V$5)^$O$5</f>
        <v>1.08380355927878</v>
      </c>
      <c r="AA36" s="0" t="n">
        <f aca="false">$Q$5*(Y36-$V$5)</f>
        <v>0.779114978090269</v>
      </c>
      <c r="AB36" s="0" t="n">
        <f aca="false">COS(AA36)</f>
        <v>0.711535677209285</v>
      </c>
      <c r="AC36" s="0" t="n">
        <f aca="false">SIN(AA36)</f>
        <v>0.702649969798849</v>
      </c>
      <c r="AD36" s="0" t="n">
        <f aca="false">$T$5*(Z36-1)</f>
        <v>0.00355830520531016</v>
      </c>
      <c r="AE36" s="0" t="n">
        <f aca="false">2*$T$5*$U$5*Z36*$X$5/(Y36+Y37)</f>
        <v>8.64004452955335E-005</v>
      </c>
      <c r="AF36" s="0" t="n">
        <f aca="false">AB36*AE36</f>
        <v>6.14769993545413E-005</v>
      </c>
      <c r="AG36" s="0" t="n">
        <f aca="false">AG35+AF35</f>
        <v>0.00453237149672044</v>
      </c>
      <c r="AH36" s="0" t="n">
        <f aca="false">AC36*AE36</f>
        <v>6.07092702775137E-005</v>
      </c>
      <c r="AI36" s="0" t="n">
        <f aca="false">AI35+AH35</f>
        <v>0.00136628770697412</v>
      </c>
      <c r="AJ36" s="6" t="n">
        <f aca="false">Y36/$P$5</f>
        <v>0.164</v>
      </c>
      <c r="AK36" s="0" t="n">
        <f aca="false">SQRT(AG36^2+AI36^2)</f>
        <v>0.00473382862834224</v>
      </c>
      <c r="AL36" s="0" t="n">
        <f aca="false">$W$5*(Y36/$V$5-Z36)</f>
        <v>0.000552970171824944</v>
      </c>
      <c r="AM36" s="0" t="n">
        <f aca="false">SQRT(AK36^2+AL36^2)</f>
        <v>0.00476601610293552</v>
      </c>
      <c r="AN36" s="2" t="n">
        <f aca="false">Y36</f>
        <v>164</v>
      </c>
      <c r="AO36" s="0" t="n">
        <f aca="false">AM36/Z36</f>
        <v>0.00439749072803109</v>
      </c>
    </row>
    <row r="37" customFormat="false" ht="12.75" hidden="false" customHeight="false" outlineLevel="0" collapsed="false">
      <c r="Y37" s="0" t="n">
        <f aca="false">Y36+$X$5</f>
        <v>168</v>
      </c>
      <c r="Z37" s="0" t="n">
        <f aca="false">(Y37/$V$5)^$O$5</f>
        <v>1.08529418620226</v>
      </c>
      <c r="AA37" s="0" t="n">
        <f aca="false">$Q$5*(Y37-$V$5)</f>
        <v>0.804247719318987</v>
      </c>
      <c r="AB37" s="0" t="n">
        <f aca="false">COS(AA37)</f>
        <v>0.693653305812805</v>
      </c>
      <c r="AC37" s="0" t="n">
        <f aca="false">SIN(AA37)</f>
        <v>0.720309024887907</v>
      </c>
      <c r="AD37" s="0" t="n">
        <f aca="false">$T$5*(Z37-1)</f>
        <v>0.0036215973325975</v>
      </c>
      <c r="AE37" s="0" t="n">
        <f aca="false">2*$T$5*$U$5*Z37*$X$5/(Y37+Y38)</f>
        <v>8.44835298516E-005</v>
      </c>
      <c r="AF37" s="0" t="n">
        <f aca="false">AB37*AE37</f>
        <v>5.86022797682971E-005</v>
      </c>
      <c r="AG37" s="0" t="n">
        <f aca="false">AG36+AF36</f>
        <v>0.00459384849607499</v>
      </c>
      <c r="AH37" s="0" t="n">
        <f aca="false">AC37*AE37</f>
        <v>6.08542490064943E-005</v>
      </c>
      <c r="AI37" s="0" t="n">
        <f aca="false">AI36+AH36</f>
        <v>0.00142699697725164</v>
      </c>
      <c r="AJ37" s="6" t="n">
        <f aca="false">Y37/$P$5</f>
        <v>0.168</v>
      </c>
      <c r="AK37" s="0" t="n">
        <f aca="false">SQRT(AG37^2+AI37^2)</f>
        <v>0.00481038089739011</v>
      </c>
      <c r="AL37" s="0" t="n">
        <f aca="false">$W$5*(Y37/$V$5-Z37)</f>
        <v>0.000571030250479325</v>
      </c>
      <c r="AM37" s="0" t="n">
        <f aca="false">SQRT(AK37^2+AL37^2)</f>
        <v>0.00484415523336507</v>
      </c>
      <c r="AN37" s="2" t="n">
        <f aca="false">Y37</f>
        <v>168</v>
      </c>
      <c r="AO37" s="0" t="n">
        <f aca="false">AM37/Z37</f>
        <v>0.0044634489845708</v>
      </c>
    </row>
    <row r="38" customFormat="false" ht="12.75" hidden="false" customHeight="false" outlineLevel="0" collapsed="false">
      <c r="Y38" s="0" t="n">
        <f aca="false">Y37+$X$5</f>
        <v>172</v>
      </c>
      <c r="Z38" s="0" t="n">
        <f aca="false">(Y38/$V$5)^$O$5</f>
        <v>1.08675171461446</v>
      </c>
      <c r="AA38" s="0" t="n">
        <f aca="false">$Q$5*(Y38-$V$5)</f>
        <v>0.829380460547705</v>
      </c>
      <c r="AB38" s="0" t="n">
        <f aca="false">COS(AA38)</f>
        <v>0.675332808121025</v>
      </c>
      <c r="AC38" s="0" t="n">
        <f aca="false">SIN(AA38)</f>
        <v>0.737513117358174</v>
      </c>
      <c r="AD38" s="0" t="n">
        <f aca="false">$T$5*(Z38-1)</f>
        <v>0.00368348409469498</v>
      </c>
      <c r="AE38" s="0" t="n">
        <f aca="false">2*$T$5*$U$5*Z38*$X$5/(Y38+Y39)</f>
        <v>8.26522311642105E-005</v>
      </c>
      <c r="AF38" s="0" t="n">
        <f aca="false">AB38*AE38</f>
        <v>5.58177633695943E-005</v>
      </c>
      <c r="AG38" s="0" t="n">
        <f aca="false">AG37+AF37</f>
        <v>0.00465245077584328</v>
      </c>
      <c r="AH38" s="0" t="n">
        <f aca="false">AC38*AE38</f>
        <v>6.09571046625253E-005</v>
      </c>
      <c r="AI38" s="0" t="n">
        <f aca="false">AI37+AH37</f>
        <v>0.00148785122625813</v>
      </c>
      <c r="AJ38" s="6" t="n">
        <f aca="false">Y38/$P$5</f>
        <v>0.172</v>
      </c>
      <c r="AK38" s="0" t="n">
        <f aca="false">SQRT(AG38^2+AI38^2)</f>
        <v>0.00488456748270741</v>
      </c>
      <c r="AL38" s="0" t="n">
        <f aca="false">$W$5*(Y38/$V$5-Z38)</f>
        <v>0.000589096397203154</v>
      </c>
      <c r="AM38" s="0" t="n">
        <f aca="false">SQRT(AK38^2+AL38^2)</f>
        <v>0.00491996281066436</v>
      </c>
      <c r="AN38" s="2" t="n">
        <f aca="false">Y38</f>
        <v>172</v>
      </c>
      <c r="AO38" s="0" t="n">
        <f aca="false">AM38/Z38</f>
        <v>0.00452721881594619</v>
      </c>
    </row>
    <row r="39" customFormat="false" ht="12.75" hidden="false" customHeight="false" outlineLevel="0" collapsed="false">
      <c r="Y39" s="0" t="n">
        <f aca="false">Y38+$X$5</f>
        <v>176</v>
      </c>
      <c r="Z39" s="0" t="n">
        <f aca="false">(Y39/$V$5)^$O$5</f>
        <v>1.08817762406586</v>
      </c>
      <c r="AA39" s="0" t="n">
        <f aca="false">$Q$5*(Y39-$V$5)</f>
        <v>0.854513201776424</v>
      </c>
      <c r="AB39" s="0" t="n">
        <f aca="false">COS(AA39)</f>
        <v>0.656585755752956</v>
      </c>
      <c r="AC39" s="0" t="n">
        <f aca="false">SIN(AA39)</f>
        <v>0.754251380736104</v>
      </c>
      <c r="AD39" s="0" t="n">
        <f aca="false">$T$5*(Z39-1)</f>
        <v>0.00374402831342395</v>
      </c>
      <c r="AE39" s="0" t="n">
        <f aca="false">2*$T$5*$U$5*Z39*$X$5/(Y39+Y40)</f>
        <v>8.09008873148128E-005</v>
      </c>
      <c r="AF39" s="0" t="n">
        <f aca="false">AB39*AE39</f>
        <v>5.31183702386811E-005</v>
      </c>
      <c r="AG39" s="0" t="n">
        <f aca="false">AG38+AF38</f>
        <v>0.00470826853921288</v>
      </c>
      <c r="AH39" s="0" t="n">
        <f aca="false">AC39*AE39</f>
        <v>6.10196059599735E-005</v>
      </c>
      <c r="AI39" s="0" t="n">
        <f aca="false">AI38+AH38</f>
        <v>0.00154880833092066</v>
      </c>
      <c r="AJ39" s="6" t="n">
        <f aca="false">Y39/$P$5</f>
        <v>0.176</v>
      </c>
      <c r="AK39" s="0" t="n">
        <f aca="false">SQRT(AG39^2+AI39^2)</f>
        <v>0.00495647050664795</v>
      </c>
      <c r="AL39" s="0" t="n">
        <f aca="false">$W$5*(Y39/$V$5-Z39)</f>
        <v>0.000607168340745104</v>
      </c>
      <c r="AM39" s="0" t="n">
        <f aca="false">SQRT(AK39^2+AL39^2)</f>
        <v>0.00499352113015197</v>
      </c>
      <c r="AN39" s="2" t="n">
        <f aca="false">Y39</f>
        <v>176</v>
      </c>
      <c r="AO39" s="0" t="n">
        <f aca="false">AM39/Z39</f>
        <v>0.00458888422231491</v>
      </c>
    </row>
    <row r="40" customFormat="false" ht="12.75" hidden="false" customHeight="false" outlineLevel="0" collapsed="false">
      <c r="Y40" s="0" t="n">
        <f aca="false">Y39+$X$5</f>
        <v>180</v>
      </c>
      <c r="Z40" s="0" t="n">
        <f aca="false">(Y40/$V$5)^$O$5</f>
        <v>1.0895732961778</v>
      </c>
      <c r="AA40" s="0" t="n">
        <f aca="false">$Q$5*(Y40-$V$5)</f>
        <v>0.879645943005142</v>
      </c>
      <c r="AB40" s="0" t="n">
        <f aca="false">COS(AA40)</f>
        <v>0.63742398974869</v>
      </c>
      <c r="AC40" s="0" t="n">
        <f aca="false">SIN(AA40)</f>
        <v>0.770513242775789</v>
      </c>
      <c r="AD40" s="0" t="n">
        <f aca="false">$T$5*(Z40-1)</f>
        <v>0.00380328865252573</v>
      </c>
      <c r="AE40" s="0" t="n">
        <f aca="false">2*$T$5*$U$5*Z40*$X$5/(Y40+Y41)</f>
        <v>7.9224327015375E-005</v>
      </c>
      <c r="AF40" s="0" t="n">
        <f aca="false">AB40*AE40</f>
        <v>5.04994866112952E-005</v>
      </c>
      <c r="AG40" s="0" t="n">
        <f aca="false">AG39+AF39</f>
        <v>0.00476138690945156</v>
      </c>
      <c r="AH40" s="0" t="n">
        <f aca="false">AC40*AE40</f>
        <v>6.10433931153462E-005</v>
      </c>
      <c r="AI40" s="0" t="n">
        <f aca="false">AI39+AH39</f>
        <v>0.00160982793688063</v>
      </c>
      <c r="AJ40" s="6" t="n">
        <f aca="false">Y40/$P$5</f>
        <v>0.18</v>
      </c>
      <c r="AK40" s="0" t="n">
        <f aca="false">SQRT(AG40^2+AI40^2)</f>
        <v>0.00502616665937949</v>
      </c>
      <c r="AL40" s="0" t="n">
        <f aca="false">$W$5*(Y40/$V$5-Z40)</f>
        <v>0.000625245827807554</v>
      </c>
      <c r="AM40" s="0" t="n">
        <f aca="false">SQRT(AK40^2+AL40^2)</f>
        <v>0.00506490707052447</v>
      </c>
      <c r="AN40" s="2" t="n">
        <f aca="false">Y40</f>
        <v>180</v>
      </c>
      <c r="AO40" s="0" t="n">
        <f aca="false">AM40/Z40</f>
        <v>0.00464852349841178</v>
      </c>
    </row>
    <row r="41" customFormat="false" ht="12.75" hidden="false" customHeight="false" outlineLevel="0" collapsed="false">
      <c r="Y41" s="0" t="n">
        <f aca="false">Y40+$X$5</f>
        <v>184</v>
      </c>
      <c r="Z41" s="0" t="n">
        <f aca="false">(Y41/$V$5)^$O$5</f>
        <v>1.09094002313599</v>
      </c>
      <c r="AA41" s="0" t="n">
        <f aca="false">$Q$5*(Y41-$V$5)</f>
        <v>0.90477868423386</v>
      </c>
      <c r="AB41" s="0" t="n">
        <f aca="false">COS(AA41)</f>
        <v>0.617859613090334</v>
      </c>
      <c r="AC41" s="0" t="n">
        <f aca="false">SIN(AA41)</f>
        <v>0.786288432136619</v>
      </c>
      <c r="AD41" s="0" t="n">
        <f aca="false">$T$5*(Z41-1)</f>
        <v>0.00386131997830023</v>
      </c>
      <c r="AE41" s="0" t="n">
        <f aca="false">2*$T$5*$U$5*Z41*$X$5/(Y41+Y42)</f>
        <v>7.76178174567148E-005</v>
      </c>
      <c r="AF41" s="0" t="n">
        <f aca="false">AB41*AE41</f>
        <v>4.7956914662722E-005</v>
      </c>
      <c r="AG41" s="0" t="n">
        <f aca="false">AG40+AF40</f>
        <v>0.00481188639606285</v>
      </c>
      <c r="AH41" s="0" t="n">
        <f aca="false">AC41*AE41</f>
        <v>6.10299919939066E-005</v>
      </c>
      <c r="AI41" s="0" t="n">
        <f aca="false">AI40+AH40</f>
        <v>0.00167087132999598</v>
      </c>
      <c r="AJ41" s="6" t="n">
        <f aca="false">Y41/$P$5</f>
        <v>0.184</v>
      </c>
      <c r="AK41" s="0" t="n">
        <f aca="false">SQRT(AG41^2+AI41^2)</f>
        <v>0.00509372768117979</v>
      </c>
      <c r="AL41" s="0" t="n">
        <f aca="false">$W$5*(Y41/$V$5-Z41)</f>
        <v>0.000643328621489435</v>
      </c>
      <c r="AM41" s="0" t="n">
        <f aca="false">SQRT(AK41^2+AL41^2)</f>
        <v>0.0051341925757849</v>
      </c>
      <c r="AN41" s="2" t="n">
        <f aca="false">Y41</f>
        <v>184</v>
      </c>
      <c r="AO41" s="0" t="n">
        <f aca="false">AM41/Z41</f>
        <v>0.0047062097520506</v>
      </c>
    </row>
    <row r="42" customFormat="false" ht="12.75" hidden="false" customHeight="false" outlineLevel="0" collapsed="false">
      <c r="Y42" s="0" t="n">
        <f aca="false">Y41+$X$5</f>
        <v>188</v>
      </c>
      <c r="Z42" s="0" t="n">
        <f aca="false">(Y42/$V$5)^$O$5</f>
        <v>1.09227901528052</v>
      </c>
      <c r="AA42" s="0" t="n">
        <f aca="false">$Q$5*(Y42-$V$5)</f>
        <v>0.929911425462579</v>
      </c>
      <c r="AB42" s="0" t="n">
        <f aca="false">COS(AA42)</f>
        <v>0.597904983057519</v>
      </c>
      <c r="AC42" s="0" t="n">
        <f aca="false">SIN(AA42)</f>
        <v>0.801566984870877</v>
      </c>
      <c r="AD42" s="0" t="n">
        <f aca="false">$T$5*(Z42-1)</f>
        <v>0.00391817368187528</v>
      </c>
      <c r="AE42" s="0" t="n">
        <f aca="false">2*$T$5*$U$5*Z42*$X$5/(Y42+Y43)</f>
        <v>7.60770186814689E-005</v>
      </c>
      <c r="AF42" s="0" t="n">
        <f aca="false">AB42*AE42</f>
        <v>4.54868285658102E-005</v>
      </c>
      <c r="AG42" s="0" t="n">
        <f aca="false">AG41+AF41</f>
        <v>0.00485984331072558</v>
      </c>
      <c r="AH42" s="0" t="n">
        <f aca="false">AC42*AE42</f>
        <v>6.09808264824704E-005</v>
      </c>
      <c r="AI42" s="0" t="n">
        <f aca="false">AI41+AH41</f>
        <v>0.00173190132198988</v>
      </c>
      <c r="AJ42" s="6" t="n">
        <f aca="false">Y42/$P$5</f>
        <v>0.188</v>
      </c>
      <c r="AK42" s="0" t="n">
        <f aca="false">SQRT(AG42^2+AI42^2)</f>
        <v>0.00515922079328986</v>
      </c>
      <c r="AL42" s="0" t="n">
        <f aca="false">$W$5*(Y42/$V$5-Z42)</f>
        <v>0.000661416499894733</v>
      </c>
      <c r="AM42" s="0" t="n">
        <f aca="false">SQRT(AK42^2+AL42^2)</f>
        <v>0.00520144508576678</v>
      </c>
      <c r="AN42" s="2" t="n">
        <f aca="false">Y42</f>
        <v>188</v>
      </c>
      <c r="AO42" s="0" t="n">
        <f aca="false">AM42/Z42</f>
        <v>0.00476201136614432</v>
      </c>
    </row>
    <row r="43" customFormat="false" ht="12.75" hidden="false" customHeight="false" outlineLevel="0" collapsed="false">
      <c r="Y43" s="0" t="n">
        <f aca="false">Y42+$X$5</f>
        <v>192</v>
      </c>
      <c r="Z43" s="0" t="n">
        <f aca="false">(Y43/$V$5)^$O$5</f>
        <v>1.09359140790528</v>
      </c>
      <c r="AA43" s="0" t="n">
        <f aca="false">$Q$5*(Y43-$V$5)</f>
        <v>0.955044166691297</v>
      </c>
      <c r="AB43" s="0" t="n">
        <f aca="false">COS(AA43)</f>
        <v>0.577572703422268</v>
      </c>
      <c r="AC43" s="0" t="n">
        <f aca="false">SIN(AA43)</f>
        <v>0.816339250717184</v>
      </c>
      <c r="AD43" s="0" t="n">
        <f aca="false">$T$5*(Z43-1)</f>
        <v>0.0039738979679114</v>
      </c>
      <c r="AE43" s="0" t="n">
        <f aca="false">2*$T$5*$U$5*Z43*$X$5/(Y43+Y44)</f>
        <v>7.45979435477209E-005</v>
      </c>
      <c r="AF43" s="0" t="n">
        <f aca="false">AB43*AE43</f>
        <v>4.30857359245989E-005</v>
      </c>
      <c r="AG43" s="0" t="n">
        <f aca="false">AG42+AF42</f>
        <v>0.00490533013929139</v>
      </c>
      <c r="AH43" s="0" t="n">
        <f aca="false">AC43*AE43</f>
        <v>6.08972293407893E-005</v>
      </c>
      <c r="AI43" s="0" t="n">
        <f aca="false">AI42+AH42</f>
        <v>0.00179288214847235</v>
      </c>
      <c r="AJ43" s="6" t="n">
        <f aca="false">Y43/$P$5</f>
        <v>0.192</v>
      </c>
      <c r="AK43" s="0" t="n">
        <f aca="false">SQRT(AG43^2+AI43^2)</f>
        <v>0.00522270908377552</v>
      </c>
      <c r="AL43" s="0" t="n">
        <f aca="false">$W$5*(Y43/$V$5-Z43)</f>
        <v>0.000679509254885927</v>
      </c>
      <c r="AM43" s="0" t="n">
        <f aca="false">SQRT(AK43^2+AL43^2)</f>
        <v>0.00526672792170119</v>
      </c>
      <c r="AN43" s="2" t="n">
        <f aca="false">Y43</f>
        <v>192</v>
      </c>
      <c r="AO43" s="0" t="n">
        <f aca="false">AM43/Z43</f>
        <v>0.00481599241145221</v>
      </c>
    </row>
    <row r="44" customFormat="false" ht="12.75" hidden="false" customHeight="false" outlineLevel="0" collapsed="false">
      <c r="Y44" s="0" t="n">
        <f aca="false">Y43+$X$5</f>
        <v>196</v>
      </c>
      <c r="Z44" s="0" t="n">
        <f aca="false">(Y44/$V$5)^$O$5</f>
        <v>1.09487826736384</v>
      </c>
      <c r="AA44" s="0" t="n">
        <f aca="false">$Q$5*(Y44-$V$5)</f>
        <v>0.980176907920016</v>
      </c>
      <c r="AB44" s="0" t="n">
        <f aca="false">COS(AA44)</f>
        <v>0.556875616488188</v>
      </c>
      <c r="AC44" s="0" t="n">
        <f aca="false">SIN(AA44)</f>
        <v>0.830595899195813</v>
      </c>
      <c r="AD44" s="0" t="n">
        <f aca="false">$T$5*(Z44-1)</f>
        <v>0.00402853811385849</v>
      </c>
      <c r="AE44" s="0" t="n">
        <f aca="false">2*$T$5*$U$5*Z44*$X$5/(Y44+Y45)</f>
        <v>7.31769224991685E-005</v>
      </c>
      <c r="AF44" s="0" t="n">
        <f aca="false">AB44*AE44</f>
        <v>4.07504438294328E-005</v>
      </c>
      <c r="AG44" s="0" t="n">
        <f aca="false">AG43+AF43</f>
        <v>0.00494841587521599</v>
      </c>
      <c r="AH44" s="0" t="n">
        <f aca="false">AC44*AE44</f>
        <v>6.07804517435792E-005</v>
      </c>
      <c r="AI44" s="0" t="n">
        <f aca="false">AI43+AH43</f>
        <v>0.00185377937781314</v>
      </c>
      <c r="AJ44" s="6" t="n">
        <f aca="false">Y44/$P$5</f>
        <v>0.196</v>
      </c>
      <c r="AK44" s="0" t="n">
        <f aca="false">SQRT(AG44^2+AI44^2)</f>
        <v>0.00528425185392359</v>
      </c>
      <c r="AL44" s="0" t="n">
        <f aca="false">$W$5*(Y44/$V$5-Z44)</f>
        <v>0.00069760669096457</v>
      </c>
      <c r="AM44" s="0" t="n">
        <f aca="false">SQRT(AK44^2+AL44^2)</f>
        <v>0.00533010063234958</v>
      </c>
      <c r="AN44" s="2" t="n">
        <f aca="false">Y44</f>
        <v>196</v>
      </c>
      <c r="AO44" s="0" t="n">
        <f aca="false">AM44/Z44</f>
        <v>0.00486821301621319</v>
      </c>
    </row>
    <row r="45" customFormat="false" ht="12.75" hidden="false" customHeight="false" outlineLevel="0" collapsed="false">
      <c r="Y45" s="0" t="n">
        <f aca="false">Y44+$X$5</f>
        <v>200</v>
      </c>
      <c r="Z45" s="0" t="n">
        <f aca="false">(Y45/$V$5)^$O$5</f>
        <v>1.09614059656513</v>
      </c>
      <c r="AA45" s="0" t="n">
        <f aca="false">$Q$5*(Y45-$V$5)</f>
        <v>1.00530964914873</v>
      </c>
      <c r="AB45" s="0" t="n">
        <f aca="false">COS(AA45)</f>
        <v>0.535826794978997</v>
      </c>
      <c r="AC45" s="0" t="n">
        <f aca="false">SIN(AA45)</f>
        <v>0.844327925502015</v>
      </c>
      <c r="AD45" s="0" t="n">
        <f aca="false">$T$5*(Z45-1)</f>
        <v>0.00408213670330299</v>
      </c>
      <c r="AE45" s="0" t="n">
        <f aca="false">2*$T$5*$U$5*Z45*$X$5/(Y45+Y46)</f>
        <v>7.18105724810378E-005</v>
      </c>
      <c r="AF45" s="0" t="n">
        <f aca="false">AB45*AE45</f>
        <v>3.84780288981214E-005</v>
      </c>
      <c r="AG45" s="0" t="n">
        <f aca="false">AG44+AF44</f>
        <v>0.00498916631904542</v>
      </c>
      <c r="AH45" s="0" t="n">
        <f aca="false">AC45*AE45</f>
        <v>6.06316716920268E-005</v>
      </c>
      <c r="AI45" s="0" t="n">
        <f aca="false">AI44+AH44</f>
        <v>0.00191455982955672</v>
      </c>
      <c r="AJ45" s="6" t="n">
        <f aca="false">Y45/$P$5</f>
        <v>0.2</v>
      </c>
      <c r="AK45" s="0" t="n">
        <f aca="false">SQRT(AG45^2+AI45^2)</f>
        <v>0.00534390492992245</v>
      </c>
      <c r="AL45" s="0" t="n">
        <f aca="false">$W$5*(Y45/$V$5-Z45)</f>
        <v>0.000715708624263749</v>
      </c>
      <c r="AM45" s="0" t="n">
        <f aca="false">SQRT(AK45^2+AL45^2)</f>
        <v>0.00539161930544943</v>
      </c>
      <c r="AN45" s="2" t="n">
        <f aca="false">Y45</f>
        <v>200</v>
      </c>
      <c r="AO45" s="0" t="n">
        <f aca="false">AM45/Z45</f>
        <v>0.00491872969794625</v>
      </c>
    </row>
    <row r="46" customFormat="false" ht="12.75" hidden="false" customHeight="false" outlineLevel="0" collapsed="false">
      <c r="Y46" s="0" t="n">
        <f aca="false">Y45+$X$5</f>
        <v>204</v>
      </c>
      <c r="Z46" s="0" t="n">
        <f aca="false">(Y46/$V$5)^$O$5</f>
        <v>1.09737933993082</v>
      </c>
      <c r="AA46" s="0" t="n">
        <f aca="false">$Q$5*(Y46-$V$5)</f>
        <v>1.03044239037745</v>
      </c>
      <c r="AB46" s="0" t="n">
        <f aca="false">COS(AA46)</f>
        <v>0.514439533781506</v>
      </c>
      <c r="AC46" s="0" t="n">
        <f aca="false">SIN(AA46)</f>
        <v>0.857526656193652</v>
      </c>
      <c r="AD46" s="0" t="n">
        <f aca="false">$T$5*(Z46-1)</f>
        <v>0.00413473383645696</v>
      </c>
      <c r="AE46" s="0" t="n">
        <f aca="false">2*$T$5*$U$5*Z46*$X$5/(Y46+Y47)</f>
        <v>7.04957694428612E-005</v>
      </c>
      <c r="AF46" s="0" t="n">
        <f aca="false">AB46*AE46</f>
        <v>3.62658107657541E-005</v>
      </c>
      <c r="AG46" s="0" t="n">
        <f aca="false">AG45+AF45</f>
        <v>0.00502764434794354</v>
      </c>
      <c r="AH46" s="0" t="n">
        <f aca="false">AC46*AE46</f>
        <v>6.04520014461354E-005</v>
      </c>
      <c r="AI46" s="0" t="n">
        <f aca="false">AI45+AH45</f>
        <v>0.00197519150124875</v>
      </c>
      <c r="AJ46" s="6" t="n">
        <f aca="false">Y46/$P$5</f>
        <v>0.204</v>
      </c>
      <c r="AK46" s="0" t="n">
        <f aca="false">SQRT(AG46^2+AI46^2)</f>
        <v>0.00540172094392277</v>
      </c>
      <c r="AL46" s="0" t="n">
        <f aca="false">$W$5*(Y46/$V$5-Z46)</f>
        <v>0.000733814881639235</v>
      </c>
      <c r="AM46" s="0" t="n">
        <f aca="false">SQRT(AK46^2+AL46^2)</f>
        <v>0.0054513368485656</v>
      </c>
      <c r="AN46" s="2" t="n">
        <f aca="false">Y46</f>
        <v>204</v>
      </c>
      <c r="AO46" s="0" t="n">
        <f aca="false">AM46/Z46</f>
        <v>0.00496759566196068</v>
      </c>
    </row>
    <row r="47" customFormat="false" ht="12.75" hidden="false" customHeight="false" outlineLevel="0" collapsed="false">
      <c r="Y47" s="0" t="n">
        <f aca="false">Y46+$X$5</f>
        <v>208</v>
      </c>
      <c r="Z47" s="0" t="n">
        <f aca="false">(Y47/$V$5)^$O$5</f>
        <v>1.09859538787644</v>
      </c>
      <c r="AA47" s="0" t="n">
        <f aca="false">$Q$5*(Y47-$V$5)</f>
        <v>1.05557513160617</v>
      </c>
      <c r="AB47" s="0" t="n">
        <f aca="false">COS(AA47)</f>
        <v>0.492727341548292</v>
      </c>
      <c r="AC47" s="0" t="n">
        <f aca="false">SIN(AA47)</f>
        <v>0.870183754669526</v>
      </c>
      <c r="AD47" s="0" t="n">
        <f aca="false">$T$5*(Z47-1)</f>
        <v>0.0041863673204291</v>
      </c>
      <c r="AE47" s="0" t="n">
        <f aca="false">2*$T$5*$U$5*Z47*$X$5/(Y47+Y48)</f>
        <v>6.92296239537884E-005</v>
      </c>
      <c r="AF47" s="0" t="n">
        <f aca="false">AB47*AE47</f>
        <v>3.41113285671381E-005</v>
      </c>
      <c r="AG47" s="0" t="n">
        <f aca="false">AG46+AF46</f>
        <v>0.00506391015870929</v>
      </c>
      <c r="AH47" s="0" t="n">
        <f aca="false">AC47*AE47</f>
        <v>6.02424941064669E-005</v>
      </c>
      <c r="AI47" s="0" t="n">
        <f aca="false">AI46+AH46</f>
        <v>0.00203564350269488</v>
      </c>
      <c r="AJ47" s="6" t="n">
        <f aca="false">Y47/$P$5</f>
        <v>0.208</v>
      </c>
      <c r="AK47" s="0" t="n">
        <f aca="false">SQRT(AG47^2+AI47^2)</f>
        <v>0.00545774958802097</v>
      </c>
      <c r="AL47" s="0" t="n">
        <f aca="false">$W$5*(Y47/$V$5-Z47)</f>
        <v>0.000751925299847935</v>
      </c>
      <c r="AM47" s="0" t="n">
        <f aca="false">SQRT(AK47^2+AL47^2)</f>
        <v>0.00550930324288784</v>
      </c>
      <c r="AN47" s="2" t="n">
        <f aca="false">Y47</f>
        <v>208</v>
      </c>
      <c r="AO47" s="0" t="n">
        <f aca="false">AM47/Z47</f>
        <v>0.00501486107049583</v>
      </c>
    </row>
    <row r="48" customFormat="false" ht="12.75" hidden="false" customHeight="false" outlineLevel="0" collapsed="false">
      <c r="Y48" s="0" t="n">
        <f aca="false">Y47+$X$5</f>
        <v>212</v>
      </c>
      <c r="Z48" s="0" t="n">
        <f aca="false">(Y48/$V$5)^$O$5</f>
        <v>1.0997895808704</v>
      </c>
      <c r="AA48" s="0" t="n">
        <f aca="false">$Q$5*(Y48-$V$5)</f>
        <v>1.08070787283489</v>
      </c>
      <c r="AB48" s="0" t="n">
        <f aca="false">COS(AA48)</f>
        <v>0.470703932165333</v>
      </c>
      <c r="AC48" s="0" t="n">
        <f aca="false">SIN(AA48)</f>
        <v>0.882291226434953</v>
      </c>
      <c r="AD48" s="0" t="n">
        <f aca="false">$T$5*(Z48-1)</f>
        <v>0.00423707284156818</v>
      </c>
      <c r="AE48" s="0" t="n">
        <f aca="false">2*$T$5*$U$5*Z48*$X$5/(Y48+Y49)</f>
        <v>6.80094595265192E-005</v>
      </c>
      <c r="AF48" s="0" t="n">
        <f aca="false">AB48*AE48</f>
        <v>3.20123200235716E-005</v>
      </c>
      <c r="AG48" s="0" t="n">
        <f aca="false">AG47+AF47</f>
        <v>0.00509802148727643</v>
      </c>
      <c r="AH48" s="0" t="n">
        <f aca="false">AC48*AE48</f>
        <v>6.00041494548309E-005</v>
      </c>
      <c r="AI48" s="0" t="n">
        <f aca="false">AI47+AH47</f>
        <v>0.00209588599680135</v>
      </c>
      <c r="AJ48" s="6" t="n">
        <f aca="false">Y48/$P$5</f>
        <v>0.212</v>
      </c>
      <c r="AK48" s="0" t="n">
        <f aca="false">SQRT(AG48^2+AI48^2)</f>
        <v>0.00551203784423875</v>
      </c>
      <c r="AL48" s="0" t="n">
        <f aca="false">$W$5*(Y48/$V$5-Z48)</f>
        <v>0.000770039724803748</v>
      </c>
      <c r="AM48" s="0" t="n">
        <f aca="false">SQRT(AK48^2+AL48^2)</f>
        <v>0.00556556577304554</v>
      </c>
      <c r="AN48" s="2" t="n">
        <f aca="false">Y48</f>
        <v>212</v>
      </c>
      <c r="AO48" s="0" t="n">
        <f aca="false">AM48/Z48</f>
        <v>0.00506057328588331</v>
      </c>
    </row>
    <row r="49" customFormat="false" ht="12.75" hidden="false" customHeight="false" outlineLevel="0" collapsed="false">
      <c r="Y49" s="0" t="n">
        <f aca="false">Y48+$X$5</f>
        <v>216</v>
      </c>
      <c r="Z49" s="0" t="n">
        <f aca="false">(Y49/$V$5)^$O$5</f>
        <v>1.10096271311758</v>
      </c>
      <c r="AA49" s="0" t="n">
        <f aca="false">$Q$5*(Y49-$V$5)</f>
        <v>1.10584061406361</v>
      </c>
      <c r="AB49" s="0" t="n">
        <f aca="false">COS(AA49)</f>
        <v>0.448383216090032</v>
      </c>
      <c r="AC49" s="0" t="n">
        <f aca="false">SIN(AA49)</f>
        <v>0.893841424151264</v>
      </c>
      <c r="AD49" s="0" t="n">
        <f aca="false">$T$5*(Z49-1)</f>
        <v>0.00428688412187162</v>
      </c>
      <c r="AE49" s="0" t="n">
        <f aca="false">2*$T$5*$U$5*Z49*$X$5/(Y49+Y50)</f>
        <v>6.68327933048114E-005</v>
      </c>
      <c r="AF49" s="0" t="n">
        <f aca="false">AB49*AE49</f>
        <v>2.99667028022917E-005</v>
      </c>
      <c r="AG49" s="0" t="n">
        <f aca="false">AG48+AF48</f>
        <v>0.0051300338073</v>
      </c>
      <c r="AH49" s="0" t="n">
        <f aca="false">AC49*AE49</f>
        <v>5.97379191475797E-005</v>
      </c>
      <c r="AI49" s="0" t="n">
        <f aca="false">AI48+AH48</f>
        <v>0.00215589014625618</v>
      </c>
      <c r="AJ49" s="6" t="n">
        <f aca="false">Y49/$P$5</f>
        <v>0.216</v>
      </c>
      <c r="AK49" s="0" t="n">
        <f aca="false">SQRT(AG49^2+AI49^2)</f>
        <v>0.00556463019317236</v>
      </c>
      <c r="AL49" s="0" t="n">
        <f aca="false">$W$5*(Y49/$V$5-Z49)</f>
        <v>0.000788158010902226</v>
      </c>
      <c r="AM49" s="0" t="n">
        <f aca="false">SQRT(AK49^2+AL49^2)</f>
        <v>0.00562016923561158</v>
      </c>
      <c r="AN49" s="2" t="n">
        <f aca="false">Y49</f>
        <v>216</v>
      </c>
      <c r="AO49" s="0" t="n">
        <f aca="false">AM49/Z49</f>
        <v>0.00510477709067642</v>
      </c>
    </row>
    <row r="50" customFormat="false" ht="12.75" hidden="false" customHeight="false" outlineLevel="0" collapsed="false">
      <c r="Y50" s="0" t="n">
        <f aca="false">Y49+$X$5</f>
        <v>220</v>
      </c>
      <c r="Z50" s="0" t="n">
        <f aca="false">(Y50/$V$5)^$O$5</f>
        <v>1.10211553590872</v>
      </c>
      <c r="AA50" s="0" t="n">
        <f aca="false">$Q$5*(Y50-$V$5)</f>
        <v>1.13097335529233</v>
      </c>
      <c r="AB50" s="0" t="n">
        <f aca="false">COS(AA50)</f>
        <v>0.425779291565073</v>
      </c>
      <c r="AC50" s="0" t="n">
        <f aca="false">SIN(AA50)</f>
        <v>0.90482705246602</v>
      </c>
      <c r="AD50" s="0" t="n">
        <f aca="false">$T$5*(Z50-1)</f>
        <v>0.00433583306119846</v>
      </c>
      <c r="AE50" s="0" t="n">
        <f aca="false">2*$T$5*$U$5*Z50*$X$5/(Y50+Y51)</f>
        <v>6.56973188188952E-005</v>
      </c>
      <c r="AF50" s="0" t="n">
        <f aca="false">AB50*AE50</f>
        <v>2.79725578644339E-005</v>
      </c>
      <c r="AG50" s="0" t="n">
        <f aca="false">AG49+AF49</f>
        <v>0.00516000051010229</v>
      </c>
      <c r="AH50" s="0" t="n">
        <f aca="false">AC50*AE50</f>
        <v>5.94447113418213E-005</v>
      </c>
      <c r="AI50" s="0" t="n">
        <f aca="false">AI49+AH49</f>
        <v>0.00221562806540376</v>
      </c>
      <c r="AJ50" s="6" t="n">
        <f aca="false">Y50/$P$5</f>
        <v>0.22</v>
      </c>
      <c r="AK50" s="0" t="n">
        <f aca="false">SQRT(AG50^2+AI50^2)</f>
        <v>0.00561556880364409</v>
      </c>
      <c r="AL50" s="0" t="n">
        <f aca="false">$W$5*(Y50/$V$5-Z50)</f>
        <v>0.000806280020406529</v>
      </c>
      <c r="AM50" s="0" t="n">
        <f aca="false">SQRT(AK50^2+AL50^2)</f>
        <v>0.00567315612862607</v>
      </c>
      <c r="AN50" s="2" t="n">
        <f aca="false">Y50</f>
        <v>220</v>
      </c>
      <c r="AO50" s="0" t="n">
        <f aca="false">AM50/Z50</f>
        <v>0.00514751488731027</v>
      </c>
    </row>
    <row r="51" customFormat="false" ht="12.75" hidden="false" customHeight="false" outlineLevel="0" collapsed="false">
      <c r="Y51" s="0" t="n">
        <f aca="false">Y50+$X$5</f>
        <v>224</v>
      </c>
      <c r="Z51" s="0" t="n">
        <f aca="false">(Y51/$V$5)^$O$5</f>
        <v>1.10324876067121</v>
      </c>
      <c r="AA51" s="0" t="n">
        <f aca="false">$Q$5*(Y51-$V$5)</f>
        <v>1.15610609652104</v>
      </c>
      <c r="AB51" s="0" t="n">
        <f aca="false">COS(AA51)</f>
        <v>0.402906435713663</v>
      </c>
      <c r="AC51" s="0" t="n">
        <f aca="false">SIN(AA51)</f>
        <v>0.915241172620918</v>
      </c>
      <c r="AD51" s="0" t="n">
        <f aca="false">$T$5*(Z51-1)</f>
        <v>0.00438394986680764</v>
      </c>
      <c r="AE51" s="0" t="n">
        <f aca="false">2*$T$5*$U$5*Z51*$X$5/(Y51+Y52)</f>
        <v>6.46008905546927E-005</v>
      </c>
      <c r="AF51" s="0" t="n">
        <f aca="false">AB51*AE51</f>
        <v>2.60281145573197E-005</v>
      </c>
      <c r="AG51" s="0" t="n">
        <f aca="false">AG50+AF50</f>
        <v>0.00518797306796673</v>
      </c>
      <c r="AH51" s="0" t="n">
        <f aca="false">AC51*AE51</f>
        <v>5.91253948236325E-005</v>
      </c>
      <c r="AI51" s="0" t="n">
        <f aca="false">AI50+AH50</f>
        <v>0.00227507277674558</v>
      </c>
      <c r="AJ51" s="6" t="n">
        <f aca="false">Y51/$P$5</f>
        <v>0.224</v>
      </c>
      <c r="AK51" s="0" t="n">
        <f aca="false">SQRT(AG51^2+AI51^2)</f>
        <v>0.00566489370539615</v>
      </c>
      <c r="AL51" s="0" t="n">
        <f aca="false">$W$5*(Y51/$V$5-Z51)</f>
        <v>0.000824405622888106</v>
      </c>
      <c r="AM51" s="0" t="n">
        <f aca="false">SQRT(AK51^2+AL51^2)</f>
        <v>0.00572456682417862</v>
      </c>
      <c r="AN51" s="2" t="n">
        <f aca="false">Y51</f>
        <v>224</v>
      </c>
      <c r="AO51" s="0" t="n">
        <f aca="false">AM51/Z51</f>
        <v>0.00518882687952969</v>
      </c>
    </row>
    <row r="52" customFormat="false" ht="12.75" hidden="false" customHeight="false" outlineLevel="0" collapsed="false">
      <c r="Y52" s="0" t="n">
        <f aca="false">Y51+$X$5</f>
        <v>228</v>
      </c>
      <c r="Z52" s="0" t="n">
        <f aca="false">(Y52/$V$5)^$O$5</f>
        <v>1.10436306175287</v>
      </c>
      <c r="AA52" s="0" t="n">
        <f aca="false">$Q$5*(Y52-$V$5)</f>
        <v>1.18123883774976</v>
      </c>
      <c r="AB52" s="0" t="n">
        <f aca="false">COS(AA52)</f>
        <v>0.379779095521801</v>
      </c>
      <c r="AC52" s="0" t="n">
        <f aca="false">SIN(AA52)</f>
        <v>0.925077206834458</v>
      </c>
      <c r="AD52" s="0" t="n">
        <f aca="false">$T$5*(Z52-1)</f>
        <v>0.00443126317155581</v>
      </c>
      <c r="AE52" s="0" t="n">
        <f aca="false">2*$T$5*$U$5*Z52*$X$5/(Y52+Y53)</f>
        <v>6.35415101178384E-005</v>
      </c>
      <c r="AF52" s="0" t="n">
        <f aca="false">AB52*AE52</f>
        <v>2.4131737240642E-005</v>
      </c>
      <c r="AG52" s="0" t="n">
        <f aca="false">AG51+AF51</f>
        <v>0.00521400118252405</v>
      </c>
      <c r="AH52" s="0" t="n">
        <f aca="false">AC52*AE52</f>
        <v>5.87808026978534E-005</v>
      </c>
      <c r="AI52" s="0" t="n">
        <f aca="false">AI51+AH51</f>
        <v>0.00233419817156922</v>
      </c>
      <c r="AJ52" s="6" t="n">
        <f aca="false">Y52/$P$5</f>
        <v>0.228</v>
      </c>
      <c r="AK52" s="0" t="n">
        <f aca="false">SQRT(AG52^2+AI52^2)</f>
        <v>0.0057126429466158</v>
      </c>
      <c r="AL52" s="0" t="n">
        <f aca="false">$W$5*(Y52/$V$5-Z52)</f>
        <v>0.000842534694716342</v>
      </c>
      <c r="AM52" s="0" t="n">
        <f aca="false">SQRT(AK52^2+AL52^2)</f>
        <v>0.00577443972583661</v>
      </c>
      <c r="AN52" s="2" t="n">
        <f aca="false">Y52</f>
        <v>228</v>
      </c>
      <c r="AO52" s="0" t="n">
        <f aca="false">AM52/Z52</f>
        <v>0.00522875123754256</v>
      </c>
    </row>
    <row r="53" customFormat="false" ht="12.75" hidden="false" customHeight="false" outlineLevel="0" collapsed="false">
      <c r="Y53" s="0" t="n">
        <f aca="false">Y52+$X$5</f>
        <v>232</v>
      </c>
      <c r="Z53" s="0" t="n">
        <f aca="false">(Y53/$V$5)^$O$5</f>
        <v>1.10545907896617</v>
      </c>
      <c r="AA53" s="0" t="n">
        <f aca="false">$Q$5*(Y53-$V$5)</f>
        <v>1.20637157897848</v>
      </c>
      <c r="AB53" s="0" t="n">
        <f aca="false">COS(AA53)</f>
        <v>0.356411878713251</v>
      </c>
      <c r="AC53" s="0" t="n">
        <f aca="false">SIN(AA53)</f>
        <v>0.934328942456612</v>
      </c>
      <c r="AD53" s="0" t="n">
        <f aca="false">$T$5*(Z53-1)</f>
        <v>0.00447780014192765</v>
      </c>
      <c r="AE53" s="0" t="n">
        <f aca="false">2*$T$5*$U$5*Z53*$X$5/(Y53+Y54)</f>
        <v>6.25173138032318E-005</v>
      </c>
      <c r="AF53" s="0" t="n">
        <f aca="false">AB53*AE53</f>
        <v>2.22819132647157E-005</v>
      </c>
      <c r="AG53" s="0" t="n">
        <f aca="false">AG52+AF52</f>
        <v>0.00523813291976469</v>
      </c>
      <c r="AH53" s="0" t="n">
        <f aca="false">AC53*AE53</f>
        <v>5.84117356910017E-005</v>
      </c>
      <c r="AI53" s="0" t="n">
        <f aca="false">AI52+AH52</f>
        <v>0.00239297897426707</v>
      </c>
      <c r="AJ53" s="6" t="n">
        <f aca="false">Y53/$P$5</f>
        <v>0.232</v>
      </c>
      <c r="AK53" s="0" t="n">
        <f aca="false">SQRT(AG53^2+AI53^2)</f>
        <v>0.00575885273786427</v>
      </c>
      <c r="AL53" s="0" t="n">
        <f aca="false">$W$5*(Y53/$V$5-Z53)</f>
        <v>0.000860667118592107</v>
      </c>
      <c r="AM53" s="0" t="n">
        <f aca="false">SQRT(AK53^2+AL53^2)</f>
        <v>0.00582281141249074</v>
      </c>
      <c r="AN53" s="2" t="n">
        <f aca="false">Y53</f>
        <v>232</v>
      </c>
      <c r="AO53" s="0" t="n">
        <f aca="false">AM53/Z53</f>
        <v>0.00526732424861555</v>
      </c>
    </row>
    <row r="54" customFormat="false" ht="12.75" hidden="false" customHeight="false" outlineLevel="0" collapsed="false">
      <c r="Y54" s="0" t="n">
        <f aca="false">Y53+$X$5</f>
        <v>236</v>
      </c>
      <c r="Z54" s="0" t="n">
        <f aca="false">(Y54/$V$5)^$O$5</f>
        <v>1.10653741991746</v>
      </c>
      <c r="AA54" s="0" t="n">
        <f aca="false">$Q$5*(Y54-$V$5)</f>
        <v>1.2315043202072</v>
      </c>
      <c r="AB54" s="0" t="n">
        <f aca="false">COS(AA54)</f>
        <v>0.332819544522987</v>
      </c>
      <c r="AC54" s="0" t="n">
        <f aca="false">SIN(AA54)</f>
        <v>0.942990535892864</v>
      </c>
      <c r="AD54" s="0" t="n">
        <f aca="false">$T$5*(Z54-1)</f>
        <v>0.00452358657693213</v>
      </c>
      <c r="AE54" s="0" t="n">
        <f aca="false">2*$T$5*$U$5*Z54*$X$5/(Y54+Y55)</f>
        <v>6.15265614061196E-005</v>
      </c>
      <c r="AF54" s="0" t="n">
        <f aca="false">AB54*AE54</f>
        <v>2.04772421432503E-005</v>
      </c>
      <c r="AG54" s="0" t="n">
        <f aca="false">AG53+AF53</f>
        <v>0.0052604148330294</v>
      </c>
      <c r="AH54" s="0" t="n">
        <f aca="false">AC54*AE54</f>
        <v>5.8018965112002E-005</v>
      </c>
      <c r="AI54" s="0" t="n">
        <f aca="false">AI53+AH53</f>
        <v>0.00245139070995807</v>
      </c>
      <c r="AJ54" s="6" t="n">
        <f aca="false">Y54/$P$5</f>
        <v>0.236</v>
      </c>
      <c r="AK54" s="0" t="n">
        <f aca="false">SQRT(AG54^2+AI54^2)</f>
        <v>0.005803557583795</v>
      </c>
      <c r="AL54" s="0" t="n">
        <f aca="false">$W$5*(Y54/$V$5-Z54)</f>
        <v>0.00087880278312074</v>
      </c>
      <c r="AM54" s="0" t="n">
        <f aca="false">SQRT(AK54^2+AL54^2)</f>
        <v>0.00586971677000222</v>
      </c>
      <c r="AN54" s="2" t="n">
        <f aca="false">Y54</f>
        <v>236</v>
      </c>
      <c r="AO54" s="0" t="n">
        <f aca="false">AM54/Z54</f>
        <v>0.00530458045462218</v>
      </c>
    </row>
    <row r="55" customFormat="false" ht="12.75" hidden="false" customHeight="false" outlineLevel="0" collapsed="false">
      <c r="Y55" s="0" t="n">
        <f aca="false">Y54+$X$5</f>
        <v>240</v>
      </c>
      <c r="Z55" s="0" t="n">
        <f aca="false">(Y55/$V$5)^$O$5</f>
        <v>1.10759866214245</v>
      </c>
      <c r="AA55" s="0" t="n">
        <f aca="false">$Q$5*(Y55-$V$5)</f>
        <v>1.25663706143592</v>
      </c>
      <c r="AB55" s="0" t="n">
        <f aca="false">COS(AA55)</f>
        <v>0.309016994374947</v>
      </c>
      <c r="AC55" s="0" t="n">
        <f aca="false">SIN(AA55)</f>
        <v>0.951056516295154</v>
      </c>
      <c r="AD55" s="0" t="n">
        <f aca="false">$T$5*(Z55-1)</f>
        <v>0.00456864699877788</v>
      </c>
      <c r="AE55" s="0" t="n">
        <f aca="false">2*$T$5*$U$5*Z55*$X$5/(Y55+Y56)</f>
        <v>6.05676261322353E-005</v>
      </c>
      <c r="AF55" s="0" t="n">
        <f aca="false">AB55*AE55</f>
        <v>1.87164257838089E-005</v>
      </c>
      <c r="AG55" s="0" t="n">
        <f aca="false">AG54+AF54</f>
        <v>0.00528089207517265</v>
      </c>
      <c r="AH55" s="0" t="n">
        <f aca="false">AC55*AE55</f>
        <v>5.7603235509591E-005</v>
      </c>
      <c r="AI55" s="0" t="n">
        <f aca="false">AI54+AH54</f>
        <v>0.00250940967507007</v>
      </c>
      <c r="AJ55" s="6" t="n">
        <f aca="false">Y55/$P$5</f>
        <v>0.24</v>
      </c>
      <c r="AK55" s="0" t="n">
        <f aca="false">SQRT(AG55^2+AI55^2)</f>
        <v>0.00584679040388457</v>
      </c>
      <c r="AL55" s="0" t="n">
        <f aca="false">$W$5*(Y55/$V$5-Z55)</f>
        <v>0.000896941582420533</v>
      </c>
      <c r="AM55" s="0" t="n">
        <f aca="false">SQRT(AK55^2+AL55^2)</f>
        <v>0.00591518911187391</v>
      </c>
      <c r="AN55" s="2" t="n">
        <f aca="false">Y55</f>
        <v>240</v>
      </c>
      <c r="AO55" s="0" t="n">
        <f aca="false">AM55/Z55</f>
        <v>0.00534055277787357</v>
      </c>
    </row>
    <row r="56" customFormat="false" ht="12.75" hidden="false" customHeight="false" outlineLevel="0" collapsed="false">
      <c r="Y56" s="0" t="n">
        <f aca="false">Y55+$X$5</f>
        <v>244</v>
      </c>
      <c r="Z56" s="0" t="n">
        <f aca="false">(Y56/$V$5)^$O$5</f>
        <v>1.10864335506721</v>
      </c>
      <c r="AA56" s="0" t="n">
        <f aca="false">$Q$5*(Y56-$V$5)</f>
        <v>1.28176980266464</v>
      </c>
      <c r="AB56" s="0" t="n">
        <f aca="false">COS(AA56)</f>
        <v>0.285019262469976</v>
      </c>
      <c r="AC56" s="0" t="n">
        <f aca="false">SIN(AA56)</f>
        <v>0.958521789017376</v>
      </c>
      <c r="AD56" s="0" t="n">
        <f aca="false">$T$5*(Z56-1)</f>
        <v>0.00461300473613551</v>
      </c>
      <c r="AE56" s="0" t="n">
        <f aca="false">2*$T$5*$U$5*Z56*$X$5/(Y56+Y57)</f>
        <v>5.96389854829226E-005</v>
      </c>
      <c r="AF56" s="0" t="n">
        <f aca="false">AB56*AE56</f>
        <v>1.69982596568002E-005</v>
      </c>
      <c r="AG56" s="0" t="n">
        <f aca="false">AG55+AF55</f>
        <v>0.00529960850095646</v>
      </c>
      <c r="AH56" s="0" t="n">
        <f aca="false">AC56*AE56</f>
        <v>5.71652670602723E-005</v>
      </c>
      <c r="AI56" s="0" t="n">
        <f aca="false">AI55+AH55</f>
        <v>0.00256701291057966</v>
      </c>
      <c r="AJ56" s="6" t="n">
        <f aca="false">Y56/$P$5</f>
        <v>0.244</v>
      </c>
      <c r="AK56" s="0" t="n">
        <f aca="false">SQRT(AG56^2+AI56^2)</f>
        <v>0.00588858264325913</v>
      </c>
      <c r="AL56" s="0" t="n">
        <f aca="false">$W$5*(Y56/$V$5-Z56)</f>
        <v>0.000915083415763225</v>
      </c>
      <c r="AM56" s="0" t="n">
        <f aca="false">SQRT(AK56^2+AL56^2)</f>
        <v>0.00595926029002741</v>
      </c>
      <c r="AN56" s="2" t="n">
        <f aca="false">Y56</f>
        <v>244</v>
      </c>
      <c r="AO56" s="0" t="n">
        <f aca="false">AM56/Z56</f>
        <v>0.00537527263640716</v>
      </c>
    </row>
    <row r="57" customFormat="false" ht="12.75" hidden="false" customHeight="false" outlineLevel="0" collapsed="false">
      <c r="Y57" s="0" t="n">
        <f aca="false">Y56+$X$5</f>
        <v>248</v>
      </c>
      <c r="Z57" s="0" t="n">
        <f aca="false">(Y57/$V$5)^$O$5</f>
        <v>1.1096720218114</v>
      </c>
      <c r="AA57" s="0" t="n">
        <f aca="false">$Q$5*(Y57-$V$5)</f>
        <v>1.30690254389335</v>
      </c>
      <c r="AB57" s="0" t="n">
        <f aca="false">COS(AA57)</f>
        <v>0.260841506289897</v>
      </c>
      <c r="AC57" s="0" t="n">
        <f aca="false">SIN(AA57)</f>
        <v>0.965381638833274</v>
      </c>
      <c r="AD57" s="0" t="n">
        <f aca="false">$T$5*(Z57-1)</f>
        <v>0.00465668200070385</v>
      </c>
      <c r="AE57" s="0" t="n">
        <f aca="false">2*$T$5*$U$5*Z57*$X$5/(Y57+Y58)</f>
        <v>5.87392130069402E-005</v>
      </c>
      <c r="AF57" s="0" t="n">
        <f aca="false">AB57*AE57</f>
        <v>1.53216247990134E-005</v>
      </c>
      <c r="AG57" s="0" t="n">
        <f aca="false">AG56+AF56</f>
        <v>0.00531660676061326</v>
      </c>
      <c r="AH57" s="0" t="n">
        <f aca="false">AC57*AE57</f>
        <v>5.67057577164167E-005</v>
      </c>
      <c r="AI57" s="0" t="n">
        <f aca="false">AI56+AH56</f>
        <v>0.00262417817763994</v>
      </c>
      <c r="AJ57" s="6" t="n">
        <f aca="false">Y57/$P$5</f>
        <v>0.248</v>
      </c>
      <c r="AK57" s="0" t="n">
        <f aca="false">SQRT(AG57^2+AI57^2)</f>
        <v>0.00592896437457675</v>
      </c>
      <c r="AL57" s="0" t="n">
        <f aca="false">$W$5*(Y57/$V$5-Z57)</f>
        <v>0.000933228187243402</v>
      </c>
      <c r="AM57" s="0" t="n">
        <f aca="false">SQRT(AK57^2+AL57^2)</f>
        <v>0.0060019607966452</v>
      </c>
      <c r="AN57" s="2" t="n">
        <f aca="false">Y57</f>
        <v>248</v>
      </c>
      <c r="AO57" s="0" t="n">
        <f aca="false">AM57/Z57</f>
        <v>0.00540877004977357</v>
      </c>
    </row>
    <row r="58" customFormat="false" ht="12.75" hidden="false" customHeight="false" outlineLevel="0" collapsed="false">
      <c r="Y58" s="0" t="n">
        <f aca="false">Y57+$X$5</f>
        <v>252</v>
      </c>
      <c r="Z58" s="0" t="n">
        <f aca="false">(Y58/$V$5)^$O$5</f>
        <v>1.11068516084884</v>
      </c>
      <c r="AA58" s="0" t="n">
        <f aca="false">$Q$5*(Y58-$V$5)</f>
        <v>1.33203528512207</v>
      </c>
      <c r="AB58" s="0" t="n">
        <f aca="false">COS(AA58)</f>
        <v>0.236498997023725</v>
      </c>
      <c r="AC58" s="0" t="n">
        <f aca="false">SIN(AA58)</f>
        <v>0.971631732914674</v>
      </c>
      <c r="AD58" s="0" t="n">
        <f aca="false">$T$5*(Z58-1)</f>
        <v>0.00469969995771707</v>
      </c>
      <c r="AE58" s="0" t="n">
        <f aca="false">2*$T$5*$U$5*Z58*$X$5/(Y58+Y59)</f>
        <v>5.78669708241882E-005</v>
      </c>
      <c r="AF58" s="0" t="n">
        <f aca="false">AB58*AE58</f>
        <v>1.36854805607216E-005</v>
      </c>
      <c r="AG58" s="0" t="n">
        <f aca="false">AG57+AF57</f>
        <v>0.00533192838541228</v>
      </c>
      <c r="AH58" s="0" t="n">
        <f aca="false">AC58*AE58</f>
        <v>5.62253851404288E-005</v>
      </c>
      <c r="AI58" s="0" t="n">
        <f aca="false">AI57+AH57</f>
        <v>0.00268088393535635</v>
      </c>
      <c r="AJ58" s="6" t="n">
        <f aca="false">Y58/$P$5</f>
        <v>0.252</v>
      </c>
      <c r="AK58" s="0" t="n">
        <f aca="false">SQRT(AG58^2+AI58^2)</f>
        <v>0.00596796439181878</v>
      </c>
      <c r="AL58" s="0" t="n">
        <f aca="false">$W$5*(Y58/$V$5-Z58)</f>
        <v>0.000951375805474061</v>
      </c>
      <c r="AM58" s="0" t="n">
        <f aca="false">SQRT(AK58^2+AL58^2)</f>
        <v>0.0060433198579306</v>
      </c>
      <c r="AN58" s="2" t="n">
        <f aca="false">Y58</f>
        <v>252</v>
      </c>
      <c r="AO58" s="0" t="n">
        <f aca="false">AM58/Z58</f>
        <v>0.00544107373624404</v>
      </c>
    </row>
    <row r="59" customFormat="false" ht="12.75" hidden="false" customHeight="false" outlineLevel="0" collapsed="false">
      <c r="Y59" s="0" t="n">
        <f aca="false">Y58+$X$5</f>
        <v>256</v>
      </c>
      <c r="Z59" s="0" t="n">
        <f aca="false">(Y59/$V$5)^$O$5</f>
        <v>1.11168324753869</v>
      </c>
      <c r="AA59" s="0" t="n">
        <f aca="false">$Q$5*(Y59-$V$5)</f>
        <v>1.35716802635079</v>
      </c>
      <c r="AB59" s="0" t="n">
        <f aca="false">COS(AA59)</f>
        <v>0.212007109922055</v>
      </c>
      <c r="AC59" s="0" t="n">
        <f aca="false">SIN(AA59)</f>
        <v>0.977268123568194</v>
      </c>
      <c r="AD59" s="0" t="n">
        <f aca="false">$T$5*(Z59-1)</f>
        <v>0.00474207879096028</v>
      </c>
      <c r="AE59" s="0" t="n">
        <f aca="false">2*$T$5*$U$5*Z59*$X$5/(Y59+Y60)</f>
        <v>5.70210028382677E-005</v>
      </c>
      <c r="AF59" s="0" t="n">
        <f aca="false">AB59*AE59</f>
        <v>1.20888580165984E-005</v>
      </c>
      <c r="AG59" s="0" t="n">
        <f aca="false">AG58+AF58</f>
        <v>0.005345613865973</v>
      </c>
      <c r="AH59" s="0" t="n">
        <f aca="false">AC59*AE59</f>
        <v>5.57248084477305E-005</v>
      </c>
      <c r="AI59" s="0" t="n">
        <f aca="false">AI58+AH58</f>
        <v>0.00273710932049678</v>
      </c>
      <c r="AJ59" s="6" t="n">
        <f aca="false">Y59/$P$5</f>
        <v>0.256</v>
      </c>
      <c r="AK59" s="0" t="n">
        <f aca="false">SQRT(AG59^2+AI59^2)</f>
        <v>0.00600561029675029</v>
      </c>
      <c r="AL59" s="0" t="n">
        <f aca="false">$W$5*(Y59/$V$5-Z59)</f>
        <v>0.00096952618330589</v>
      </c>
      <c r="AM59" s="0" t="n">
        <f aca="false">SQRT(AK59^2+AL59^2)</f>
        <v>0.00608336552054443</v>
      </c>
      <c r="AN59" s="2" t="n">
        <f aca="false">Y59</f>
        <v>256</v>
      </c>
      <c r="AO59" s="0" t="n">
        <f aca="false">AM59/Z59</f>
        <v>0.00547221120225858</v>
      </c>
    </row>
    <row r="60" customFormat="false" ht="12.75" hidden="false" customHeight="false" outlineLevel="0" collapsed="false">
      <c r="Y60" s="0" t="n">
        <f aca="false">Y59+$X$5</f>
        <v>260</v>
      </c>
      <c r="Z60" s="0" t="n">
        <f aca="false">(Y60/$V$5)^$O$5</f>
        <v>1.11266673553931</v>
      </c>
      <c r="AA60" s="0" t="n">
        <f aca="false">$Q$5*(Y60-$V$5)</f>
        <v>1.38230076757951</v>
      </c>
      <c r="AB60" s="0" t="n">
        <f aca="false">COS(AA60)</f>
        <v>0.187381314585725</v>
      </c>
      <c r="AC60" s="0" t="n">
        <f aca="false">SIN(AA60)</f>
        <v>0.982287250728689</v>
      </c>
      <c r="AD60" s="0" t="n">
        <f aca="false">$T$5*(Z60-1)</f>
        <v>0.00478383776279974</v>
      </c>
      <c r="AE60" s="0" t="n">
        <f aca="false">2*$T$5*$U$5*Z60*$X$5/(Y60+Y61)</f>
        <v>5.62001285648613E-005</v>
      </c>
      <c r="AF60" s="0" t="n">
        <f aca="false">AB60*AE60</f>
        <v>1.05308539703704E-005</v>
      </c>
      <c r="AG60" s="0" t="n">
        <f aca="false">AG59+AF59</f>
        <v>0.0053577027239896</v>
      </c>
      <c r="AH60" s="0" t="n">
        <f aca="false">AC60*AE60</f>
        <v>5.52046697785764E-005</v>
      </c>
      <c r="AI60" s="0" t="n">
        <f aca="false">AI59+AH59</f>
        <v>0.00279283412894451</v>
      </c>
      <c r="AJ60" s="6" t="n">
        <f aca="false">Y60/$P$5</f>
        <v>0.26</v>
      </c>
      <c r="AK60" s="0" t="n">
        <f aca="false">SQRT(AG60^2+AI60^2)</f>
        <v>0.00604192857872739</v>
      </c>
      <c r="AL60" s="0" t="n">
        <f aca="false">$W$5*(Y60/$V$5-Z60)</f>
        <v>0.000987679237568069</v>
      </c>
      <c r="AM60" s="0" t="n">
        <f aca="false">SQRT(AK60^2+AL60^2)</f>
        <v>0.00612212473139562</v>
      </c>
      <c r="AN60" s="2" t="n">
        <f aca="false">Y60</f>
        <v>260</v>
      </c>
      <c r="AO60" s="0" t="n">
        <f aca="false">AM60/Z60</f>
        <v>0.00550220882484475</v>
      </c>
    </row>
    <row r="61" customFormat="false" ht="12.75" hidden="false" customHeight="false" outlineLevel="0" collapsed="false">
      <c r="Y61" s="0" t="n">
        <f aca="false">Y60+$X$5</f>
        <v>264</v>
      </c>
      <c r="Z61" s="0" t="n">
        <f aca="false">(Y61/$V$5)^$O$5</f>
        <v>1.11363605811527</v>
      </c>
      <c r="AA61" s="0" t="n">
        <f aca="false">$Q$5*(Y61-$V$5)</f>
        <v>1.40743350880823</v>
      </c>
      <c r="AB61" s="0" t="n">
        <f aca="false">COS(AA61)</f>
        <v>0.162637165194884</v>
      </c>
      <c r="AC61" s="0" t="n">
        <f aca="false">SIN(AA61)</f>
        <v>0.986685944207868</v>
      </c>
      <c r="AD61" s="0" t="n">
        <f aca="false">$T$5*(Z61-1)</f>
        <v>0.00482499526968031</v>
      </c>
      <c r="AE61" s="0" t="n">
        <f aca="false">2*$T$5*$U$5*Z61*$X$5/(Y61+Y62)</f>
        <v>5.5403237511639E-005</v>
      </c>
      <c r="AF61" s="0" t="n">
        <f aca="false">AB61*AE61</f>
        <v>9.0106254915118E-006</v>
      </c>
      <c r="AG61" s="0" t="n">
        <f aca="false">AG60+AF60</f>
        <v>0.00536823357795997</v>
      </c>
      <c r="AH61" s="0" t="n">
        <f aca="false">AC61*AE61</f>
        <v>5.46655957163443E-005</v>
      </c>
      <c r="AI61" s="0" t="n">
        <f aca="false">AI60+AH60</f>
        <v>0.00284803879872309</v>
      </c>
      <c r="AJ61" s="6" t="n">
        <f aca="false">Y61/$P$5</f>
        <v>0.264</v>
      </c>
      <c r="AK61" s="0" t="n">
        <f aca="false">SQRT(AG61^2+AI61^2)</f>
        <v>0.00607694468845726</v>
      </c>
      <c r="AL61" s="0" t="n">
        <f aca="false">$W$5*(Y61/$V$5-Z61)</f>
        <v>0.00100583488882864</v>
      </c>
      <c r="AM61" s="0" t="n">
        <f aca="false">SQRT(AK61^2+AL61^2)</f>
        <v>0.00615962341139082</v>
      </c>
      <c r="AN61" s="2" t="n">
        <f aca="false">Y61</f>
        <v>264</v>
      </c>
      <c r="AO61" s="0" t="n">
        <f aca="false">AM61/Z61</f>
        <v>0.00553109192765854</v>
      </c>
    </row>
    <row r="62" customFormat="false" ht="12.75" hidden="false" customHeight="false" outlineLevel="0" collapsed="false">
      <c r="Y62" s="0" t="n">
        <f aca="false">Y61+$X$5</f>
        <v>268</v>
      </c>
      <c r="Z62" s="0" t="n">
        <f aca="false">(Y62/$V$5)^$O$5</f>
        <v>1.11459162934718</v>
      </c>
      <c r="AA62" s="0" t="n">
        <f aca="false">$Q$5*(Y62-$V$5)</f>
        <v>1.43256625003695</v>
      </c>
      <c r="AB62" s="0" t="n">
        <f aca="false">COS(AA62)</f>
        <v>0.137790290684638</v>
      </c>
      <c r="AC62" s="0" t="n">
        <f aca="false">SIN(AA62)</f>
        <v>0.990461425696651</v>
      </c>
      <c r="AD62" s="0" t="n">
        <f aca="false">$T$5*(Z62-1)</f>
        <v>0.00486556889349551</v>
      </c>
      <c r="AE62" s="0" t="n">
        <f aca="false">2*$T$5*$U$5*Z62*$X$5/(Y62+Y63)</f>
        <v>5.46292840529652E-005</v>
      </c>
      <c r="AF62" s="0" t="n">
        <f aca="false">AB62*AE62</f>
        <v>7.52738492955173E-006</v>
      </c>
      <c r="AG62" s="0" t="n">
        <f aca="false">AG61+AF61</f>
        <v>0.00537724420345148</v>
      </c>
      <c r="AH62" s="0" t="n">
        <f aca="false">AC62*AE62</f>
        <v>5.41081985678872E-005</v>
      </c>
      <c r="AI62" s="0" t="n">
        <f aca="false">AI61+AH61</f>
        <v>0.00290270439443943</v>
      </c>
      <c r="AJ62" s="6" t="n">
        <f aca="false">Y62/$P$5</f>
        <v>0.268</v>
      </c>
      <c r="AK62" s="0" t="n">
        <f aca="false">SQRT(AG62^2+AI62^2)</f>
        <v>0.00611068310625339</v>
      </c>
      <c r="AL62" s="0" t="n">
        <f aca="false">$W$5*(Y62/$V$5-Z62)</f>
        <v>0.00102399306117271</v>
      </c>
      <c r="AM62" s="0" t="n">
        <f aca="false">SQRT(AK62^2+AL62^2)</f>
        <v>0.00619588652368492</v>
      </c>
      <c r="AN62" s="2" t="n">
        <f aca="false">Y62</f>
        <v>268</v>
      </c>
      <c r="AO62" s="0" t="n">
        <f aca="false">AM62/Z62</f>
        <v>0.00555888485122923</v>
      </c>
    </row>
    <row r="63" customFormat="false" ht="12.75" hidden="false" customHeight="false" outlineLevel="0" collapsed="false">
      <c r="Y63" s="0" t="n">
        <f aca="false">Y62+$X$5</f>
        <v>272</v>
      </c>
      <c r="Z63" s="0" t="n">
        <f aca="false">(Y63/$V$5)^$O$5</f>
        <v>1.11553384525294</v>
      </c>
      <c r="AA63" s="0" t="n">
        <f aca="false">$Q$5*(Y63-$V$5)</f>
        <v>1.45769899126566</v>
      </c>
      <c r="AB63" s="0" t="n">
        <f aca="false">COS(AA63)</f>
        <v>0.112856384873482</v>
      </c>
      <c r="AC63" s="0" t="n">
        <f aca="false">SIN(AA63)</f>
        <v>0.993611310520008</v>
      </c>
      <c r="AD63" s="0" t="n">
        <f aca="false">$T$5*(Z63-1)</f>
        <v>0.00490557544919383</v>
      </c>
      <c r="AE63" s="0" t="n">
        <f aca="false">2*$T$5*$U$5*Z63*$X$5/(Y63+Y64)</f>
        <v>5.38772827492537E-005</v>
      </c>
      <c r="AF63" s="0" t="n">
        <f aca="false">AB63*AE63</f>
        <v>6.08039535788716E-006</v>
      </c>
      <c r="AG63" s="0" t="n">
        <f aca="false">AG62+AF62</f>
        <v>0.00538477158838103</v>
      </c>
      <c r="AH63" s="0" t="n">
        <f aca="false">AC63*AE63</f>
        <v>5.3533077519743E-005</v>
      </c>
      <c r="AI63" s="0" t="n">
        <f aca="false">AI62+AH62</f>
        <v>0.00295681259300732</v>
      </c>
      <c r="AJ63" s="6" t="n">
        <f aca="false">Y63/$P$5</f>
        <v>0.272</v>
      </c>
      <c r="AK63" s="0" t="n">
        <f aca="false">SQRT(AG63^2+AI63^2)</f>
        <v>0.00614316740527248</v>
      </c>
      <c r="AL63" s="0" t="n">
        <f aca="false">$W$5*(Y63/$V$5-Z63)</f>
        <v>0.0010421536819969</v>
      </c>
      <c r="AM63" s="0" t="n">
        <f aca="false">SQRT(AK63^2+AL63^2)</f>
        <v>0.00623093813691822</v>
      </c>
      <c r="AN63" s="2" t="n">
        <f aca="false">Y63</f>
        <v>272</v>
      </c>
      <c r="AO63" s="0" t="n">
        <f aca="false">AM63/Z63</f>
        <v>0.00558561101792963</v>
      </c>
    </row>
    <row r="64" customFormat="false" ht="12.75" hidden="false" customHeight="false" outlineLevel="0" collapsed="false">
      <c r="Y64" s="0" t="n">
        <f aca="false">Y63+$X$5</f>
        <v>276</v>
      </c>
      <c r="Z64" s="0" t="n">
        <f aca="false">(Y64/$V$5)^$O$5</f>
        <v>1.11646308482796</v>
      </c>
      <c r="AA64" s="0" t="n">
        <f aca="false">$Q$5*(Y64-$V$5)</f>
        <v>1.48283173249438</v>
      </c>
      <c r="AB64" s="0" t="n">
        <f aca="false">COS(AA64)</f>
        <v>0.0878511965507431</v>
      </c>
      <c r="AC64" s="0" t="n">
        <f aca="false">SIN(AA64)</f>
        <v>0.996133609143173</v>
      </c>
      <c r="AD64" s="0" t="n">
        <f aca="false">$T$5*(Z64-1)</f>
        <v>0.00494503102894776</v>
      </c>
      <c r="AE64" s="0" t="n">
        <f aca="false">2*$T$5*$U$5*Z64*$X$5/(Y64+Y65)</f>
        <v>5.31463040665549E-005</v>
      </c>
      <c r="AF64" s="0" t="n">
        <f aca="false">AB64*AE64</f>
        <v>4.66896640449647E-006</v>
      </c>
      <c r="AG64" s="0" t="n">
        <f aca="false">AG63+AF63</f>
        <v>0.00539085198373892</v>
      </c>
      <c r="AH64" s="0" t="n">
        <f aca="false">AC64*AE64</f>
        <v>5.29408196824378E-005</v>
      </c>
      <c r="AI64" s="0" t="n">
        <f aca="false">AI63+AH63</f>
        <v>0.00301034567052706</v>
      </c>
      <c r="AJ64" s="6" t="n">
        <f aca="false">Y64/$P$5</f>
        <v>0.276</v>
      </c>
      <c r="AK64" s="0" t="n">
        <f aca="false">SQRT(AG64^2+AI64^2)</f>
        <v>0.00617442031017025</v>
      </c>
      <c r="AL64" s="0" t="n">
        <f aca="false">$W$5*(Y64/$V$5-Z64)</f>
        <v>0.0010603166818186</v>
      </c>
      <c r="AM64" s="0" t="n">
        <f aca="false">SQRT(AK64^2+AL64^2)</f>
        <v>0.00626480148387686</v>
      </c>
      <c r="AN64" s="2" t="n">
        <f aca="false">Y64</f>
        <v>276</v>
      </c>
      <c r="AO64" s="0" t="n">
        <f aca="false">AM64/Z64</f>
        <v>0.00561129299213884</v>
      </c>
    </row>
    <row r="65" customFormat="false" ht="12.75" hidden="false" customHeight="false" outlineLevel="0" collapsed="false">
      <c r="Y65" s="0" t="n">
        <f aca="false">Y64+$X$5</f>
        <v>280</v>
      </c>
      <c r="Z65" s="0" t="n">
        <f aca="false">(Y65/$V$5)^$O$5</f>
        <v>1.1173797110114</v>
      </c>
      <c r="AA65" s="0" t="n">
        <f aca="false">$Q$5*(Y65-$V$5)</f>
        <v>1.5079644737231</v>
      </c>
      <c r="AB65" s="0" t="n">
        <f aca="false">COS(AA65)</f>
        <v>0.0627905195293133</v>
      </c>
      <c r="AC65" s="0" t="n">
        <f aca="false">SIN(AA65)</f>
        <v>0.998026728428272</v>
      </c>
      <c r="AD65" s="0" t="n">
        <f aca="false">$T$5*(Z65-1)</f>
        <v>0.00498395104317997</v>
      </c>
      <c r="AE65" s="0" t="n">
        <f aca="false">2*$T$5*$U$5*Z65*$X$5/(Y65+Y66)</f>
        <v>5.24354704569594E-005</v>
      </c>
      <c r="AF65" s="0" t="n">
        <f aca="false">AB65*AE65</f>
        <v>3.29245043175644E-006</v>
      </c>
      <c r="AG65" s="0" t="n">
        <f aca="false">AG64+AF64</f>
        <v>0.00539552095014341</v>
      </c>
      <c r="AH65" s="0" t="n">
        <f aca="false">AC65*AE65</f>
        <v>5.23320010337565E-005</v>
      </c>
      <c r="AI65" s="0" t="n">
        <f aca="false">AI64+AH64</f>
        <v>0.0030632864902095</v>
      </c>
      <c r="AJ65" s="6" t="n">
        <f aca="false">Y65/$P$5</f>
        <v>0.28</v>
      </c>
      <c r="AK65" s="0" t="n">
        <f aca="false">SQRT(AG65^2+AI65^2)</f>
        <v>0.00620446375156923</v>
      </c>
      <c r="AL65" s="0" t="n">
        <f aca="false">$W$5*(Y65/$V$5-Z65)</f>
        <v>0.00107848199409887</v>
      </c>
      <c r="AM65" s="0" t="n">
        <f aca="false">SQRT(AK65^2+AL65^2)</f>
        <v>0.00629749901596912</v>
      </c>
      <c r="AN65" s="2" t="n">
        <f aca="false">Y65</f>
        <v>280</v>
      </c>
      <c r="AO65" s="0" t="n">
        <f aca="false">AM65/Z65</f>
        <v>0.00563595253601744</v>
      </c>
    </row>
    <row r="66" customFormat="false" ht="12.75" hidden="false" customHeight="false" outlineLevel="0" collapsed="false">
      <c r="Y66" s="0" t="n">
        <f aca="false">Y65+$X$5</f>
        <v>284</v>
      </c>
      <c r="Z66" s="0" t="n">
        <f aca="false">(Y66/$V$5)^$O$5</f>
        <v>1.11828407158459</v>
      </c>
      <c r="AA66" s="0" t="n">
        <f aca="false">$Q$5*(Y66-$V$5)</f>
        <v>1.53309721495182</v>
      </c>
      <c r="AB66" s="0" t="n">
        <f aca="false">COS(AA66)</f>
        <v>0.0376901826699345</v>
      </c>
      <c r="AC66" s="0" t="n">
        <f aca="false">SIN(AA66)</f>
        <v>0.999289472640589</v>
      </c>
      <c r="AD66" s="0" t="n">
        <f aca="false">$T$5*(Z66-1)</f>
        <v>0.00502235025871146</v>
      </c>
      <c r="AE66" s="0" t="n">
        <f aca="false">2*$T$5*$U$5*Z66*$X$5/(Y66+Y67)</f>
        <v>5.17439527647825E-005</v>
      </c>
      <c r="AF66" s="0" t="n">
        <f aca="false">AB66*AE66</f>
        <v>1.95023903176912E-006</v>
      </c>
      <c r="AG66" s="0" t="n">
        <f aca="false">AG65+AF65</f>
        <v>0.00539881340057517</v>
      </c>
      <c r="AH66" s="0" t="n">
        <f aca="false">AC66*AE66</f>
        <v>5.17071872706591E-005</v>
      </c>
      <c r="AI66" s="0" t="n">
        <f aca="false">AI65+AH65</f>
        <v>0.00311561849124326</v>
      </c>
      <c r="AJ66" s="6" t="n">
        <f aca="false">Y66/$P$5</f>
        <v>0.284</v>
      </c>
      <c r="AK66" s="0" t="n">
        <f aca="false">SQRT(AG66^2+AI66^2)</f>
        <v>0.00623331891669333</v>
      </c>
      <c r="AL66" s="0" t="n">
        <f aca="false">$W$5*(Y66/$V$5-Z66)</f>
        <v>0.0010966495550777</v>
      </c>
      <c r="AM66" s="0" t="n">
        <f aca="false">SQRT(AK66^2+AL66^2)</f>
        <v>0.00632905245387168</v>
      </c>
      <c r="AN66" s="2" t="n">
        <f aca="false">Y66</f>
        <v>284</v>
      </c>
      <c r="AO66" s="0" t="n">
        <f aca="false">AM66/Z66</f>
        <v>0.0056596106612728</v>
      </c>
    </row>
    <row r="67" customFormat="false" ht="12.75" hidden="false" customHeight="false" outlineLevel="0" collapsed="false">
      <c r="Y67" s="0" t="n">
        <f aca="false">Y66+$X$5</f>
        <v>288</v>
      </c>
      <c r="Z67" s="0" t="n">
        <f aca="false">(Y67/$V$5)^$O$5</f>
        <v>1.11917650000736</v>
      </c>
      <c r="AA67" s="0" t="n">
        <f aca="false">$Q$5*(Y67-$V$5)</f>
        <v>1.55822995618054</v>
      </c>
      <c r="AB67" s="0" t="n">
        <f aca="false">COS(AA67)</f>
        <v>0.0125660398833526</v>
      </c>
      <c r="AC67" s="0" t="n">
        <f aca="false">SIN(AA67)</f>
        <v>0.999921044203816</v>
      </c>
      <c r="AD67" s="0" t="n">
        <f aca="false">$T$5*(Z67-1)</f>
        <v>0.00506024283427113</v>
      </c>
      <c r="AE67" s="0" t="n">
        <f aca="false">2*$T$5*$U$5*Z67*$X$5/(Y67+Y68)</f>
        <v>5.10709669273321E-005</v>
      </c>
      <c r="AF67" s="0" t="n">
        <f aca="false">AB67*AE67</f>
        <v>6.41759807290235E-007</v>
      </c>
      <c r="AG67" s="0" t="n">
        <f aca="false">AG66+AF66</f>
        <v>0.00540076363960694</v>
      </c>
      <c r="AH67" s="0" t="n">
        <f aca="false">AC67*AE67</f>
        <v>5.10669345784765E-005</v>
      </c>
      <c r="AI67" s="0" t="n">
        <f aca="false">AI66+AH66</f>
        <v>0.00316732567851392</v>
      </c>
      <c r="AJ67" s="6" t="n">
        <f aca="false">Y67/$P$5</f>
        <v>0.288</v>
      </c>
      <c r="AK67" s="0" t="n">
        <f aca="false">SQRT(AG67^2+AI67^2)</f>
        <v>0.00626100629648893</v>
      </c>
      <c r="AL67" s="0" t="n">
        <f aca="false">$W$5*(Y67/$V$5-Z67)</f>
        <v>0.00111481930362071</v>
      </c>
      <c r="AM67" s="0" t="n">
        <f aca="false">SQRT(AK67^2+AL67^2)</f>
        <v>0.00635948283466505</v>
      </c>
      <c r="AN67" s="2" t="n">
        <f aca="false">Y67</f>
        <v>288</v>
      </c>
      <c r="AO67" s="0" t="n">
        <f aca="false">AM67/Z67</f>
        <v>0.00568228767725484</v>
      </c>
    </row>
    <row r="68" customFormat="false" ht="12.75" hidden="false" customHeight="false" outlineLevel="0" collapsed="false">
      <c r="Y68" s="0" t="n">
        <f aca="false">Y67+$X$5</f>
        <v>292</v>
      </c>
      <c r="Z68" s="0" t="n">
        <f aca="false">(Y68/$V$5)^$O$5</f>
        <v>1.12005731619733</v>
      </c>
      <c r="AA68" s="0" t="n">
        <f aca="false">$Q$5*(Y68-$V$5)</f>
        <v>1.58336269740926</v>
      </c>
      <c r="AB68" s="0" t="n">
        <f aca="false">COS(AA68)</f>
        <v>-0.0125660398833527</v>
      </c>
      <c r="AC68" s="0" t="n">
        <f aca="false">SIN(AA68)</f>
        <v>0.999921044203816</v>
      </c>
      <c r="AD68" s="0" t="n">
        <f aca="false">$T$5*(Z68-1)</f>
        <v>0.00509764235358309</v>
      </c>
      <c r="AE68" s="0" t="n">
        <f aca="false">2*$T$5*$U$5*Z68*$X$5/(Y68+Y69)</f>
        <v>5.04157709424339E-005</v>
      </c>
      <c r="AF68" s="0" t="n">
        <f aca="false">AB68*AE68</f>
        <v>-6.33526588412596E-007</v>
      </c>
      <c r="AG68" s="0" t="n">
        <f aca="false">AG67+AF67</f>
        <v>0.00540140539941423</v>
      </c>
      <c r="AH68" s="0" t="n">
        <f aca="false">AC68*AE68</f>
        <v>5.04117903250989E-005</v>
      </c>
      <c r="AI68" s="0" t="n">
        <f aca="false">AI67+AH67</f>
        <v>0.00321839261309239</v>
      </c>
      <c r="AJ68" s="6" t="n">
        <f aca="false">Y68/$P$5</f>
        <v>0.292</v>
      </c>
      <c r="AK68" s="0" t="n">
        <f aca="false">SQRT(AG68^2+AI68^2)</f>
        <v>0.00628754572952188</v>
      </c>
      <c r="AL68" s="0" t="n">
        <f aca="false">$W$5*(Y68/$V$5-Z68)</f>
        <v>0.00113299118107623</v>
      </c>
      <c r="AM68" s="0" t="n">
        <f aca="false">SQRT(AK68^2+AL68^2)</f>
        <v>0.00638881055574709</v>
      </c>
      <c r="AN68" s="2" t="n">
        <f aca="false">Y68</f>
        <v>292</v>
      </c>
      <c r="AO68" s="0" t="n">
        <f aca="false">AM68/Z68</f>
        <v>0.00570400323568936</v>
      </c>
    </row>
    <row r="69" customFormat="false" ht="12.75" hidden="false" customHeight="false" outlineLevel="0" collapsed="false">
      <c r="Y69" s="0" t="n">
        <f aca="false">Y68+$X$5</f>
        <v>296</v>
      </c>
      <c r="Z69" s="0" t="n">
        <f aca="false">(Y69/$V$5)^$O$5</f>
        <v>1.12092682725664</v>
      </c>
      <c r="AA69" s="0" t="n">
        <f aca="false">$Q$5*(Y69-$V$5)</f>
        <v>1.60849543863797</v>
      </c>
      <c r="AB69" s="0" t="n">
        <f aca="false">COS(AA69)</f>
        <v>-0.0376901826699346</v>
      </c>
      <c r="AC69" s="0" t="n">
        <f aca="false">SIN(AA69)</f>
        <v>0.999289472640589</v>
      </c>
      <c r="AD69" s="0" t="n">
        <f aca="false">$T$5*(Z69-1)</f>
        <v>0.00513456185622783</v>
      </c>
      <c r="AE69" s="0" t="n">
        <f aca="false">2*$T$5*$U$5*Z69*$X$5/(Y69+Y70)</f>
        <v>4.97776620778546E-005</v>
      </c>
      <c r="AF69" s="0" t="n">
        <f aca="false">AB69*AE69</f>
        <v>-1.87612917659662E-006</v>
      </c>
      <c r="AG69" s="0" t="n">
        <f aca="false">AG68+AF68</f>
        <v>0.00540077187282582</v>
      </c>
      <c r="AH69" s="0" t="n">
        <f aca="false">AC69*AE69</f>
        <v>4.97422936870608E-005</v>
      </c>
      <c r="AI69" s="0" t="n">
        <f aca="false">AI68+AH68</f>
        <v>0.00326880440341749</v>
      </c>
      <c r="AJ69" s="6" t="n">
        <f aca="false">Y69/$P$5</f>
        <v>0.296</v>
      </c>
      <c r="AK69" s="0" t="n">
        <f aca="false">SQRT(AG69^2+AI69^2)</f>
        <v>0.00631295644291231</v>
      </c>
      <c r="AL69" s="0" t="n">
        <f aca="false">$W$5*(Y69/$V$5-Z69)</f>
        <v>0.00115116513114214</v>
      </c>
      <c r="AM69" s="0" t="n">
        <f aca="false">SQRT(AK69^2+AL69^2)</f>
        <v>0.00641705541578578</v>
      </c>
      <c r="AN69" s="2" t="n">
        <f aca="false">Y69</f>
        <v>296</v>
      </c>
      <c r="AO69" s="0" t="n">
        <f aca="false">AM69/Z69</f>
        <v>0.00572477637232655</v>
      </c>
    </row>
    <row r="70" customFormat="false" ht="12.75" hidden="false" customHeight="false" outlineLevel="0" collapsed="false">
      <c r="Y70" s="0" t="n">
        <f aca="false">Y69+$X$5</f>
        <v>300</v>
      </c>
      <c r="Z70" s="0" t="n">
        <f aca="false">(Y70/$V$5)^$O$5</f>
        <v>1.12178532815064</v>
      </c>
      <c r="AA70" s="0" t="n">
        <f aca="false">$Q$5*(Y70-$V$5)</f>
        <v>1.63362817986669</v>
      </c>
      <c r="AB70" s="0" t="n">
        <f aca="false">COS(AA70)</f>
        <v>-0.0627905195293134</v>
      </c>
      <c r="AC70" s="0" t="n">
        <f aca="false">SIN(AA70)</f>
        <v>0.998026728428272</v>
      </c>
      <c r="AD70" s="0" t="n">
        <f aca="false">$T$5*(Z70-1)</f>
        <v>0.00517101386645474</v>
      </c>
      <c r="AE70" s="0" t="n">
        <f aca="false">2*$T$5*$U$5*Z70*$X$5/(Y70+Y71)</f>
        <v>4.91559743003786E-005</v>
      </c>
      <c r="AF70" s="0" t="n">
        <f aca="false">AB70*AE70</f>
        <v>-3.08652916429035E-006</v>
      </c>
      <c r="AG70" s="0" t="n">
        <f aca="false">AG69+AF69</f>
        <v>0.00539889574364922</v>
      </c>
      <c r="AH70" s="0" t="n">
        <f aca="false">AC70*AE70</f>
        <v>4.90589762137111E-005</v>
      </c>
      <c r="AI70" s="0" t="n">
        <f aca="false">AI69+AH69</f>
        <v>0.00331854669710455</v>
      </c>
      <c r="AJ70" s="6" t="n">
        <f aca="false">Y70/$P$5</f>
        <v>0.3</v>
      </c>
      <c r="AK70" s="0" t="n">
        <f aca="false">SQRT(AG70^2+AI70^2)</f>
        <v>0.00633725709054455</v>
      </c>
      <c r="AL70" s="0" t="n">
        <f aca="false">$W$5*(Y70/$V$5-Z70)</f>
        <v>0.00116934109974136</v>
      </c>
      <c r="AM70" s="0" t="n">
        <f aca="false">SQRT(AK70^2+AL70^2)</f>
        <v>0.00644423665294824</v>
      </c>
      <c r="AN70" s="2" t="n">
        <f aca="false">Y70</f>
        <v>300</v>
      </c>
      <c r="AO70" s="0" t="n">
        <f aca="false">AM70/Z70</f>
        <v>0.00574462554575583</v>
      </c>
    </row>
    <row r="71" customFormat="false" ht="12.75" hidden="false" customHeight="false" outlineLevel="0" collapsed="false">
      <c r="Y71" s="0" t="n">
        <f aca="false">Y70+$X$5</f>
        <v>304</v>
      </c>
      <c r="Z71" s="0" t="n">
        <f aca="false">(Y71/$V$5)^$O$5</f>
        <v>1.12263310234195</v>
      </c>
      <c r="AA71" s="0" t="n">
        <f aca="false">$Q$5*(Y71-$V$5)</f>
        <v>1.65876092109541</v>
      </c>
      <c r="AB71" s="0" t="n">
        <f aca="false">COS(AA71)</f>
        <v>-0.0878511965507432</v>
      </c>
      <c r="AC71" s="0" t="n">
        <f aca="false">SIN(AA71)</f>
        <v>0.996133609143173</v>
      </c>
      <c r="AD71" s="0" t="n">
        <f aca="false">$T$5*(Z71-1)</f>
        <v>0.00520701042010733</v>
      </c>
      <c r="AE71" s="0" t="n">
        <f aca="false">2*$T$5*$U$5*Z71*$X$5/(Y71+Y72)</f>
        <v>4.85500759046033E-005</v>
      </c>
      <c r="AF71" s="0" t="n">
        <f aca="false">AB71*AE71</f>
        <v>-4.26518226084881E-006</v>
      </c>
      <c r="AG71" s="0" t="n">
        <f aca="false">AG70+AF70</f>
        <v>0.00539580921448493</v>
      </c>
      <c r="AH71" s="0" t="n">
        <f aca="false">AC71*AE71</f>
        <v>4.83623623350275E-005</v>
      </c>
      <c r="AI71" s="0" t="n">
        <f aca="false">AI70+AH70</f>
        <v>0.00336760567331827</v>
      </c>
      <c r="AJ71" s="6" t="n">
        <f aca="false">Y71/$P$5</f>
        <v>0.304</v>
      </c>
      <c r="AK71" s="0" t="n">
        <f aca="false">SQRT(AG71^2+AI71^2)</f>
        <v>0.00636046578876782</v>
      </c>
      <c r="AL71" s="0" t="n">
        <f aca="false">$W$5*(Y71/$V$5-Z71)</f>
        <v>0.00118751903490567</v>
      </c>
      <c r="AM71" s="0" t="n">
        <f aca="false">SQRT(AK71^2+AL71^2)</f>
        <v>0.00647037298062091</v>
      </c>
      <c r="AN71" s="2" t="n">
        <f aca="false">Y71</f>
        <v>304</v>
      </c>
      <c r="AO71" s="0" t="n">
        <f aca="false">AM71/Z71</f>
        <v>0.00576356867361469</v>
      </c>
    </row>
    <row r="72" customFormat="false" ht="12.75" hidden="false" customHeight="false" outlineLevel="0" collapsed="false">
      <c r="Y72" s="0" t="n">
        <f aca="false">Y71+$X$5</f>
        <v>308</v>
      </c>
      <c r="Z72" s="0" t="n">
        <f aca="false">(Y72/$V$5)^$O$5</f>
        <v>1.12347042238362</v>
      </c>
      <c r="AA72" s="0" t="n">
        <f aca="false">$Q$5*(Y72-$V$5)</f>
        <v>1.68389366232413</v>
      </c>
      <c r="AB72" s="0" t="n">
        <f aca="false">COS(AA72)</f>
        <v>-0.112856384873482</v>
      </c>
      <c r="AC72" s="0" t="n">
        <f aca="false">SIN(AA72)</f>
        <v>0.993611310520008</v>
      </c>
      <c r="AD72" s="0" t="n">
        <f aca="false">$T$5*(Z72-1)</f>
        <v>0.0052425630898081</v>
      </c>
      <c r="AE72" s="0" t="n">
        <f aca="false">2*$T$5*$U$5*Z72*$X$5/(Y72+Y73)</f>
        <v>4.79593673235618E-005</v>
      </c>
      <c r="AF72" s="0" t="n">
        <f aca="false">AB72*AE72</f>
        <v>-5.41252081695657E-006</v>
      </c>
      <c r="AG72" s="0" t="n">
        <f aca="false">AG71+AF71</f>
        <v>0.00539154403222408</v>
      </c>
      <c r="AH72" s="0" t="n">
        <f aca="false">AC72*AE72</f>
        <v>4.76529698180747E-005</v>
      </c>
      <c r="AI72" s="0" t="n">
        <f aca="false">AI71+AH71</f>
        <v>0.00341596803565329</v>
      </c>
      <c r="AJ72" s="6" t="n">
        <f aca="false">Y72/$P$5</f>
        <v>0.308</v>
      </c>
      <c r="AK72" s="0" t="n">
        <f aca="false">SQRT(AG72^2+AI72^2)</f>
        <v>0.00638260014978348</v>
      </c>
      <c r="AL72" s="0" t="n">
        <f aca="false">$W$5*(Y72/$V$5-Z72)</f>
        <v>0.00120569888666694</v>
      </c>
      <c r="AM72" s="0" t="n">
        <f aca="false">SQRT(AK72^2+AL72^2)</f>
        <v>0.00649548262081626</v>
      </c>
      <c r="AN72" s="2" t="n">
        <f aca="false">Y72</f>
        <v>308</v>
      </c>
      <c r="AO72" s="0" t="n">
        <f aca="false">AM72/Z72</f>
        <v>0.00578162316639817</v>
      </c>
    </row>
    <row r="73" customFormat="false" ht="12.75" hidden="false" customHeight="false" outlineLevel="0" collapsed="false">
      <c r="Y73" s="0" t="n">
        <f aca="false">Y72+$X$5</f>
        <v>312</v>
      </c>
      <c r="Z73" s="0" t="n">
        <f aca="false">(Y73/$V$5)^$O$5</f>
        <v>1.12429755047443</v>
      </c>
      <c r="AA73" s="0" t="n">
        <f aca="false">$Q$5*(Y73-$V$5)</f>
        <v>1.70902640355285</v>
      </c>
      <c r="AB73" s="0" t="n">
        <f aca="false">COS(AA73)</f>
        <v>-0.137790290684638</v>
      </c>
      <c r="AC73" s="0" t="n">
        <f aca="false">SIN(AA73)</f>
        <v>0.990461425696651</v>
      </c>
      <c r="AD73" s="0" t="n">
        <f aca="false">$T$5*(Z73-1)</f>
        <v>0.0052776830085361</v>
      </c>
      <c r="AE73" s="0" t="n">
        <f aca="false">2*$T$5*$U$5*Z73*$X$5/(Y73+Y74)</f>
        <v>4.73832791050913E-005</v>
      </c>
      <c r="AF73" s="0" t="n">
        <f aca="false">AB73*AE73</f>
        <v>-6.52895580148187E-006</v>
      </c>
      <c r="AG73" s="0" t="n">
        <f aca="false">AG72+AF72</f>
        <v>0.00538613151140713</v>
      </c>
      <c r="AH73" s="0" t="n">
        <f aca="false">AC73*AE73</f>
        <v>4.69313101766111E-005</v>
      </c>
      <c r="AI73" s="0" t="n">
        <f aca="false">AI72+AH72</f>
        <v>0.00346362100547137</v>
      </c>
      <c r="AJ73" s="6" t="n">
        <f aca="false">Y73/$P$5</f>
        <v>0.312</v>
      </c>
      <c r="AK73" s="0" t="n">
        <f aca="false">SQRT(AG73^2+AI73^2)</f>
        <v>0.00640367731289728</v>
      </c>
      <c r="AL73" s="0" t="n">
        <f aca="false">$W$5*(Y73/$V$5-Z73)</f>
        <v>0.00122388060695532</v>
      </c>
      <c r="AM73" s="0" t="n">
        <f aca="false">SQRT(AK73^2+AL73^2)</f>
        <v>0.00651958333544381</v>
      </c>
      <c r="AN73" s="2" t="n">
        <f aca="false">Y73</f>
        <v>312</v>
      </c>
      <c r="AO73" s="0" t="n">
        <f aca="false">AM73/Z73</f>
        <v>0.00579880595905657</v>
      </c>
    </row>
    <row r="74" customFormat="false" ht="12.75" hidden="false" customHeight="false" outlineLevel="0" collapsed="false">
      <c r="Y74" s="0" t="n">
        <f aca="false">Y73+$X$5</f>
        <v>316</v>
      </c>
      <c r="Z74" s="0" t="n">
        <f aca="false">(Y74/$V$5)^$O$5</f>
        <v>1.12511473897919</v>
      </c>
      <c r="AA74" s="0" t="n">
        <f aca="false">$Q$5*(Y74-$V$5)</f>
        <v>1.73415914478157</v>
      </c>
      <c r="AB74" s="0" t="n">
        <f aca="false">COS(AA74)</f>
        <v>-0.162637165194884</v>
      </c>
      <c r="AC74" s="0" t="n">
        <f aca="false">SIN(AA74)</f>
        <v>0.986685944207868</v>
      </c>
      <c r="AD74" s="0" t="n">
        <f aca="false">$T$5*(Z74-1)</f>
        <v>0.00531238089171946</v>
      </c>
      <c r="AE74" s="0" t="n">
        <f aca="false">2*$T$5*$U$5*Z74*$X$5/(Y74+Y75)</f>
        <v>4.68212700394732E-005</v>
      </c>
      <c r="AF74" s="0" t="n">
        <f aca="false">AB74*AE74</f>
        <v>-7.61487863004405E-006</v>
      </c>
      <c r="AG74" s="0" t="n">
        <f aca="false">AG73+AF73</f>
        <v>0.00537960255560564</v>
      </c>
      <c r="AH74" s="0" t="n">
        <f aca="false">AC74*AE74</f>
        <v>4.61978890379092E-005</v>
      </c>
      <c r="AI74" s="0" t="n">
        <f aca="false">AI73+AH73</f>
        <v>0.00351055231564798</v>
      </c>
      <c r="AJ74" s="6" t="n">
        <f aca="false">Y74/$P$5</f>
        <v>0.316</v>
      </c>
      <c r="AK74" s="0" t="n">
        <f aca="false">SQRT(AG74^2+AI74^2)</f>
        <v>0.00642371397379897</v>
      </c>
      <c r="AL74" s="0" t="n">
        <f aca="false">$W$5*(Y74/$V$5-Z74)</f>
        <v>0.00124206414950385</v>
      </c>
      <c r="AM74" s="0" t="n">
        <f aca="false">SQRT(AK74^2+AL74^2)</f>
        <v>0.00654269245560747</v>
      </c>
      <c r="AN74" s="2" t="n">
        <f aca="false">Y74</f>
        <v>316</v>
      </c>
      <c r="AO74" s="0" t="n">
        <f aca="false">AM74/Z74</f>
        <v>0.00581513354055217</v>
      </c>
    </row>
    <row r="75" customFormat="false" ht="12.75" hidden="false" customHeight="false" outlineLevel="0" collapsed="false">
      <c r="Y75" s="0" t="n">
        <f aca="false">Y74+$X$5</f>
        <v>320</v>
      </c>
      <c r="Z75" s="0" t="n">
        <f aca="false">(Y75/$V$5)^$O$5</f>
        <v>1.12592223091668</v>
      </c>
      <c r="AA75" s="0" t="n">
        <f aca="false">$Q$5*(Y75-$V$5)</f>
        <v>1.75929188601028</v>
      </c>
      <c r="AB75" s="0" t="n">
        <f aca="false">COS(AA75)</f>
        <v>-0.187381314585725</v>
      </c>
      <c r="AC75" s="0" t="n">
        <f aca="false">SIN(AA75)</f>
        <v>0.982287250728689</v>
      </c>
      <c r="AD75" s="0" t="n">
        <f aca="false">$T$5*(Z75-1)</f>
        <v>0.00534666705795351</v>
      </c>
      <c r="AE75" s="0" t="n">
        <f aca="false">2*$T$5*$U$5*Z75*$X$5/(Y75+Y76)</f>
        <v>4.62728254252968E-005</v>
      </c>
      <c r="AF75" s="0" t="n">
        <f aca="false">AB75*AE75</f>
        <v>-8.67066285778785E-006</v>
      </c>
      <c r="AG75" s="0" t="n">
        <f aca="false">AG74+AF74</f>
        <v>0.0053719876769756</v>
      </c>
      <c r="AH75" s="0" t="n">
        <f aca="false">AC75*AE75</f>
        <v>4.54532064704633E-005</v>
      </c>
      <c r="AI75" s="0" t="n">
        <f aca="false">AI74+AH74</f>
        <v>0.00355675020468589</v>
      </c>
      <c r="AJ75" s="6" t="n">
        <f aca="false">Y75/$P$5</f>
        <v>0.32</v>
      </c>
      <c r="AK75" s="0" t="n">
        <f aca="false">SQRT(AG75^2+AI75^2)</f>
        <v>0.00644272641201773</v>
      </c>
      <c r="AL75" s="0" t="n">
        <f aca="false">$W$5*(Y75/$V$5-Z75)</f>
        <v>0.00126024946975904</v>
      </c>
      <c r="AM75" s="0" t="n">
        <f aca="false">SQRT(AK75^2+AL75^2)</f>
        <v>0.00656482690907679</v>
      </c>
      <c r="AN75" s="2" t="n">
        <f aca="false">Y75</f>
        <v>320</v>
      </c>
      <c r="AO75" s="0" t="n">
        <f aca="false">AM75/Z75</f>
        <v>0.00583062198153061</v>
      </c>
    </row>
    <row r="76" customFormat="false" ht="12.75" hidden="false" customHeight="false" outlineLevel="0" collapsed="false">
      <c r="Y76" s="0" t="n">
        <f aca="false">Y75+$X$5</f>
        <v>324</v>
      </c>
      <c r="Z76" s="0" t="n">
        <f aca="false">(Y76/$V$5)^$O$5</f>
        <v>1.12672026041765</v>
      </c>
      <c r="AA76" s="0" t="n">
        <f aca="false">$Q$5*(Y76-$V$5)</f>
        <v>1.784424627239</v>
      </c>
      <c r="AB76" s="0" t="n">
        <f aca="false">COS(AA76)</f>
        <v>-0.212007109922055</v>
      </c>
      <c r="AC76" s="0" t="n">
        <f aca="false">SIN(AA76)</f>
        <v>0.977268123568194</v>
      </c>
      <c r="AD76" s="0" t="n">
        <f aca="false">$T$5*(Z76-1)</f>
        <v>0.00538055144844625</v>
      </c>
      <c r="AE76" s="0" t="n">
        <f aca="false">2*$T$5*$U$5*Z76*$X$5/(Y76+Y77)</f>
        <v>4.5737455461774E-005</v>
      </c>
      <c r="AF76" s="0" t="n">
        <f aca="false">AB76*AE76</f>
        <v>-9.69666574763939E-006</v>
      </c>
      <c r="AG76" s="0" t="n">
        <f aca="false">AG75+AF75</f>
        <v>0.00536331701411781</v>
      </c>
      <c r="AH76" s="0" t="n">
        <f aca="false">AC76*AE76</f>
        <v>4.46977572759116E-005</v>
      </c>
      <c r="AI76" s="0" t="n">
        <f aca="false">AI75+AH75</f>
        <v>0.00360220341115635</v>
      </c>
      <c r="AJ76" s="6" t="n">
        <f aca="false">Y76/$P$5</f>
        <v>0.324</v>
      </c>
      <c r="AK76" s="0" t="n">
        <f aca="false">SQRT(AG76^2+AI76^2)</f>
        <v>0.00646073051668865</v>
      </c>
      <c r="AL76" s="0" t="n">
        <f aca="false">$W$5*(Y76/$V$5-Z76)</f>
        <v>0.00127843652479684</v>
      </c>
      <c r="AM76" s="0" t="n">
        <f aca="false">SQRT(AK76^2+AL76^2)</f>
        <v>0.00658600324606712</v>
      </c>
      <c r="AN76" s="2" t="n">
        <f aca="false">Y76</f>
        <v>324</v>
      </c>
      <c r="AO76" s="0" t="n">
        <f aca="false">AM76/Z76</f>
        <v>0.00584528696024854</v>
      </c>
    </row>
    <row r="77" customFormat="false" ht="12.75" hidden="false" customHeight="false" outlineLevel="0" collapsed="false">
      <c r="Y77" s="0" t="n">
        <f aca="false">Y76+$X$5</f>
        <v>328</v>
      </c>
      <c r="Z77" s="0" t="n">
        <f aca="false">(Y77/$V$5)^$O$5</f>
        <v>1.12750905315496</v>
      </c>
      <c r="AA77" s="0" t="n">
        <f aca="false">$Q$5*(Y77-$V$5)</f>
        <v>1.80955736846772</v>
      </c>
      <c r="AB77" s="0" t="n">
        <f aca="false">COS(AA77)</f>
        <v>-0.236498997023725</v>
      </c>
      <c r="AC77" s="0" t="n">
        <f aca="false">SIN(AA77)</f>
        <v>0.971631732914674</v>
      </c>
      <c r="AD77" s="0" t="n">
        <f aca="false">$T$5*(Z77-1)</f>
        <v>0.00541404364528397</v>
      </c>
      <c r="AE77" s="0" t="n">
        <f aca="false">2*$T$5*$U$5*Z77*$X$5/(Y77+Y78)</f>
        <v>4.5214693756861E-005</v>
      </c>
      <c r="AF77" s="0" t="n">
        <f aca="false">AB77*AE77</f>
        <v>-1.06932297242325E-005</v>
      </c>
      <c r="AG77" s="0" t="n">
        <f aca="false">AG76+AF76</f>
        <v>0.00535362034837017</v>
      </c>
      <c r="AH77" s="0" t="n">
        <f aca="false">AC77*AE77</f>
        <v>4.39320312481852E-005</v>
      </c>
      <c r="AI77" s="0" t="n">
        <f aca="false">AI76+AH76</f>
        <v>0.00364690116843226</v>
      </c>
      <c r="AJ77" s="6" t="n">
        <f aca="false">Y77/$P$5</f>
        <v>0.328</v>
      </c>
      <c r="AK77" s="0" t="n">
        <f aca="false">SQRT(AG77^2+AI77^2)</f>
        <v>0.00647774181075441</v>
      </c>
      <c r="AL77" s="0" t="n">
        <f aca="false">$W$5*(Y77/$V$5-Z77)</f>
        <v>0.00129662527324384</v>
      </c>
      <c r="AM77" s="0" t="n">
        <f aca="false">SQRT(AK77^2+AL77^2)</f>
        <v>0.0066062376634519</v>
      </c>
      <c r="AN77" s="2" t="n">
        <f aca="false">Y77</f>
        <v>328</v>
      </c>
      <c r="AO77" s="0" t="n">
        <f aca="false">AM77/Z77</f>
        <v>0.00585914378688718</v>
      </c>
    </row>
    <row r="78" customFormat="false" ht="12.75" hidden="false" customHeight="false" outlineLevel="0" collapsed="false">
      <c r="Y78" s="0" t="n">
        <f aca="false">Y77+$X$5</f>
        <v>332</v>
      </c>
      <c r="Z78" s="0" t="n">
        <f aca="false">(Y78/$V$5)^$O$5</f>
        <v>1.128288826748</v>
      </c>
      <c r="AA78" s="0" t="n">
        <f aca="false">$Q$5*(Y78-$V$5)</f>
        <v>1.83469010969644</v>
      </c>
      <c r="AB78" s="0" t="n">
        <f aca="false">COS(AA78)</f>
        <v>-0.260841506289897</v>
      </c>
      <c r="AC78" s="0" t="n">
        <f aca="false">SIN(AA78)</f>
        <v>0.965381638833274</v>
      </c>
      <c r="AD78" s="0" t="n">
        <f aca="false">$T$5*(Z78-1)</f>
        <v>0.00544715288860198</v>
      </c>
      <c r="AE78" s="0" t="n">
        <f aca="false">2*$T$5*$U$5*Z78*$X$5/(Y78+Y79)</f>
        <v>4.47040959415606E-005</v>
      </c>
      <c r="AF78" s="0" t="n">
        <f aca="false">AB78*AE78</f>
        <v>-1.16606837227247E-005</v>
      </c>
      <c r="AG78" s="0" t="n">
        <f aca="false">AG77+AF77</f>
        <v>0.00534292711864594</v>
      </c>
      <c r="AH78" s="0" t="n">
        <f aca="false">AC78*AE78</f>
        <v>4.31565134026236E-005</v>
      </c>
      <c r="AI78" s="0" t="n">
        <f aca="false">AI77+AH77</f>
        <v>0.00369083319968045</v>
      </c>
      <c r="AJ78" s="6" t="n">
        <f aca="false">Y78/$P$5</f>
        <v>0.332</v>
      </c>
      <c r="AK78" s="0" t="n">
        <f aca="false">SQRT(AG78^2+AI78^2)</f>
        <v>0.00649377547371524</v>
      </c>
      <c r="AL78" s="0" t="n">
        <f aca="false">$W$5*(Y78/$V$5-Z78)</f>
        <v>0.00131481567520309</v>
      </c>
      <c r="AM78" s="0" t="n">
        <f aca="false">SQRT(AK78^2+AL78^2)</f>
        <v>0.00662554602751995</v>
      </c>
      <c r="AN78" s="2" t="n">
        <f aca="false">Y78</f>
        <v>332</v>
      </c>
      <c r="AO78" s="0" t="n">
        <f aca="false">AM78/Z78</f>
        <v>0.00587220742637007</v>
      </c>
    </row>
    <row r="79" customFormat="false" ht="12.75" hidden="false" customHeight="false" outlineLevel="0" collapsed="false">
      <c r="Y79" s="0" t="n">
        <f aca="false">Y78+$X$5</f>
        <v>336</v>
      </c>
      <c r="Z79" s="0" t="n">
        <f aca="false">(Y79/$V$5)^$O$5</f>
        <v>1.12905979114314</v>
      </c>
      <c r="AA79" s="0" t="n">
        <f aca="false">$Q$5*(Y79-$V$5)</f>
        <v>1.85982285092516</v>
      </c>
      <c r="AB79" s="0" t="n">
        <f aca="false">COS(AA79)</f>
        <v>-0.285019262469976</v>
      </c>
      <c r="AC79" s="0" t="n">
        <f aca="false">SIN(AA79)</f>
        <v>0.958521789017376</v>
      </c>
      <c r="AD79" s="0" t="n">
        <f aca="false">$T$5*(Z79-1)</f>
        <v>0.00547988809273846</v>
      </c>
      <c r="AE79" s="0" t="n">
        <f aca="false">2*$T$5*$U$5*Z79*$X$5/(Y79+Y80)</f>
        <v>4.42052383816776E-005</v>
      </c>
      <c r="AF79" s="0" t="n">
        <f aca="false">AB79*AE79</f>
        <v>-1.25993444408552E-005</v>
      </c>
      <c r="AG79" s="0" t="n">
        <f aca="false">AG78+AF78</f>
        <v>0.00533126643492322</v>
      </c>
      <c r="AH79" s="0" t="n">
        <f aca="false">AC79*AE79</f>
        <v>4.23716841775452E-005</v>
      </c>
      <c r="AI79" s="0" t="n">
        <f aca="false">AI78+AH78</f>
        <v>0.00373398971308307</v>
      </c>
      <c r="AJ79" s="6" t="n">
        <f aca="false">Y79/$P$5</f>
        <v>0.336</v>
      </c>
      <c r="AK79" s="0" t="n">
        <f aca="false">SQRT(AG79^2+AI79^2)</f>
        <v>0.00650884636303155</v>
      </c>
      <c r="AL79" s="0" t="n">
        <f aca="false">$W$5*(Y79/$V$5-Z79)</f>
        <v>0.00133300769218436</v>
      </c>
      <c r="AM79" s="0" t="n">
        <f aca="false">SQRT(AK79^2+AL79^2)</f>
        <v>0.0066439438953811</v>
      </c>
      <c r="AN79" s="2" t="n">
        <f aca="false">Y79</f>
        <v>336</v>
      </c>
      <c r="AO79" s="0" t="n">
        <f aca="false">AM79/Z79</f>
        <v>0.00588449251979321</v>
      </c>
    </row>
    <row r="80" customFormat="false" ht="12.75" hidden="false" customHeight="false" outlineLevel="0" collapsed="false">
      <c r="Y80" s="0" t="n">
        <f aca="false">Y79+$X$5</f>
        <v>340</v>
      </c>
      <c r="Z80" s="0" t="n">
        <f aca="false">(Y80/$V$5)^$O$5</f>
        <v>1.12982214897192</v>
      </c>
      <c r="AA80" s="0" t="n">
        <f aca="false">$Q$5*(Y80-$V$5)</f>
        <v>1.88495559215388</v>
      </c>
      <c r="AB80" s="0" t="n">
        <f aca="false">COS(AA80)</f>
        <v>-0.309016994374948</v>
      </c>
      <c r="AC80" s="0" t="n">
        <f aca="false">SIN(AA80)</f>
        <v>0.951056516295154</v>
      </c>
      <c r="AD80" s="0" t="n">
        <f aca="false">$T$5*(Z80-1)</f>
        <v>0.005512257861443</v>
      </c>
      <c r="AE80" s="0" t="n">
        <f aca="false">2*$T$5*$U$5*Z80*$X$5/(Y80+Y81)</f>
        <v>4.3717716979118E-005</v>
      </c>
      <c r="AF80" s="0" t="n">
        <f aca="false">AB80*AE80</f>
        <v>-1.35095175018216E-005</v>
      </c>
      <c r="AG80" s="0" t="n">
        <f aca="false">AG79+AF79</f>
        <v>0.00531866709048236</v>
      </c>
      <c r="AH80" s="0" t="n">
        <f aca="false">AC80*AE80</f>
        <v>4.15780196105374E-005</v>
      </c>
      <c r="AI80" s="0" t="n">
        <f aca="false">AI79+AH79</f>
        <v>0.00377636139726062</v>
      </c>
      <c r="AJ80" s="6" t="n">
        <f aca="false">Y80/$P$5</f>
        <v>0.34</v>
      </c>
      <c r="AK80" s="0" t="n">
        <f aca="false">SQRT(AG80^2+AI80^2)</f>
        <v>0.00652296903427421</v>
      </c>
      <c r="AL80" s="0" t="n">
        <f aca="false">$W$5*(Y80/$V$5-Z80)</f>
        <v>0.00135120128703848</v>
      </c>
      <c r="AM80" s="0" t="n">
        <f aca="false">SQRT(AK80^2+AL80^2)</f>
        <v>0.00666144653511493</v>
      </c>
      <c r="AN80" s="2" t="n">
        <f aca="false">Y80</f>
        <v>340</v>
      </c>
      <c r="AO80" s="0" t="n">
        <f aca="false">AM80/Z80</f>
        <v>0.0058960134045668</v>
      </c>
    </row>
    <row r="81" customFormat="false" ht="12.75" hidden="false" customHeight="false" outlineLevel="0" collapsed="false">
      <c r="Y81" s="0" t="n">
        <f aca="false">Y80+$X$5</f>
        <v>344</v>
      </c>
      <c r="Z81" s="0" t="n">
        <f aca="false">(Y81/$V$5)^$O$5</f>
        <v>1.13057609588851</v>
      </c>
      <c r="AA81" s="0" t="n">
        <f aca="false">$Q$5*(Y81-$V$5)</f>
        <v>1.91008833338259</v>
      </c>
      <c r="AB81" s="0" t="n">
        <f aca="false">COS(AA81)</f>
        <v>-0.332819544522987</v>
      </c>
      <c r="AC81" s="0" t="n">
        <f aca="false">SIN(AA81)</f>
        <v>0.942990535892864</v>
      </c>
      <c r="AD81" s="0" t="n">
        <f aca="false">$T$5*(Z81-1)</f>
        <v>0.00554427050220553</v>
      </c>
      <c r="AE81" s="0" t="n">
        <f aca="false">2*$T$5*$U$5*Z81*$X$5/(Y81+Y82)</f>
        <v>4.32411460555412E-005</v>
      </c>
      <c r="AF81" s="0" t="n">
        <f aca="false">AB81*AE81</f>
        <v>-1.43914985348572E-005</v>
      </c>
      <c r="AG81" s="0" t="n">
        <f aca="false">AG80+AF80</f>
        <v>0.00530515757298054</v>
      </c>
      <c r="AH81" s="0" t="n">
        <f aca="false">AC81*AE81</f>
        <v>4.07759914915364E-005</v>
      </c>
      <c r="AI81" s="0" t="n">
        <f aca="false">AI80+AH80</f>
        <v>0.00381793941687115</v>
      </c>
      <c r="AJ81" s="6" t="n">
        <f aca="false">Y81/$P$5</f>
        <v>0.344</v>
      </c>
      <c r="AK81" s="0" t="n">
        <f aca="false">SQRT(AG81^2+AI81^2)</f>
        <v>0.00653615776011038</v>
      </c>
      <c r="AL81" s="0" t="n">
        <f aca="false">$W$5*(Y81/$V$5-Z81)</f>
        <v>0.00136939642389547</v>
      </c>
      <c r="AM81" s="0" t="n">
        <f aca="false">SQRT(AK81^2+AL81^2)</f>
        <v>0.00667806894474959</v>
      </c>
      <c r="AN81" s="2" t="n">
        <f aca="false">Y81</f>
        <v>344</v>
      </c>
      <c r="AO81" s="0" t="n">
        <f aca="false">AM81/Z81</f>
        <v>0.00590678413335934</v>
      </c>
    </row>
    <row r="82" customFormat="false" ht="12.75" hidden="false" customHeight="false" outlineLevel="0" collapsed="false">
      <c r="Y82" s="0" t="n">
        <f aca="false">Y81+$X$5</f>
        <v>348</v>
      </c>
      <c r="Z82" s="0" t="n">
        <f aca="false">(Y82/$V$5)^$O$5</f>
        <v>1.13132182088786</v>
      </c>
      <c r="AA82" s="0" t="n">
        <f aca="false">$Q$5*(Y82-$V$5)</f>
        <v>1.93522107461131</v>
      </c>
      <c r="AB82" s="0" t="n">
        <f aca="false">COS(AA82)</f>
        <v>-0.356411878713251</v>
      </c>
      <c r="AC82" s="0" t="n">
        <f aca="false">SIN(AA82)</f>
        <v>0.934328942456612</v>
      </c>
      <c r="AD82" s="0" t="n">
        <f aca="false">$T$5*(Z82-1)</f>
        <v>0.00557593403976609</v>
      </c>
      <c r="AE82" s="0" t="n">
        <f aca="false">2*$T$5*$U$5*Z82*$X$5/(Y82+Y83)</f>
        <v>4.27751573118331E-005</v>
      </c>
      <c r="AF82" s="0" t="n">
        <f aca="false">AB82*AE82</f>
        <v>-1.52455741797653E-005</v>
      </c>
      <c r="AG82" s="0" t="n">
        <f aca="false">AG81+AF81</f>
        <v>0.00529076607444568</v>
      </c>
      <c r="AH82" s="0" t="n">
        <f aca="false">AC82*AE82</f>
        <v>3.99660674945803E-005</v>
      </c>
      <c r="AI82" s="0" t="n">
        <f aca="false">AI81+AH81</f>
        <v>0.00385871540836269</v>
      </c>
      <c r="AJ82" s="6" t="n">
        <f aca="false">Y82/$P$5</f>
        <v>0.348</v>
      </c>
      <c r="AK82" s="0" t="n">
        <f aca="false">SQRT(AG82^2+AI82^2)</f>
        <v>0.00654842654820538</v>
      </c>
      <c r="AL82" s="0" t="n">
        <f aca="false">$W$5*(Y82/$V$5-Z82)</f>
        <v>0.00138759306810619</v>
      </c>
      <c r="AM82" s="0" t="n">
        <f aca="false">SQRT(AK82^2+AL82^2)</f>
        <v>0.00669382587015059</v>
      </c>
      <c r="AN82" s="2" t="n">
        <f aca="false">Y82</f>
        <v>348</v>
      </c>
      <c r="AO82" s="0" t="n">
        <f aca="false">AM82/Z82</f>
        <v>0.00591681849192767</v>
      </c>
    </row>
    <row r="83" customFormat="false" ht="12.75" hidden="false" customHeight="false" outlineLevel="0" collapsed="false">
      <c r="Y83" s="0" t="n">
        <f aca="false">Y82+$X$5</f>
        <v>352</v>
      </c>
      <c r="Z83" s="0" t="n">
        <f aca="false">(Y83/$V$5)^$O$5</f>
        <v>1.13205950660596</v>
      </c>
      <c r="AA83" s="0" t="n">
        <f aca="false">$Q$5*(Y83-$V$5)</f>
        <v>1.96035381584003</v>
      </c>
      <c r="AB83" s="0" t="n">
        <f aca="false">COS(AA83)</f>
        <v>-0.379779095521801</v>
      </c>
      <c r="AC83" s="0" t="n">
        <f aca="false">SIN(AA83)</f>
        <v>0.925077206834458</v>
      </c>
      <c r="AD83" s="0" t="n">
        <f aca="false">$T$5*(Z83-1)</f>
        <v>0.00560725622886113</v>
      </c>
      <c r="AE83" s="0" t="n">
        <f aca="false">2*$T$5*$U$5*Z83*$X$5/(Y83+Y84)</f>
        <v>4.23193988574509E-005</v>
      </c>
      <c r="AF83" s="0" t="n">
        <f aca="false">AB83*AE83</f>
        <v>-1.60720230211091E-005</v>
      </c>
      <c r="AG83" s="0" t="n">
        <f aca="false">AG82+AF82</f>
        <v>0.00527552050026592</v>
      </c>
      <c r="AH83" s="0" t="n">
        <f aca="false">AC83*AE83</f>
        <v>3.91487112899641E-005</v>
      </c>
      <c r="AI83" s="0" t="n">
        <f aca="false">AI82+AH82</f>
        <v>0.00389868147585727</v>
      </c>
      <c r="AJ83" s="6" t="n">
        <f aca="false">Y83/$P$5</f>
        <v>0.352</v>
      </c>
      <c r="AK83" s="0" t="n">
        <f aca="false">SQRT(AG83^2+AI83^2)</f>
        <v>0.00655978915811465</v>
      </c>
      <c r="AL83" s="0" t="n">
        <f aca="false">$W$5*(Y83/$V$5-Z83)</f>
        <v>0.00140579118618735</v>
      </c>
      <c r="AM83" s="0" t="n">
        <f aca="false">SQRT(AK83^2+AL83^2)</f>
        <v>0.00670873182189306</v>
      </c>
      <c r="AN83" s="2" t="n">
        <f aca="false">Y83</f>
        <v>352</v>
      </c>
      <c r="AO83" s="0" t="n">
        <f aca="false">AM83/Z83</f>
        <v>0.00592613001590933</v>
      </c>
    </row>
    <row r="84" customFormat="false" ht="12.75" hidden="false" customHeight="false" outlineLevel="0" collapsed="false">
      <c r="Y84" s="0" t="n">
        <f aca="false">Y83+$X$5</f>
        <v>356</v>
      </c>
      <c r="Z84" s="0" t="n">
        <f aca="false">(Y84/$V$5)^$O$5</f>
        <v>1.13278932960317</v>
      </c>
      <c r="AA84" s="0" t="n">
        <f aca="false">$Q$5*(Y84-$V$5)</f>
        <v>1.98548655706875</v>
      </c>
      <c r="AB84" s="0" t="n">
        <f aca="false">COS(AA84)</f>
        <v>-0.402906435713663</v>
      </c>
      <c r="AC84" s="0" t="n">
        <f aca="false">SIN(AA84)</f>
        <v>0.915241172620918</v>
      </c>
      <c r="AD84" s="0" t="n">
        <f aca="false">$T$5*(Z84-1)</f>
        <v>0.00563824456625765</v>
      </c>
      <c r="AE84" s="0" t="n">
        <f aca="false">2*$T$5*$U$5*Z84*$X$5/(Y84+Y85)</f>
        <v>4.18735343042198E-005</v>
      </c>
      <c r="AF84" s="0" t="n">
        <f aca="false">AB84*AE84</f>
        <v>-1.6871116457247E-005</v>
      </c>
      <c r="AG84" s="0" t="n">
        <f aca="false">AG83+AF83</f>
        <v>0.00525944847724481</v>
      </c>
      <c r="AH84" s="0" t="n">
        <f aca="false">AC84*AE84</f>
        <v>3.83243826383763E-005</v>
      </c>
      <c r="AI84" s="0" t="n">
        <f aca="false">AI83+AH83</f>
        <v>0.00393783018714724</v>
      </c>
      <c r="AJ84" s="6" t="n">
        <f aca="false">Y84/$P$5</f>
        <v>0.356</v>
      </c>
      <c r="AK84" s="0" t="n">
        <f aca="false">SQRT(AG84^2+AI84^2)</f>
        <v>0.00657025911723432</v>
      </c>
      <c r="AL84" s="0" t="n">
        <f aca="false">$W$5*(Y84/$V$5-Z84)</f>
        <v>0.00142399074576948</v>
      </c>
      <c r="AM84" s="0" t="n">
        <f aca="false">SQRT(AK84^2+AL84^2)</f>
        <v>0.00672280109118497</v>
      </c>
      <c r="AN84" s="2" t="n">
        <f aca="false">Y84</f>
        <v>356</v>
      </c>
      <c r="AO84" s="0" t="n">
        <f aca="false">AM84/Z84</f>
        <v>0.00593473200664772</v>
      </c>
    </row>
    <row r="85" customFormat="false" ht="12.75" hidden="false" customHeight="false" outlineLevel="0" collapsed="false">
      <c r="Y85" s="0" t="n">
        <f aca="false">Y84+$X$5</f>
        <v>360</v>
      </c>
      <c r="Z85" s="0" t="n">
        <f aca="false">(Y85/$V$5)^$O$5</f>
        <v>1.1335114606321</v>
      </c>
      <c r="AA85" s="0" t="n">
        <f aca="false">$Q$5*(Y85-$V$5)</f>
        <v>2.01061929829747</v>
      </c>
      <c r="AB85" s="0" t="n">
        <f aca="false">COS(AA85)</f>
        <v>-0.425779291565073</v>
      </c>
      <c r="AC85" s="0" t="n">
        <f aca="false">SIN(AA85)</f>
        <v>0.90482705246602</v>
      </c>
      <c r="AD85" s="0" t="n">
        <f aca="false">$T$5*(Z85-1)</f>
        <v>0.00566890630212234</v>
      </c>
      <c r="AE85" s="0" t="n">
        <f aca="false">2*$T$5*$U$5*Z85*$X$5/(Y85+Y86)</f>
        <v>4.1437241919637E-005</v>
      </c>
      <c r="AF85" s="0" t="n">
        <f aca="false">AB85*AE85</f>
        <v>-1.76431195089536E-005</v>
      </c>
      <c r="AG85" s="0" t="n">
        <f aca="false">AG84+AF84</f>
        <v>0.00524257736078756</v>
      </c>
      <c r="AH85" s="0" t="n">
        <f aca="false">AC85*AE85</f>
        <v>3.74935374684665E-005</v>
      </c>
      <c r="AI85" s="0" t="n">
        <f aca="false">AI84+AH84</f>
        <v>0.00397615456978561</v>
      </c>
      <c r="AJ85" s="6" t="n">
        <f aca="false">Y85/$P$5</f>
        <v>0.36</v>
      </c>
      <c r="AK85" s="0" t="n">
        <f aca="false">SQRT(AG85^2+AI85^2)</f>
        <v>0.0065798497358731</v>
      </c>
      <c r="AL85" s="0" t="n">
        <f aca="false">$W$5*(Y85/$V$5-Z85)</f>
        <v>0.0014421917155479</v>
      </c>
      <c r="AM85" s="0" t="n">
        <f aca="false">SQRT(AK85^2+AL85^2)</f>
        <v>0.00673604776490371</v>
      </c>
      <c r="AN85" s="2" t="n">
        <f aca="false">Y85</f>
        <v>360</v>
      </c>
      <c r="AO85" s="0" t="n">
        <f aca="false">AM85/Z85</f>
        <v>0.00594263754611479</v>
      </c>
    </row>
    <row r="86" customFormat="false" ht="12.75" hidden="false" customHeight="false" outlineLevel="0" collapsed="false">
      <c r="Y86" s="0" t="n">
        <f aca="false">Y85+$X$5</f>
        <v>364</v>
      </c>
      <c r="Z86" s="0" t="n">
        <f aca="false">(Y86/$V$5)^$O$5</f>
        <v>1.13422606489061</v>
      </c>
      <c r="AA86" s="0" t="n">
        <f aca="false">$Q$5*(Y86-$V$5)</f>
        <v>2.03575203952619</v>
      </c>
      <c r="AB86" s="0" t="n">
        <f aca="false">COS(AA86)</f>
        <v>-0.448383216090032</v>
      </c>
      <c r="AC86" s="0" t="n">
        <f aca="false">SIN(AA86)</f>
        <v>0.893841424151264</v>
      </c>
      <c r="AD86" s="0" t="n">
        <f aca="false">$T$5*(Z86-1)</f>
        <v>0.00569924845076968</v>
      </c>
      <c r="AE86" s="0" t="n">
        <f aca="false">2*$T$5*$U$5*Z86*$X$5/(Y86+Y87)</f>
        <v>4.1010213835168E-005</v>
      </c>
      <c r="AF86" s="0" t="n">
        <f aca="false">AB86*AE86</f>
        <v>-1.83882915719526E-005</v>
      </c>
      <c r="AG86" s="0" t="n">
        <f aca="false">AG85+AF85</f>
        <v>0.00522493424127861</v>
      </c>
      <c r="AH86" s="0" t="n">
        <f aca="false">AC86*AE86</f>
        <v>3.66566279391744E-005</v>
      </c>
      <c r="AI86" s="0" t="n">
        <f aca="false">AI85+AH85</f>
        <v>0.00401364810725408</v>
      </c>
      <c r="AJ86" s="6" t="n">
        <f aca="false">Y86/$P$5</f>
        <v>0.364</v>
      </c>
      <c r="AK86" s="0" t="n">
        <f aca="false">SQRT(AG86^2+AI86^2)</f>
        <v>0.00658857412150382</v>
      </c>
      <c r="AL86" s="0" t="n">
        <f aca="false">$W$5*(Y86/$V$5-Z86)</f>
        <v>0.00146039406523629</v>
      </c>
      <c r="AM86" s="0" t="n">
        <f aca="false">SQRT(AK86^2+AL86^2)</f>
        <v>0.00674848573980321</v>
      </c>
      <c r="AN86" s="2" t="n">
        <f aca="false">Y86</f>
        <v>364</v>
      </c>
      <c r="AO86" s="0" t="n">
        <f aca="false">AM86/Z86</f>
        <v>0.00594985951099092</v>
      </c>
    </row>
    <row r="87" customFormat="false" ht="12.75" hidden="false" customHeight="false" outlineLevel="0" collapsed="false">
      <c r="Y87" s="0" t="n">
        <f aca="false">Y86+$X$5</f>
        <v>368</v>
      </c>
      <c r="Z87" s="0" t="n">
        <f aca="false">(Y87/$V$5)^$O$5</f>
        <v>1.13493330226138</v>
      </c>
      <c r="AA87" s="0" t="n">
        <f aca="false">$Q$5*(Y87-$V$5)</f>
        <v>2.0608847807549</v>
      </c>
      <c r="AB87" s="0" t="n">
        <f aca="false">COS(AA87)</f>
        <v>-0.470703932165333</v>
      </c>
      <c r="AC87" s="0" t="n">
        <f aca="false">SIN(AA87)</f>
        <v>0.882291226434953</v>
      </c>
      <c r="AD87" s="0" t="n">
        <f aca="false">$T$5*(Z87-1)</f>
        <v>0.00572927780082906</v>
      </c>
      <c r="AE87" s="0" t="n">
        <f aca="false">2*$T$5*$U$5*Z87*$X$5/(Y87+Y88)</f>
        <v>4.0592155305407E-005</v>
      </c>
      <c r="AF87" s="0" t="n">
        <f aca="false">AB87*AE87</f>
        <v>-1.91068871173209E-005</v>
      </c>
      <c r="AG87" s="0" t="n">
        <f aca="false">AG86+AF86</f>
        <v>0.00520654594970665</v>
      </c>
      <c r="AH87" s="0" t="n">
        <f aca="false">AC87*AE87</f>
        <v>3.58141024880456E-005</v>
      </c>
      <c r="AI87" s="0" t="n">
        <f aca="false">AI86+AH86</f>
        <v>0.00405030473519325</v>
      </c>
      <c r="AJ87" s="6" t="n">
        <f aca="false">Y87/$P$5</f>
        <v>0.368</v>
      </c>
      <c r="AK87" s="0" t="n">
        <f aca="false">SQRT(AG87^2+AI87^2)</f>
        <v>0.00659644519224829</v>
      </c>
      <c r="AL87" s="0" t="n">
        <f aca="false">$W$5*(Y87/$V$5-Z87)</f>
        <v>0.00147859776552278</v>
      </c>
      <c r="AM87" s="0" t="n">
        <f aca="false">SQRT(AK87^2+AL87^2)</f>
        <v>0.00676012873594465</v>
      </c>
      <c r="AN87" s="2" t="n">
        <f aca="false">Y87</f>
        <v>368</v>
      </c>
      <c r="AO87" s="0" t="n">
        <f aca="false">AM87/Z87</f>
        <v>0.00595641058595684</v>
      </c>
    </row>
    <row r="88" customFormat="false" ht="12.75" hidden="false" customHeight="false" outlineLevel="0" collapsed="false">
      <c r="Y88" s="0" t="n">
        <f aca="false">Y87+$X$5</f>
        <v>372</v>
      </c>
      <c r="Z88" s="0" t="n">
        <f aca="false">(Y88/$V$5)^$O$5</f>
        <v>1.13563332753849</v>
      </c>
      <c r="AA88" s="0" t="n">
        <f aca="false">$Q$5*(Y88-$V$5)</f>
        <v>2.08601752198362</v>
      </c>
      <c r="AB88" s="0" t="n">
        <f aca="false">COS(AA88)</f>
        <v>-0.492727341548291</v>
      </c>
      <c r="AC88" s="0" t="n">
        <f aca="false">SIN(AA88)</f>
        <v>0.870183754669526</v>
      </c>
      <c r="AD88" s="0" t="n">
        <f aca="false">$T$5*(Z88-1)</f>
        <v>0.00575900092486848</v>
      </c>
      <c r="AE88" s="0" t="n">
        <f aca="false">2*$T$5*$U$5*Z88*$X$5/(Y88+Y89)</f>
        <v>4.01827840143251E-005</v>
      </c>
      <c r="AF88" s="0" t="n">
        <f aca="false">AB88*AE88</f>
        <v>-1.97991563433876E-005</v>
      </c>
      <c r="AG88" s="0" t="n">
        <f aca="false">AG87+AF87</f>
        <v>0.00518743906258933</v>
      </c>
      <c r="AH88" s="0" t="n">
        <f aca="false">AC88*AE88</f>
        <v>3.496640586666E-005</v>
      </c>
      <c r="AI88" s="0" t="n">
        <f aca="false">AI87+AH87</f>
        <v>0.0040861188376813</v>
      </c>
      <c r="AJ88" s="6" t="n">
        <f aca="false">Y88/$P$5</f>
        <v>0.372</v>
      </c>
      <c r="AK88" s="0" t="n">
        <f aca="false">SQRT(AG88^2+AI88^2)</f>
        <v>0.00660347568964493</v>
      </c>
      <c r="AL88" s="0" t="n">
        <f aca="false">$W$5*(Y88/$V$5-Z88)</f>
        <v>0.00149680278802841</v>
      </c>
      <c r="AM88" s="0" t="n">
        <f aca="false">SQRT(AK88^2+AL88^2)</f>
        <v>0.00677099030939945</v>
      </c>
      <c r="AN88" s="2" t="n">
        <f aca="false">Y88</f>
        <v>372</v>
      </c>
      <c r="AO88" s="0" t="n">
        <f aca="false">AM88/Z88</f>
        <v>0.00596230327624825</v>
      </c>
    </row>
    <row r="89" customFormat="false" ht="12.75" hidden="false" customHeight="false" outlineLevel="0" collapsed="false">
      <c r="Y89" s="0" t="n">
        <f aca="false">Y88+$X$5</f>
        <v>376</v>
      </c>
      <c r="Z89" s="0" t="n">
        <f aca="false">(Y89/$V$5)^$O$5</f>
        <v>1.13632629064211</v>
      </c>
      <c r="AA89" s="0" t="n">
        <f aca="false">$Q$5*(Y89-$V$5)</f>
        <v>2.11115026321234</v>
      </c>
      <c r="AB89" s="0" t="n">
        <f aca="false">COS(AA89)</f>
        <v>-0.514439533781507</v>
      </c>
      <c r="AC89" s="0" t="n">
        <f aca="false">SIN(AA89)</f>
        <v>0.857526656193652</v>
      </c>
      <c r="AD89" s="0" t="n">
        <f aca="false">$T$5*(Z89-1)</f>
        <v>0.00578842418850923</v>
      </c>
      <c r="AE89" s="0" t="n">
        <f aca="false">2*$T$5*$U$5*Z89*$X$5/(Y89+Y90)</f>
        <v>3.97818294251468E-005</v>
      </c>
      <c r="AF89" s="0" t="n">
        <f aca="false">AB89*AE89</f>
        <v>-2.04653457824479E-005</v>
      </c>
      <c r="AG89" s="0" t="n">
        <f aca="false">AG88+AF88</f>
        <v>0.00516763990624594</v>
      </c>
      <c r="AH89" s="0" t="n">
        <f aca="false">AC89*AE89</f>
        <v>3.41139791642124E-005</v>
      </c>
      <c r="AI89" s="0" t="n">
        <f aca="false">AI88+AH88</f>
        <v>0.00412108524354796</v>
      </c>
      <c r="AJ89" s="6" t="n">
        <f aca="false">Y89/$P$5</f>
        <v>0.376</v>
      </c>
      <c r="AK89" s="0" t="n">
        <f aca="false">SQRT(AG89^2+AI89^2)</f>
        <v>0.00660967819074532</v>
      </c>
      <c r="AL89" s="0" t="n">
        <f aca="false">$W$5*(Y89/$V$5-Z89)</f>
        <v>0.00151500910526777</v>
      </c>
      <c r="AM89" s="0" t="n">
        <f aca="false">SQRT(AK89^2+AL89^2)</f>
        <v>0.00678108386426968</v>
      </c>
      <c r="AN89" s="2" t="n">
        <f aca="false">Y89</f>
        <v>376</v>
      </c>
      <c r="AO89" s="0" t="n">
        <f aca="false">AM89/Z89</f>
        <v>0.00596754991951991</v>
      </c>
    </row>
    <row r="90" customFormat="false" ht="12.75" hidden="false" customHeight="false" outlineLevel="0" collapsed="false">
      <c r="Y90" s="0" t="n">
        <f aca="false">Y89+$X$5</f>
        <v>380</v>
      </c>
      <c r="Z90" s="0" t="n">
        <f aca="false">(Y90/$V$5)^$O$5</f>
        <v>1.13701233682193</v>
      </c>
      <c r="AA90" s="0" t="n">
        <f aca="false">$Q$5*(Y90-$V$5)</f>
        <v>2.13628300444106</v>
      </c>
      <c r="AB90" s="0" t="n">
        <f aca="false">COS(AA90)</f>
        <v>-0.535826794978996</v>
      </c>
      <c r="AC90" s="0" t="n">
        <f aca="false">SIN(AA90)</f>
        <v>0.844327925502015</v>
      </c>
      <c r="AD90" s="0" t="n">
        <f aca="false">$T$5*(Z90-1)</f>
        <v>0.00581755375906371</v>
      </c>
      <c r="AE90" s="0" t="n">
        <f aca="false">2*$T$5*$U$5*Z90*$X$5/(Y90+Y91)</f>
        <v>3.93890321706823E-005</v>
      </c>
      <c r="AF90" s="0" t="n">
        <f aca="false">AB90*AE90</f>
        <v>-2.11056988653413E-005</v>
      </c>
      <c r="AG90" s="0" t="n">
        <f aca="false">AG89+AF89</f>
        <v>0.0051471745604635</v>
      </c>
      <c r="AH90" s="0" t="n">
        <f aca="false">AC90*AE90</f>
        <v>3.32572598202043E-005</v>
      </c>
      <c r="AI90" s="0" t="n">
        <f aca="false">AI89+AH89</f>
        <v>0.00415519922271217</v>
      </c>
      <c r="AJ90" s="6" t="n">
        <f aca="false">Y90/$P$5</f>
        <v>0.38</v>
      </c>
      <c r="AK90" s="0" t="n">
        <f aca="false">SQRT(AG90^2+AI90^2)</f>
        <v>0.006615065119582</v>
      </c>
      <c r="AL90" s="0" t="n">
        <f aca="false">$W$5*(Y90/$V$5-Z90)</f>
        <v>0.00153321669061173</v>
      </c>
      <c r="AM90" s="0" t="n">
        <f aca="false">SQRT(AK90^2+AL90^2)</f>
        <v>0.00679042266406744</v>
      </c>
      <c r="AN90" s="2" t="n">
        <f aca="false">Y90</f>
        <v>380</v>
      </c>
      <c r="AO90" s="0" t="n">
        <f aca="false">AM90/Z90</f>
        <v>0.0059721626970622</v>
      </c>
    </row>
    <row r="91" customFormat="false" ht="12.75" hidden="false" customHeight="false" outlineLevel="0" collapsed="false">
      <c r="Y91" s="0" t="n">
        <f aca="false">Y90+$X$5</f>
        <v>384</v>
      </c>
      <c r="Z91" s="0" t="n">
        <f aca="false">(Y91/$V$5)^$O$5</f>
        <v>1.13769160685005</v>
      </c>
      <c r="AA91" s="0" t="n">
        <f aca="false">$Q$5*(Y91-$V$5)</f>
        <v>2.16141574566978</v>
      </c>
      <c r="AB91" s="0" t="n">
        <f aca="false">COS(AA91)</f>
        <v>-0.556875616488188</v>
      </c>
      <c r="AC91" s="0" t="n">
        <f aca="false">SIN(AA91)</f>
        <v>0.830595899195813</v>
      </c>
      <c r="AD91" s="0" t="n">
        <f aca="false">$T$5*(Z91-1)</f>
        <v>0.00584639561372593</v>
      </c>
      <c r="AE91" s="0" t="n">
        <f aca="false">2*$T$5*$U$5*Z91*$X$5/(Y91+Y92)</f>
        <v>3.90041434812059E-005</v>
      </c>
      <c r="AF91" s="0" t="n">
        <f aca="false">AB91*AE91</f>
        <v>-2.17204564466903E-005</v>
      </c>
      <c r="AG91" s="0" t="n">
        <f aca="false">AG90+AF90</f>
        <v>0.00512606886159816</v>
      </c>
      <c r="AH91" s="0" t="n">
        <f aca="false">AC91*AE91</f>
        <v>3.23966816271347E-005</v>
      </c>
      <c r="AI91" s="0" t="n">
        <f aca="false">AI90+AH90</f>
        <v>0.00418845648253237</v>
      </c>
      <c r="AJ91" s="6" t="n">
        <f aca="false">Y91/$P$5</f>
        <v>0.384</v>
      </c>
      <c r="AK91" s="0" t="n">
        <f aca="false">SQRT(AG91^2+AI91^2)</f>
        <v>0.00661964875804704</v>
      </c>
      <c r="AL91" s="0" t="n">
        <f aca="false">$W$5*(Y91/$V$5-Z91)</f>
        <v>0.00155142551825201</v>
      </c>
      <c r="AM91" s="0" t="n">
        <f aca="false">SQRT(AK91^2+AL91^2)</f>
        <v>0.0067990198424918</v>
      </c>
      <c r="AN91" s="2" t="n">
        <f aca="false">Y91</f>
        <v>384</v>
      </c>
      <c r="AO91" s="0" t="n">
        <f aca="false">AM91/Z91</f>
        <v>0.00597615364441015</v>
      </c>
    </row>
    <row r="92" customFormat="false" ht="12.75" hidden="false" customHeight="false" outlineLevel="0" collapsed="false">
      <c r="Y92" s="0" t="n">
        <f aca="false">Y91+$X$5</f>
        <v>388</v>
      </c>
      <c r="Z92" s="0" t="n">
        <f aca="false">(Y92/$V$5)^$O$5</f>
        <v>1.13836423720404</v>
      </c>
      <c r="AA92" s="0" t="n">
        <f aca="false">$Q$5*(Y92-$V$5)</f>
        <v>2.1865484868985</v>
      </c>
      <c r="AB92" s="0" t="n">
        <f aca="false">COS(AA92)</f>
        <v>-0.577572703422268</v>
      </c>
      <c r="AC92" s="0" t="n">
        <f aca="false">SIN(AA92)</f>
        <v>0.816339250717184</v>
      </c>
      <c r="AD92" s="0" t="n">
        <f aca="false">$T$5*(Z92-1)</f>
        <v>0.00587495554734239</v>
      </c>
      <c r="AE92" s="0" t="n">
        <f aca="false">2*$T$5*$U$5*Z92*$X$5/(Y92+Y93)</f>
        <v>3.86269246472066E-005</v>
      </c>
      <c r="AF92" s="0" t="n">
        <f aca="false">AB92*AE92</f>
        <v>-2.23098572933753E-005</v>
      </c>
      <c r="AG92" s="0" t="n">
        <f aca="false">AG91+AF91</f>
        <v>0.00510434840515146</v>
      </c>
      <c r="AH92" s="0" t="n">
        <f aca="false">AC92*AE92</f>
        <v>3.15326747240097E-005</v>
      </c>
      <c r="AI92" s="0" t="n">
        <f aca="false">AI91+AH91</f>
        <v>0.00422085316415951</v>
      </c>
      <c r="AJ92" s="6" t="n">
        <f aca="false">Y92/$P$5</f>
        <v>0.388</v>
      </c>
      <c r="AK92" s="0" t="n">
        <f aca="false">SQRT(AG92^2+AI92^2)</f>
        <v>0.00662344125621777</v>
      </c>
      <c r="AL92" s="0" t="n">
        <f aca="false">$W$5*(Y92/$V$5-Z92)</f>
        <v>0.0015696355631677</v>
      </c>
      <c r="AM92" s="0" t="n">
        <f aca="false">SQRT(AK92^2+AL92^2)</f>
        <v>0.00680688841363867</v>
      </c>
      <c r="AN92" s="2" t="n">
        <f aca="false">Y92</f>
        <v>388</v>
      </c>
      <c r="AO92" s="0" t="n">
        <f aca="false">AM92/Z92</f>
        <v>0.00597953466138152</v>
      </c>
    </row>
    <row r="93" customFormat="false" ht="12.75" hidden="false" customHeight="false" outlineLevel="0" collapsed="false">
      <c r="Y93" s="0" t="n">
        <f aca="false">Y92+$X$5</f>
        <v>392</v>
      </c>
      <c r="Z93" s="0" t="n">
        <f aca="false">(Y93/$V$5)^$O$5</f>
        <v>1.13903036024059</v>
      </c>
      <c r="AA93" s="0" t="n">
        <f aca="false">$Q$5*(Y93-$V$5)</f>
        <v>2.21168122812721</v>
      </c>
      <c r="AB93" s="0" t="n">
        <f aca="false">COS(AA93)</f>
        <v>-0.597904983057519</v>
      </c>
      <c r="AC93" s="0" t="n">
        <f aca="false">SIN(AA93)</f>
        <v>0.801566984870877</v>
      </c>
      <c r="AD93" s="0" t="n">
        <f aca="false">$T$5*(Z93-1)</f>
        <v>0.00590323917978882</v>
      </c>
      <c r="AE93" s="0" t="n">
        <f aca="false">2*$T$5*$U$5*Z93*$X$5/(Y93+Y94)</f>
        <v>3.8257146514552E-005</v>
      </c>
      <c r="AF93" s="0" t="n">
        <f aca="false">AB93*AE93</f>
        <v>-2.28741385386122E-005</v>
      </c>
      <c r="AG93" s="0" t="n">
        <f aca="false">AG92+AF92</f>
        <v>0.00508203854785809</v>
      </c>
      <c r="AH93" s="0" t="n">
        <f aca="false">AC93*AE93</f>
        <v>3.06656655814328E-005</v>
      </c>
      <c r="AI93" s="0" t="n">
        <f aca="false">AI92+AH92</f>
        <v>0.00425238583888352</v>
      </c>
      <c r="AJ93" s="6" t="n">
        <f aca="false">Y93/$P$5</f>
        <v>0.392</v>
      </c>
      <c r="AK93" s="0" t="n">
        <f aca="false">SQRT(AG93^2+AI93^2)</f>
        <v>0.00662645464216369</v>
      </c>
      <c r="AL93" s="0" t="n">
        <f aca="false">$W$5*(Y93/$V$5-Z93)</f>
        <v>0.00158784680109336</v>
      </c>
      <c r="AM93" s="0" t="n">
        <f aca="false">SQRT(AK93^2+AL93^2)</f>
        <v>0.00681404128167676</v>
      </c>
      <c r="AN93" s="2" t="n">
        <f aca="false">Y93</f>
        <v>392</v>
      </c>
      <c r="AO93" s="0" t="n">
        <f aca="false">AM93/Z93</f>
        <v>0.00598231752157816</v>
      </c>
    </row>
    <row r="94" customFormat="false" ht="12.75" hidden="false" customHeight="false" outlineLevel="0" collapsed="false">
      <c r="Y94" s="0" t="n">
        <f aca="false">Y93+$X$5</f>
        <v>396</v>
      </c>
      <c r="Z94" s="0" t="n">
        <f aca="false">(Y94/$V$5)^$O$5</f>
        <v>1.13969010436061</v>
      </c>
      <c r="AA94" s="0" t="n">
        <f aca="false">$Q$5*(Y94-$V$5)</f>
        <v>2.23681396935593</v>
      </c>
      <c r="AB94" s="0" t="n">
        <f aca="false">COS(AA94)</f>
        <v>-0.617859613090335</v>
      </c>
      <c r="AC94" s="0" t="n">
        <f aca="false">SIN(AA94)</f>
        <v>0.786288432136619</v>
      </c>
      <c r="AD94" s="0" t="n">
        <f aca="false">$T$5*(Z94-1)</f>
        <v>0.00593125196297665</v>
      </c>
      <c r="AE94" s="0" t="n">
        <f aca="false">2*$T$5*$U$5*Z94*$X$5/(Y94+Y95)</f>
        <v>3.7894589009806E-005</v>
      </c>
      <c r="AF94" s="0" t="n">
        <f aca="false">AB94*AE94</f>
        <v>-2.3413536103816E-005</v>
      </c>
      <c r="AG94" s="0" t="n">
        <f aca="false">AG93+AF93</f>
        <v>0.00505916440931948</v>
      </c>
      <c r="AH94" s="0" t="n">
        <f aca="false">AC94*AE94</f>
        <v>2.97960769789819E-005</v>
      </c>
      <c r="AI94" s="0" t="n">
        <f aca="false">AI93+AH93</f>
        <v>0.00428305150446495</v>
      </c>
      <c r="AJ94" s="6" t="n">
        <f aca="false">Y94/$P$5</f>
        <v>0.396</v>
      </c>
      <c r="AK94" s="0" t="n">
        <f aca="false">SQRT(AG94^2+AI94^2)</f>
        <v>0.00662870083126584</v>
      </c>
      <c r="AL94" s="0" t="n">
        <f aca="false">$W$5*(Y94/$V$5-Z94)</f>
        <v>0.0016060592084888</v>
      </c>
      <c r="AM94" s="0" t="n">
        <f aca="false">SQRT(AK94^2+AL94^2)</f>
        <v>0.00682049125001976</v>
      </c>
      <c r="AN94" s="2" t="n">
        <f aca="false">Y94</f>
        <v>396</v>
      </c>
      <c r="AO94" s="0" t="n">
        <f aca="false">AM94/Z94</f>
        <v>0.00598451388138198</v>
      </c>
    </row>
    <row r="95" customFormat="false" ht="12.75" hidden="false" customHeight="false" outlineLevel="0" collapsed="false">
      <c r="Y95" s="0" t="n">
        <f aca="false">Y94+$X$5</f>
        <v>400</v>
      </c>
      <c r="Z95" s="0" t="n">
        <f aca="false">(Y95/$V$5)^$O$5</f>
        <v>1.14034359416599</v>
      </c>
      <c r="AA95" s="0" t="n">
        <f aca="false">$Q$5*(Y95-$V$5)</f>
        <v>2.26194671058465</v>
      </c>
      <c r="AB95" s="0" t="n">
        <f aca="false">COS(AA95)</f>
        <v>-0.63742398974869</v>
      </c>
      <c r="AC95" s="0" t="n">
        <f aca="false">SIN(AA95)</f>
        <v>0.770513242775789</v>
      </c>
      <c r="AD95" s="0" t="n">
        <f aca="false">$T$5*(Z95-1)</f>
        <v>0.00595899918751128</v>
      </c>
      <c r="AE95" s="0" t="n">
        <f aca="false">2*$T$5*$U$5*Z95*$X$5/(Y95+Y96)</f>
        <v>3.75390406936142E-005</v>
      </c>
      <c r="AF95" s="0" t="n">
        <f aca="false">AB95*AE95</f>
        <v>-2.3928285090262E-005</v>
      </c>
      <c r="AG95" s="0" t="n">
        <f aca="false">AG94+AF94</f>
        <v>0.00503575087321566</v>
      </c>
      <c r="AH95" s="0" t="n">
        <f aca="false">AC95*AE95</f>
        <v>2.8924327975529E-005</v>
      </c>
      <c r="AI95" s="0" t="n">
        <f aca="false">AI94+AH94</f>
        <v>0.00431284758144393</v>
      </c>
      <c r="AJ95" s="6" t="n">
        <f aca="false">Y95/$P$5</f>
        <v>0.4</v>
      </c>
      <c r="AK95" s="0" t="n">
        <f aca="false">SQRT(AG95^2+AI95^2)</f>
        <v>0.00663019163507806</v>
      </c>
      <c r="AL95" s="0" t="n">
        <f aca="false">$W$5*(Y95/$V$5-Z95)</f>
        <v>0.0016242727625103</v>
      </c>
      <c r="AM95" s="0" t="n">
        <f aca="false">SQRT(AK95^2+AL95^2)</f>
        <v>0.00682625103002314</v>
      </c>
      <c r="AN95" s="2" t="n">
        <f aca="false">Y95</f>
        <v>400</v>
      </c>
      <c r="AO95" s="0" t="n">
        <f aca="false">AM95/Z95</f>
        <v>0.00598613528847471</v>
      </c>
    </row>
    <row r="96" customFormat="false" ht="12.75" hidden="false" customHeight="false" outlineLevel="0" collapsed="false">
      <c r="Y96" s="0" t="n">
        <f aca="false">Y95+$X$5</f>
        <v>404</v>
      </c>
      <c r="Z96" s="0" t="n">
        <f aca="false">(Y96/$V$5)^$O$5</f>
        <v>1.14099095060872</v>
      </c>
      <c r="AA96" s="0" t="n">
        <f aca="false">$Q$5*(Y96-$V$5)</f>
        <v>2.28707945181337</v>
      </c>
      <c r="AB96" s="0" t="n">
        <f aca="false">COS(AA96)</f>
        <v>-0.656585755752957</v>
      </c>
      <c r="AC96" s="0" t="n">
        <f aca="false">SIN(AA96)</f>
        <v>0.754251380736104</v>
      </c>
      <c r="AD96" s="0" t="n">
        <f aca="false">$T$5*(Z96-1)</f>
        <v>0.00598648598902265</v>
      </c>
      <c r="AE96" s="0" t="n">
        <f aca="false">2*$T$5*$U$5*Z96*$X$5/(Y96+Y97)</f>
        <v>3.71902983402399E-005</v>
      </c>
      <c r="AF96" s="0" t="n">
        <f aca="false">AB96*AE96</f>
        <v>-2.44186201424043E-005</v>
      </c>
      <c r="AG96" s="0" t="n">
        <f aca="false">AG95+AF95</f>
        <v>0.0050118225881254</v>
      </c>
      <c r="AH96" s="0" t="n">
        <f aca="false">AC96*AE96</f>
        <v>2.80508338731136E-005</v>
      </c>
      <c r="AI96" s="0" t="n">
        <f aca="false">AI95+AH95</f>
        <v>0.00434177190941946</v>
      </c>
      <c r="AJ96" s="6" t="n">
        <f aca="false">Y96/$P$5</f>
        <v>0.404</v>
      </c>
      <c r="AK96" s="0" t="n">
        <f aca="false">SQRT(AG96^2+AI96^2)</f>
        <v>0.00663093876975711</v>
      </c>
      <c r="AL96" s="0" t="n">
        <f aca="false">$W$5*(Y96/$V$5-Z96)</f>
        <v>0.00164248744098329</v>
      </c>
      <c r="AM96" s="0" t="n">
        <f aca="false">SQRT(AK96^2+AL96^2)</f>
        <v>0.0068313332492315</v>
      </c>
      <c r="AN96" s="2" t="n">
        <f aca="false">Y96</f>
        <v>404</v>
      </c>
      <c r="AO96" s="0" t="n">
        <f aca="false">AM96/Z96</f>
        <v>0.00598719318990828</v>
      </c>
    </row>
    <row r="97" customFormat="false" ht="12.75" hidden="false" customHeight="false" outlineLevel="0" collapsed="false">
      <c r="Y97" s="0" t="n">
        <f aca="false">Y96+$X$5</f>
        <v>408</v>
      </c>
      <c r="Z97" s="0" t="n">
        <f aca="false">(Y97/$V$5)^$O$5</f>
        <v>1.1416322911327</v>
      </c>
      <c r="AA97" s="0" t="n">
        <f aca="false">$Q$5*(Y97-$V$5)</f>
        <v>2.31221219304209</v>
      </c>
      <c r="AB97" s="0" t="n">
        <f aca="false">COS(AA97)</f>
        <v>-0.675332808121025</v>
      </c>
      <c r="AC97" s="0" t="n">
        <f aca="false">SIN(AA97)</f>
        <v>0.737513117358174</v>
      </c>
      <c r="AD97" s="0" t="n">
        <f aca="false">$T$5*(Z97-1)</f>
        <v>0.00601371735418767</v>
      </c>
      <c r="AE97" s="0" t="n">
        <f aca="false">2*$T$5*$U$5*Z97*$X$5/(Y97+Y98)</f>
        <v>3.68481665414777E-005</v>
      </c>
      <c r="AF97" s="0" t="n">
        <f aca="false">AB97*AE97</f>
        <v>-2.48847757845673E-005</v>
      </c>
      <c r="AG97" s="0" t="n">
        <f aca="false">AG96+AF96</f>
        <v>0.004987403967983</v>
      </c>
      <c r="AH97" s="0" t="n">
        <f aca="false">AC97*AE97</f>
        <v>2.71760061749384E-005</v>
      </c>
      <c r="AI97" s="0" t="n">
        <f aca="false">AI96+AH96</f>
        <v>0.00436982274329258</v>
      </c>
      <c r="AJ97" s="6" t="n">
        <f aca="false">Y97/$P$5</f>
        <v>0.408</v>
      </c>
      <c r="AK97" s="0" t="n">
        <f aca="false">SQRT(AG97^2+AI97^2)</f>
        <v>0.00663095386408694</v>
      </c>
      <c r="AL97" s="0" t="n">
        <f aca="false">$W$5*(Y97/$V$5-Z97)</f>
        <v>0.00166070322237637</v>
      </c>
      <c r="AM97" s="0" t="n">
        <f aca="false">SQRT(AK97^2+AL97^2)</f>
        <v>0.00683575045920057</v>
      </c>
      <c r="AN97" s="2" t="n">
        <f aca="false">Y97</f>
        <v>408</v>
      </c>
      <c r="AO97" s="0" t="n">
        <f aca="false">AM97/Z97</f>
        <v>0.00598769893975084</v>
      </c>
    </row>
    <row r="98" customFormat="false" ht="12.75" hidden="false" customHeight="false" outlineLevel="0" collapsed="false">
      <c r="Y98" s="0" t="n">
        <f aca="false">Y97+$X$5</f>
        <v>412</v>
      </c>
      <c r="Z98" s="0" t="n">
        <f aca="false">(Y98/$V$5)^$O$5</f>
        <v>1.14226772980875</v>
      </c>
      <c r="AA98" s="0" t="n">
        <f aca="false">$Q$5*(Y98-$V$5)</f>
        <v>2.33734493427081</v>
      </c>
      <c r="AB98" s="0" t="n">
        <f aca="false">COS(AA98)</f>
        <v>-0.693653305812805</v>
      </c>
      <c r="AC98" s="0" t="n">
        <f aca="false">SIN(AA98)</f>
        <v>0.720309024887907</v>
      </c>
      <c r="AD98" s="0" t="n">
        <f aca="false">$T$5*(Z98-1)</f>
        <v>0.00604069812646185</v>
      </c>
      <c r="AE98" s="0" t="n">
        <f aca="false">2*$T$5*$U$5*Z98*$X$5/(Y98+Y99)</f>
        <v>3.65124573333099E-005</v>
      </c>
      <c r="AF98" s="0" t="n">
        <f aca="false">AB98*AE98</f>
        <v>-2.53269867325994E-005</v>
      </c>
      <c r="AG98" s="0" t="n">
        <f aca="false">AG97+AF97</f>
        <v>0.00496251919219843</v>
      </c>
      <c r="AH98" s="0" t="n">
        <f aca="false">AC98*AE98</f>
        <v>2.63002525380178E-005</v>
      </c>
      <c r="AI98" s="0" t="n">
        <f aca="false">AI97+AH97</f>
        <v>0.00439699874946751</v>
      </c>
      <c r="AJ98" s="6" t="n">
        <f aca="false">Y98/$P$5</f>
        <v>0.412</v>
      </c>
      <c r="AK98" s="0" t="n">
        <f aca="false">SQRT(AG98^2+AI98^2)</f>
        <v>0.00663024846712072</v>
      </c>
      <c r="AL98" s="0" t="n">
        <f aca="false">$W$5*(Y98/$V$5-Z98)</f>
        <v>0.00167892008577651</v>
      </c>
      <c r="AM98" s="0" t="n">
        <f aca="false">SQRT(AK98^2+AL98^2)</f>
        <v>0.00683951514291623</v>
      </c>
      <c r="AN98" s="2" t="n">
        <f aca="false">Y98</f>
        <v>412</v>
      </c>
      <c r="AO98" s="0" t="n">
        <f aca="false">AM98/Z98</f>
        <v>0.00598766380633142</v>
      </c>
    </row>
    <row r="99" customFormat="false" ht="12.75" hidden="false" customHeight="false" outlineLevel="0" collapsed="false">
      <c r="Y99" s="0" t="n">
        <f aca="false">Y98+$X$5</f>
        <v>416</v>
      </c>
      <c r="Z99" s="0" t="n">
        <f aca="false">(Y99/$V$5)^$O$5</f>
        <v>1.14289737746317</v>
      </c>
      <c r="AA99" s="0" t="n">
        <f aca="false">$Q$5*(Y99-$V$5)</f>
        <v>2.36247767549952</v>
      </c>
      <c r="AB99" s="0" t="n">
        <f aca="false">COS(AA99)</f>
        <v>-0.711535677209285</v>
      </c>
      <c r="AC99" s="0" t="n">
        <f aca="false">SIN(AA99)</f>
        <v>0.702649969798849</v>
      </c>
      <c r="AD99" s="0" t="n">
        <f aca="false">$T$5*(Z99-1)</f>
        <v>0.00606743301153731</v>
      </c>
      <c r="AE99" s="0" t="n">
        <f aca="false">2*$T$5*$U$5*Z99*$X$5/(Y99+Y100)</f>
        <v>3.61829898437948E-005</v>
      </c>
      <c r="AF99" s="0" t="n">
        <f aca="false">AB99*AE99</f>
        <v>-2.57454881819612E-005</v>
      </c>
      <c r="AG99" s="0" t="n">
        <f aca="false">AG98+AF98</f>
        <v>0.00493719220546583</v>
      </c>
      <c r="AH99" s="0" t="n">
        <f aca="false">AC99*AE99</f>
        <v>2.54239767209745E-005</v>
      </c>
      <c r="AI99" s="0" t="n">
        <f aca="false">AI98+AH98</f>
        <v>0.00442329900200553</v>
      </c>
      <c r="AJ99" s="6" t="n">
        <f aca="false">Y99/$P$5</f>
        <v>0.416</v>
      </c>
      <c r="AK99" s="0" t="n">
        <f aca="false">SQRT(AG99^2+AI99^2)</f>
        <v>0.00662883405546222</v>
      </c>
      <c r="AL99" s="0" t="n">
        <f aca="false">$W$5*(Y99/$V$5-Z99)</f>
        <v>0.00169713801086554</v>
      </c>
      <c r="AM99" s="0" t="n">
        <f aca="false">SQRT(AK99^2+AL99^2)</f>
        <v>0.00684263972183106</v>
      </c>
      <c r="AN99" s="2" t="n">
        <f aca="false">Y99</f>
        <v>416</v>
      </c>
      <c r="AO99" s="0" t="n">
        <f aca="false">AM99/Z99</f>
        <v>0.00598709897910458</v>
      </c>
    </row>
    <row r="100" customFormat="false" ht="12.75" hidden="false" customHeight="false" outlineLevel="0" collapsed="false">
      <c r="Y100" s="0" t="n">
        <f aca="false">Y99+$X$5</f>
        <v>420</v>
      </c>
      <c r="Z100" s="0" t="n">
        <f aca="false">(Y100/$V$5)^$O$5</f>
        <v>1.14352134180016</v>
      </c>
      <c r="AA100" s="0" t="n">
        <f aca="false">$Q$5*(Y100-$V$5)</f>
        <v>2.38761041672824</v>
      </c>
      <c r="AB100" s="0" t="n">
        <f aca="false">COS(AA100)</f>
        <v>-0.728968627421412</v>
      </c>
      <c r="AC100" s="0" t="n">
        <f aca="false">SIN(AA100)</f>
        <v>0.684547105928689</v>
      </c>
      <c r="AD100" s="0" t="n">
        <f aca="false">$T$5*(Z100-1)</f>
        <v>0.00609392658254237</v>
      </c>
      <c r="AE100" s="0" t="n">
        <f aca="false">2*$T$5*$U$5*Z100*$X$5/(Y100+Y101)</f>
        <v>3.58595899607895E-005</v>
      </c>
      <c r="AF100" s="0" t="n">
        <f aca="false">AB100*AE100</f>
        <v>-2.61405160736114E-005</v>
      </c>
      <c r="AG100" s="0" t="n">
        <f aca="false">AG99+AF99</f>
        <v>0.00491144671728387</v>
      </c>
      <c r="AH100" s="0" t="n">
        <f aca="false">AC100*AE100</f>
        <v>2.45475785274479E-005</v>
      </c>
      <c r="AI100" s="0" t="n">
        <f aca="false">AI99+AH99</f>
        <v>0.00444872297872651</v>
      </c>
      <c r="AJ100" s="6" t="n">
        <f aca="false">Y100/$P$5</f>
        <v>0.42</v>
      </c>
      <c r="AK100" s="0" t="n">
        <f aca="false">SQRT(AG100^2+AI100^2)</f>
        <v>0.00662672204020719</v>
      </c>
      <c r="AL100" s="0" t="n">
        <f aca="false">$W$5*(Y100/$V$5-Z100)</f>
        <v>0.00171535697789764</v>
      </c>
      <c r="AM100" s="0" t="n">
        <f aca="false">SQRT(AK100^2+AL100^2)</f>
        <v>0.00684513656253766</v>
      </c>
      <c r="AN100" s="2" t="n">
        <f aca="false">Y100</f>
        <v>420</v>
      </c>
      <c r="AO100" s="0" t="n">
        <f aca="false">AM100/Z100</f>
        <v>0.00598601557515478</v>
      </c>
    </row>
    <row r="101" customFormat="false" ht="12.75" hidden="false" customHeight="false" outlineLevel="0" collapsed="false">
      <c r="Y101" s="0" t="n">
        <f aca="false">Y100+$X$5</f>
        <v>424</v>
      </c>
      <c r="Z101" s="0" t="n">
        <f aca="false">(Y101/$V$5)^$O$5</f>
        <v>1.14413972751856</v>
      </c>
      <c r="AA101" s="0" t="n">
        <f aca="false">$Q$5*(Y101-$V$5)</f>
        <v>2.41274315795696</v>
      </c>
      <c r="AB101" s="0" t="n">
        <f aca="false">COS(AA101)</f>
        <v>-0.745941145424182</v>
      </c>
      <c r="AC101" s="0" t="n">
        <f aca="false">SIN(AA101)</f>
        <v>0.666011867434252</v>
      </c>
      <c r="AD101" s="0" t="n">
        <f aca="false">$T$5*(Z101-1)</f>
        <v>0.00612018328499764</v>
      </c>
      <c r="AE101" s="0" t="n">
        <f aca="false">2*$T$5*$U$5*Z101*$X$5/(Y101+Y102)</f>
        <v>3.55420900182147E-005</v>
      </c>
      <c r="AF101" s="0" t="n">
        <f aca="false">AB101*AE101</f>
        <v>-2.65123073389564E-005</v>
      </c>
      <c r="AG101" s="0" t="n">
        <f aca="false">AG100+AF100</f>
        <v>0.00488530620121026</v>
      </c>
      <c r="AH101" s="0" t="n">
        <f aca="false">AC101*AE101</f>
        <v>2.36714537455474E-005</v>
      </c>
      <c r="AI101" s="0" t="n">
        <f aca="false">AI100+AH100</f>
        <v>0.00447327055725395</v>
      </c>
      <c r="AJ101" s="6" t="n">
        <f aca="false">Y101/$P$5</f>
        <v>0.424</v>
      </c>
      <c r="AK101" s="0" t="n">
        <f aca="false">SQRT(AG101^2+AI101^2)</f>
        <v>0.00662392377356341</v>
      </c>
      <c r="AL101" s="0" t="n">
        <f aca="false">$W$5*(Y101/$V$5-Z101)</f>
        <v>0.00173357696767802</v>
      </c>
      <c r="AM101" s="0" t="n">
        <f aca="false">SQRT(AK101^2+AL101^2)</f>
        <v>0.00684701798309616</v>
      </c>
      <c r="AN101" s="2" t="n">
        <f aca="false">Y101</f>
        <v>424</v>
      </c>
      <c r="AO101" s="0" t="n">
        <f aca="false">AM101/Z101</f>
        <v>0.00598442464535878</v>
      </c>
    </row>
    <row r="102" customFormat="false" ht="12.75" hidden="false" customHeight="false" outlineLevel="0" collapsed="false">
      <c r="Y102" s="0" t="n">
        <f aca="false">Y101+$X$5</f>
        <v>428</v>
      </c>
      <c r="Z102" s="0" t="n">
        <f aca="false">(Y102/$V$5)^$O$5</f>
        <v>1.14475263642317</v>
      </c>
      <c r="AA102" s="0" t="n">
        <f aca="false">$Q$5*(Y102-$V$5)</f>
        <v>2.43787589918568</v>
      </c>
      <c r="AB102" s="0" t="n">
        <f aca="false">COS(AA102)</f>
        <v>-0.762442511011448</v>
      </c>
      <c r="AC102" s="0" t="n">
        <f aca="false">SIN(AA102)</f>
        <v>0.647055961569444</v>
      </c>
      <c r="AD102" s="0" t="n">
        <f aca="false">$T$5*(Z102-1)</f>
        <v>0.00614620744154185</v>
      </c>
      <c r="AE102" s="0" t="n">
        <f aca="false">2*$T$5*$U$5*Z102*$X$5/(Y102+Y103)</f>
        <v>3.52303284996626E-005</v>
      </c>
      <c r="AF102" s="0" t="n">
        <f aca="false">AB102*AE102</f>
        <v>-2.68611001250409E-005</v>
      </c>
      <c r="AG102" s="0" t="n">
        <f aca="false">AG101+AF101</f>
        <v>0.0048587938938713</v>
      </c>
      <c r="AH102" s="0" t="n">
        <f aca="false">AC102*AE102</f>
        <v>2.27959940837566E-005</v>
      </c>
      <c r="AI102" s="0" t="n">
        <f aca="false">AI101+AH101</f>
        <v>0.0044969420109995</v>
      </c>
      <c r="AJ102" s="6" t="n">
        <f aca="false">Y102/$P$5</f>
        <v>0.428</v>
      </c>
      <c r="AK102" s="0" t="n">
        <f aca="false">SQRT(AG102^2+AI102^2)</f>
        <v>0.00662045055516717</v>
      </c>
      <c r="AL102" s="0" t="n">
        <f aca="false">$W$5*(Y102/$V$5-Z102)</f>
        <v>0.00175179796154241</v>
      </c>
      <c r="AM102" s="0" t="n">
        <f aca="false">SQRT(AK102^2+AL102^2)</f>
        <v>0.00684829625903242</v>
      </c>
      <c r="AN102" s="2" t="n">
        <f aca="false">Y102</f>
        <v>428</v>
      </c>
      <c r="AO102" s="0" t="n">
        <f aca="false">AM102/Z102</f>
        <v>0.00598233718022284</v>
      </c>
    </row>
    <row r="103" customFormat="false" ht="12.75" hidden="false" customHeight="false" outlineLevel="0" collapsed="false">
      <c r="Y103" s="0" t="n">
        <f aca="false">Y102+$X$5</f>
        <v>432</v>
      </c>
      <c r="Z103" s="0" t="n">
        <f aca="false">(Y103/$V$5)^$O$5</f>
        <v>1.14536016753089</v>
      </c>
      <c r="AA103" s="0" t="n">
        <f aca="false">$Q$5*(Y103-$V$5)</f>
        <v>2.4630086404144</v>
      </c>
      <c r="AB103" s="0" t="n">
        <f aca="false">COS(AA103)</f>
        <v>-0.778462301567023</v>
      </c>
      <c r="AC103" s="0" t="n">
        <f aca="false">SIN(AA103)</f>
        <v>0.627691361290701</v>
      </c>
      <c r="AD103" s="0" t="n">
        <f aca="false">$T$5*(Z103-1)</f>
        <v>0.00617200325644038</v>
      </c>
      <c r="AE103" s="0" t="n">
        <f aca="false">2*$T$5*$U$5*Z103*$X$5/(Y103+Y104)</f>
        <v>3.49241497582401E-005</v>
      </c>
      <c r="AF103" s="0" t="n">
        <f aca="false">AB103*AE103</f>
        <v>-2.7187134001071E-005</v>
      </c>
      <c r="AG103" s="0" t="n">
        <f aca="false">AG102+AF102</f>
        <v>0.00483193279374626</v>
      </c>
      <c r="AH103" s="0" t="n">
        <f aca="false">AC103*AE103</f>
        <v>2.192158710367E-005</v>
      </c>
      <c r="AI103" s="0" t="n">
        <f aca="false">AI102+AH102</f>
        <v>0.00451973800508326</v>
      </c>
      <c r="AJ103" s="6" t="n">
        <f aca="false">Y103/$P$5</f>
        <v>0.432</v>
      </c>
      <c r="AK103" s="0" t="n">
        <f aca="false">SQRT(AG103^2+AI103^2)</f>
        <v>0.00661631363811258</v>
      </c>
      <c r="AL103" s="0" t="n">
        <f aca="false">$W$5*(Y103/$V$5-Z103)</f>
        <v>0.00177001994133771</v>
      </c>
      <c r="AM103" s="0" t="n">
        <f aca="false">SQRT(AK103^2+AL103^2)</f>
        <v>0.00684898362902173</v>
      </c>
      <c r="AN103" s="2" t="n">
        <f aca="false">Y103</f>
        <v>432</v>
      </c>
      <c r="AO103" s="0" t="n">
        <f aca="false">AM103/Z103</f>
        <v>0.00597976411541048</v>
      </c>
    </row>
    <row r="104" customFormat="false" ht="12.75" hidden="false" customHeight="false" outlineLevel="0" collapsed="false">
      <c r="Y104" s="0" t="n">
        <f aca="false">Y103+$X$5</f>
        <v>436</v>
      </c>
      <c r="Z104" s="0" t="n">
        <f aca="false">(Y104/$V$5)^$O$5</f>
        <v>1.14596241717211</v>
      </c>
      <c r="AA104" s="0" t="n">
        <f aca="false">$Q$5*(Y104-$V$5)</f>
        <v>2.48814138164312</v>
      </c>
      <c r="AB104" s="0" t="n">
        <f aca="false">COS(AA104)</f>
        <v>-0.793990398647835</v>
      </c>
      <c r="AC104" s="0" t="n">
        <f aca="false">SIN(AA104)</f>
        <v>0.607930297694605</v>
      </c>
      <c r="AD104" s="0" t="n">
        <f aca="false">$T$5*(Z104-1)</f>
        <v>0.00619757481988831</v>
      </c>
      <c r="AE104" s="0" t="n">
        <f aca="false">2*$T$5*$U$5*Z104*$X$5/(Y104+Y105)</f>
        <v>3.46234037516161E-005</v>
      </c>
      <c r="AF104" s="0" t="n">
        <f aca="false">AB104*AE104</f>
        <v>-2.74906501472906E-005</v>
      </c>
      <c r="AG104" s="0" t="n">
        <f aca="false">AG103+AF103</f>
        <v>0.00480474565974519</v>
      </c>
      <c r="AH104" s="0" t="n">
        <f aca="false">AC104*AE104</f>
        <v>2.10486161499205E-005</v>
      </c>
      <c r="AI104" s="0" t="n">
        <f aca="false">AI103+AH103</f>
        <v>0.00454165959218693</v>
      </c>
      <c r="AJ104" s="6" t="n">
        <f aca="false">Y104/$P$5</f>
        <v>0.436</v>
      </c>
      <c r="AK104" s="0" t="n">
        <f aca="false">SQRT(AG104^2+AI104^2)</f>
        <v>0.00661152423470895</v>
      </c>
      <c r="AL104" s="0" t="n">
        <f aca="false">$W$5*(Y104/$V$5-Z104)</f>
        <v>0.00178824288940331</v>
      </c>
      <c r="AM104" s="0" t="n">
        <f aca="false">SQRT(AK104^2+AL104^2)</f>
        <v>0.006849092300272</v>
      </c>
      <c r="AN104" s="2" t="n">
        <f aca="false">Y104</f>
        <v>436</v>
      </c>
      <c r="AO104" s="0" t="n">
        <f aca="false">AM104/Z104</f>
        <v>0.00597671633697508</v>
      </c>
    </row>
    <row r="105" customFormat="false" ht="12.75" hidden="false" customHeight="false" outlineLevel="0" collapsed="false">
      <c r="Y105" s="0" t="n">
        <f aca="false">Y104+$X$5</f>
        <v>440</v>
      </c>
      <c r="Z105" s="0" t="n">
        <f aca="false">(Y105/$V$5)^$O$5</f>
        <v>1.14655947908746</v>
      </c>
      <c r="AA105" s="0" t="n">
        <f aca="false">$Q$5*(Y105-$V$5)</f>
        <v>2.51327412287183</v>
      </c>
      <c r="AB105" s="0" t="n">
        <f aca="false">COS(AA105)</f>
        <v>-0.809016994374947</v>
      </c>
      <c r="AC105" s="0" t="n">
        <f aca="false">SIN(AA105)</f>
        <v>0.587785252292473</v>
      </c>
      <c r="AD105" s="0" t="n">
        <f aca="false">$T$5*(Z105-1)</f>
        <v>0.0062229261121192</v>
      </c>
      <c r="AE105" s="0" t="n">
        <f aca="false">2*$T$5*$U$5*Z105*$X$5/(Y105+Y106)</f>
        <v>3.43279457913187E-005</v>
      </c>
      <c r="AF105" s="0" t="n">
        <f aca="false">AB105*AE105</f>
        <v>-2.77718915271588E-005</v>
      </c>
      <c r="AG105" s="0" t="n">
        <f aca="false">AG104+AF104</f>
        <v>0.0047772550095979</v>
      </c>
      <c r="AH105" s="0" t="n">
        <f aca="false">AC105*AE105</f>
        <v>2.01774602776326E-005</v>
      </c>
      <c r="AI105" s="0" t="n">
        <f aca="false">AI104+AH104</f>
        <v>0.00456270820833685</v>
      </c>
      <c r="AJ105" s="6" t="n">
        <f aca="false">Y105/$P$5</f>
        <v>0.44</v>
      </c>
      <c r="AK105" s="0" t="n">
        <f aca="false">SQRT(AG105^2+AI105^2)</f>
        <v>0.00660609352198049</v>
      </c>
      <c r="AL105" s="0" t="n">
        <f aca="false">$W$5*(Y105/$V$5-Z105)</f>
        <v>0.0018064667885534</v>
      </c>
      <c r="AM105" s="0" t="n">
        <f aca="false">SQRT(AK105^2+AL105^2)</f>
        <v>0.00684863445361914</v>
      </c>
      <c r="AN105" s="2" t="n">
        <f aca="false">Y105</f>
        <v>440</v>
      </c>
      <c r="AO105" s="0" t="n">
        <f aca="false">AM105/Z105</f>
        <v>0.0059732046863107</v>
      </c>
    </row>
    <row r="106" customFormat="false" ht="12.75" hidden="false" customHeight="false" outlineLevel="0" collapsed="false">
      <c r="Y106" s="0" t="n">
        <f aca="false">Y105+$X$5</f>
        <v>444</v>
      </c>
      <c r="Z106" s="0" t="n">
        <f aca="false">(Y106/$V$5)^$O$5</f>
        <v>1.14715144452022</v>
      </c>
      <c r="AA106" s="0" t="n">
        <f aca="false">$Q$5*(Y106-$V$5)</f>
        <v>2.53840686410055</v>
      </c>
      <c r="AB106" s="0" t="n">
        <f aca="false">COS(AA106)</f>
        <v>-0.823532597628428</v>
      </c>
      <c r="AC106" s="0" t="n">
        <f aca="false">SIN(AA106)</f>
        <v>0.567268949126756</v>
      </c>
      <c r="AD106" s="0" t="n">
        <f aca="false">$T$5*(Z106-1)</f>
        <v>0.00624806100732999</v>
      </c>
      <c r="AE106" s="0" t="n">
        <f aca="false">2*$T$5*$U$5*Z106*$X$5/(Y106+Y107)</f>
        <v>3.40376363053947E-005</v>
      </c>
      <c r="AF106" s="0" t="n">
        <f aca="false">AB106*AE106</f>
        <v>-2.80311030437133E-005</v>
      </c>
      <c r="AG106" s="0" t="n">
        <f aca="false">AG105+AF105</f>
        <v>0.00474948311807074</v>
      </c>
      <c r="AH106" s="0" t="n">
        <f aca="false">AC106*AE106</f>
        <v>1.930849417772E-005</v>
      </c>
      <c r="AI106" s="0" t="n">
        <f aca="false">AI105+AH105</f>
        <v>0.00458288566861448</v>
      </c>
      <c r="AJ106" s="6" t="n">
        <f aca="false">Y106/$P$5</f>
        <v>0.444</v>
      </c>
      <c r="AK106" s="0" t="n">
        <f aca="false">SQRT(AG106^2+AI106^2)</f>
        <v>0.0066000326469216</v>
      </c>
      <c r="AL106" s="0" t="n">
        <f aca="false">$W$5*(Y106/$V$5-Z106)</f>
        <v>0.00182469162206003</v>
      </c>
      <c r="AM106" s="0" t="n">
        <f aca="false">SQRT(AK106^2+AL106^2)</f>
        <v>0.00684762224834628</v>
      </c>
      <c r="AN106" s="2" t="n">
        <f aca="false">Y106</f>
        <v>444</v>
      </c>
      <c r="AO106" s="0" t="n">
        <f aca="false">AM106/Z106</f>
        <v>0.00596923996483325</v>
      </c>
    </row>
    <row r="107" customFormat="false" ht="12.75" hidden="false" customHeight="false" outlineLevel="0" collapsed="false">
      <c r="Y107" s="0" t="n">
        <f aca="false">Y106+$X$5</f>
        <v>448</v>
      </c>
      <c r="Z107" s="0" t="n">
        <f aca="false">(Y107/$V$5)^$O$5</f>
        <v>1.14773840230471</v>
      </c>
      <c r="AA107" s="0" t="n">
        <f aca="false">$Q$5*(Y107-$V$5)</f>
        <v>2.56353960532927</v>
      </c>
      <c r="AB107" s="0" t="n">
        <f aca="false">COS(AA107)</f>
        <v>-0.837528040042142</v>
      </c>
      <c r="AC107" s="0" t="n">
        <f aca="false">SIN(AA107)</f>
        <v>0.546394346734269</v>
      </c>
      <c r="AD107" s="0" t="n">
        <f aca="false">$T$5*(Z107-1)</f>
        <v>0.00627298327743185</v>
      </c>
      <c r="AE107" s="0" t="n">
        <f aca="false">2*$T$5*$U$5*Z107*$X$5/(Y107+Y108)</f>
        <v>3.37523406136061E-005</v>
      </c>
      <c r="AF107" s="0" t="n">
        <f aca="false">AB107*AE107</f>
        <v>-2.82685316809483E-005</v>
      </c>
      <c r="AG107" s="0" t="n">
        <f aca="false">AG106+AF106</f>
        <v>0.00472145201502703</v>
      </c>
      <c r="AH107" s="0" t="n">
        <f aca="false">AC107*AE107</f>
        <v>1.84420881003239E-005</v>
      </c>
      <c r="AI107" s="0" t="n">
        <f aca="false">AI106+AH106</f>
        <v>0.0046021941627922</v>
      </c>
      <c r="AJ107" s="6" t="n">
        <f aca="false">Y107/$P$5</f>
        <v>0.448</v>
      </c>
      <c r="AK107" s="0" t="n">
        <f aca="false">SQRT(AG107^2+AI107^2)</f>
        <v>0.00659335273151993</v>
      </c>
      <c r="AL107" s="0" t="n">
        <f aca="false">$W$5*(Y107/$V$5-Z107)</f>
        <v>0.00184291737363688</v>
      </c>
      <c r="AM107" s="0" t="n">
        <f aca="false">SQRT(AK107^2+AL107^2)</f>
        <v>0.00684606782673777</v>
      </c>
      <c r="AN107" s="2" t="n">
        <f aca="false">Y107</f>
        <v>448</v>
      </c>
      <c r="AO107" s="0" t="n">
        <f aca="false">AM107/Z107</f>
        <v>0.00596483293840354</v>
      </c>
    </row>
    <row r="108" customFormat="false" ht="12.75" hidden="false" customHeight="false" outlineLevel="0" collapsed="false">
      <c r="Y108" s="0" t="n">
        <f aca="false">Y107+$X$5</f>
        <v>452</v>
      </c>
      <c r="Z108" s="0" t="n">
        <f aca="false">(Y108/$V$5)^$O$5</f>
        <v>1.1483204389507</v>
      </c>
      <c r="AA108" s="0" t="n">
        <f aca="false">$Q$5*(Y108-$V$5)</f>
        <v>2.58867234655799</v>
      </c>
      <c r="AB108" s="0" t="n">
        <f aca="false">COS(AA108)</f>
        <v>-0.850994481794692</v>
      </c>
      <c r="AC108" s="0" t="n">
        <f aca="false">SIN(AA108)</f>
        <v>0.525174629961296</v>
      </c>
      <c r="AD108" s="0" t="n">
        <f aca="false">$T$5*(Z108-1)</f>
        <v>0.00629769659563617</v>
      </c>
      <c r="AE108" s="0" t="n">
        <f aca="false">2*$T$5*$U$5*Z108*$X$5/(Y108+Y109)</f>
        <v>3.34719287143987E-005</v>
      </c>
      <c r="AF108" s="0" t="n">
        <f aca="false">AB108*AE108</f>
        <v>-2.84844266309786E-005</v>
      </c>
      <c r="AG108" s="0" t="n">
        <f aca="false">AG107+AF107</f>
        <v>0.00469318348334608</v>
      </c>
      <c r="AH108" s="0" t="n">
        <f aca="false">AC108*AE108</f>
        <v>1.75786077766752E-005</v>
      </c>
      <c r="AI108" s="0" t="n">
        <f aca="false">AI107+AH107</f>
        <v>0.00462063625089252</v>
      </c>
      <c r="AJ108" s="6" t="n">
        <f aca="false">Y108/$P$5</f>
        <v>0.452</v>
      </c>
      <c r="AK108" s="0" t="n">
        <f aca="false">SQRT(AG108^2+AI108^2)</f>
        <v>0.00658606487755887</v>
      </c>
      <c r="AL108" s="0" t="n">
        <f aca="false">$W$5*(Y108/$V$5-Z108)</f>
        <v>0.00186114402742379</v>
      </c>
      <c r="AM108" s="0" t="n">
        <f aca="false">SQRT(AK108^2+AL108^2)</f>
        <v>0.00684398331837752</v>
      </c>
      <c r="AN108" s="2" t="n">
        <f aca="false">Y108</f>
        <v>452</v>
      </c>
      <c r="AO108" s="0" t="n">
        <f aca="false">AM108/Z108</f>
        <v>0.00595999434150224</v>
      </c>
    </row>
    <row r="109" customFormat="false" ht="12.75" hidden="false" customHeight="false" outlineLevel="0" collapsed="false">
      <c r="Y109" s="0" t="n">
        <f aca="false">Y108+$X$5</f>
        <v>456</v>
      </c>
      <c r="Z109" s="0" t="n">
        <f aca="false">(Y109/$V$5)^$O$5</f>
        <v>1.14889763872421</v>
      </c>
      <c r="AA109" s="0" t="n">
        <f aca="false">$Q$5*(Y109-$V$5)</f>
        <v>2.61380508778671</v>
      </c>
      <c r="AB109" s="0" t="n">
        <f aca="false">COS(AA109)</f>
        <v>-0.863923417192835</v>
      </c>
      <c r="AC109" s="0" t="n">
        <f aca="false">SIN(AA109)</f>
        <v>0.503623201635761</v>
      </c>
      <c r="AD109" s="0" t="n">
        <f aca="false">$T$5*(Z109-1)</f>
        <v>0.00632220453988438</v>
      </c>
      <c r="AE109" s="0" t="n">
        <f aca="false">2*$T$5*$U$5*Z109*$X$5/(Y109+Y110)</f>
        <v>3.31962750829259E-005</v>
      </c>
      <c r="AF109" s="0" t="n">
        <f aca="false">AB109*AE109</f>
        <v>-2.86790394077147E-005</v>
      </c>
      <c r="AG109" s="0" t="n">
        <f aca="false">AG108+AF108</f>
        <v>0.0046646990567151</v>
      </c>
      <c r="AH109" s="0" t="n">
        <f aca="false">AC109*AE109</f>
        <v>1.67184143396446E-005</v>
      </c>
      <c r="AI109" s="0" t="n">
        <f aca="false">AI108+AH108</f>
        <v>0.0046382148586692</v>
      </c>
      <c r="AJ109" s="6" t="n">
        <f aca="false">Y109/$P$5</f>
        <v>0.456</v>
      </c>
      <c r="AK109" s="0" t="n">
        <f aca="false">SQRT(AG109^2+AI109^2)</f>
        <v>0.00657818017120985</v>
      </c>
      <c r="AL109" s="0" t="n">
        <f aca="false">$W$5*(Y109/$V$5-Z109)</f>
        <v>0.00187937156797198</v>
      </c>
      <c r="AM109" s="0" t="n">
        <f aca="false">SQRT(AK109^2+AL109^2)</f>
        <v>0.00684138084420097</v>
      </c>
      <c r="AN109" s="2" t="n">
        <f aca="false">Y109</f>
        <v>456</v>
      </c>
      <c r="AO109" s="0" t="n">
        <f aca="false">AM109/Z109</f>
        <v>0.00595473488116656</v>
      </c>
    </row>
    <row r="110" customFormat="false" ht="12.75" hidden="false" customHeight="false" outlineLevel="0" collapsed="false">
      <c r="Y110" s="0" t="n">
        <f aca="false">Y109+$X$5</f>
        <v>460</v>
      </c>
      <c r="Z110" s="0" t="n">
        <f aca="false">(Y110/$V$5)^$O$5</f>
        <v>1.14947008372481</v>
      </c>
      <c r="AA110" s="0" t="n">
        <f aca="false">$Q$5*(Y110-$V$5)</f>
        <v>2.63893782901543</v>
      </c>
      <c r="AB110" s="0" t="n">
        <f aca="false">COS(AA110)</f>
        <v>-0.876306680043864</v>
      </c>
      <c r="AC110" s="0" t="n">
        <f aca="false">SIN(AA110)</f>
        <v>0.481753674101715</v>
      </c>
      <c r="AD110" s="0" t="n">
        <f aca="false">$T$5*(Z110-1)</f>
        <v>0.00634651059612961</v>
      </c>
      <c r="AE110" s="0" t="n">
        <f aca="false">2*$T$5*$U$5*Z110*$X$5/(Y110+Y111)</f>
        <v>3.2925258479466E-005</v>
      </c>
      <c r="AF110" s="0" t="n">
        <f aca="false">AB110*AE110</f>
        <v>-2.88526239477269E-005</v>
      </c>
      <c r="AG110" s="0" t="n">
        <f aca="false">AG109+AF109</f>
        <v>0.00463602001730738</v>
      </c>
      <c r="AH110" s="0" t="n">
        <f aca="false">AC110*AE110</f>
        <v>1.58618642432314E-005</v>
      </c>
      <c r="AI110" s="0" t="n">
        <f aca="false">AI109+AH109</f>
        <v>0.00465493327300884</v>
      </c>
      <c r="AJ110" s="6" t="n">
        <f aca="false">Y110/$P$5</f>
        <v>0.46</v>
      </c>
      <c r="AK110" s="0" t="n">
        <f aca="false">SQRT(AG110^2+AI110^2)</f>
        <v>0.00656970968742452</v>
      </c>
      <c r="AL110" s="0" t="n">
        <f aca="false">$W$5*(Y110/$V$5-Z110)</f>
        <v>0.00189759998022984</v>
      </c>
      <c r="AM110" s="0" t="n">
        <f aca="false">SQRT(AK110^2+AL110^2)</f>
        <v>0.00683827252030861</v>
      </c>
      <c r="AN110" s="2" t="n">
        <f aca="false">Y110</f>
        <v>460</v>
      </c>
      <c r="AO110" s="0" t="n">
        <f aca="false">AM110/Z110</f>
        <v>0.00594906524069723</v>
      </c>
    </row>
    <row r="111" customFormat="false" ht="12.75" hidden="false" customHeight="false" outlineLevel="0" collapsed="false">
      <c r="Y111" s="0" t="n">
        <f aca="false">Y110+$X$5</f>
        <v>464</v>
      </c>
      <c r="Z111" s="0" t="n">
        <f aca="false">(Y111/$V$5)^$O$5</f>
        <v>1.15003785395956</v>
      </c>
      <c r="AA111" s="0" t="n">
        <f aca="false">$Q$5*(Y111-$V$5)</f>
        <v>2.66407057024414</v>
      </c>
      <c r="AB111" s="0" t="n">
        <f aca="false">COS(AA111)</f>
        <v>-0.888136448813545</v>
      </c>
      <c r="AC111" s="0" t="n">
        <f aca="false">SIN(AA111)</f>
        <v>0.459579860621488</v>
      </c>
      <c r="AD111" s="0" t="n">
        <f aca="false">$T$5*(Z111-1)</f>
        <v>0.00637061816147791</v>
      </c>
      <c r="AE111" s="0" t="n">
        <f aca="false">2*$T$5*$U$5*Z111*$X$5/(Y111+Y112)</f>
        <v>3.26587617676122E-005</v>
      </c>
      <c r="AF111" s="0" t="n">
        <f aca="false">AB111*AE111</f>
        <v>-2.90054366989346E-005</v>
      </c>
      <c r="AG111" s="0" t="n">
        <f aca="false">AG110+AF110</f>
        <v>0.00460716739335966</v>
      </c>
      <c r="AH111" s="0" t="n">
        <f aca="false">AC111*AE111</f>
        <v>1.50093091812296E-005</v>
      </c>
      <c r="AI111" s="0" t="n">
        <f aca="false">AI110+AH110</f>
        <v>0.00467079513725207</v>
      </c>
      <c r="AJ111" s="6" t="n">
        <f aca="false">Y111/$P$5</f>
        <v>0.464</v>
      </c>
      <c r="AK111" s="0" t="n">
        <f aca="false">SQRT(AG111^2+AI111^2)</f>
        <v>0.00656066449413579</v>
      </c>
      <c r="AL111" s="0" t="n">
        <f aca="false">$W$5*(Y111/$V$5-Z111)</f>
        <v>0.00191582924952938</v>
      </c>
      <c r="AM111" s="0" t="n">
        <f aca="false">SQRT(AK111^2+AL111^2)</f>
        <v>0.0068346704615487</v>
      </c>
      <c r="AN111" s="2" t="n">
        <f aca="false">Y111</f>
        <v>464</v>
      </c>
      <c r="AO111" s="0" t="n">
        <f aca="false">AM111/Z111</f>
        <v>0.00594299608314374</v>
      </c>
    </row>
    <row r="112" customFormat="false" ht="12.75" hidden="false" customHeight="false" outlineLevel="0" collapsed="false">
      <c r="Y112" s="0" t="n">
        <f aca="false">Y111+$X$5</f>
        <v>468</v>
      </c>
      <c r="Z112" s="0" t="n">
        <f aca="false">(Y112/$V$5)^$O$5</f>
        <v>1.15060102741389</v>
      </c>
      <c r="AA112" s="0" t="n">
        <f aca="false">$Q$5*(Y112-$V$5)</f>
        <v>2.68920331147286</v>
      </c>
      <c r="AB112" s="0" t="n">
        <f aca="false">COS(AA112)</f>
        <v>-0.899405251566371</v>
      </c>
      <c r="AC112" s="0" t="n">
        <f aca="false">SIN(AA112)</f>
        <v>0.437115766650933</v>
      </c>
      <c r="AD112" s="0" t="n">
        <f aca="false">$T$5*(Z112-1)</f>
        <v>0.00639453054719607</v>
      </c>
      <c r="AE112" s="0" t="n">
        <f aca="false">2*$T$5*$U$5*Z112*$X$5/(Y112+Y113)</f>
        <v>3.2396671741658E-005</v>
      </c>
      <c r="AF112" s="0" t="n">
        <f aca="false">AB112*AE112</f>
        <v>-2.9137736697719E-005</v>
      </c>
      <c r="AG112" s="0" t="n">
        <f aca="false">AG111+AF111</f>
        <v>0.00457816195666072</v>
      </c>
      <c r="AH112" s="0" t="n">
        <f aca="false">AC112*AE112</f>
        <v>1.41610960052934E-005</v>
      </c>
      <c r="AI112" s="0" t="n">
        <f aca="false">AI111+AH111</f>
        <v>0.0046858044464333</v>
      </c>
      <c r="AJ112" s="6" t="n">
        <f aca="false">Y112/$P$5</f>
        <v>0.468</v>
      </c>
      <c r="AK112" s="0" t="n">
        <f aca="false">SQRT(AG112^2+AI112^2)</f>
        <v>0.0065510556562763</v>
      </c>
      <c r="AL112" s="0" t="n">
        <f aca="false">$W$5*(Y112/$V$5-Z112)</f>
        <v>0.00193405936157326</v>
      </c>
      <c r="AM112" s="0" t="n">
        <f aca="false">SQRT(AK112^2+AL112^2)</f>
        <v>0.00683058678487572</v>
      </c>
      <c r="AN112" s="2" t="n">
        <f aca="false">Y112</f>
        <v>468</v>
      </c>
      <c r="AO112" s="0" t="n">
        <f aca="false">AM112/Z112</f>
        <v>0.00593653805457506</v>
      </c>
    </row>
    <row r="113" customFormat="false" ht="12.75" hidden="false" customHeight="false" outlineLevel="0" collapsed="false">
      <c r="Y113" s="0" t="n">
        <f aca="false">Y112+$X$5</f>
        <v>472</v>
      </c>
      <c r="Z113" s="0" t="n">
        <f aca="false">(Y113/$V$5)^$O$5</f>
        <v>1.15115968011944</v>
      </c>
      <c r="AA113" s="0" t="n">
        <f aca="false">$Q$5*(Y113-$V$5)</f>
        <v>2.71433605270158</v>
      </c>
      <c r="AB113" s="0" t="n">
        <f aca="false">COS(AA113)</f>
        <v>-0.910105970684996</v>
      </c>
      <c r="AC113" s="0" t="n">
        <f aca="false">SIN(AA113)</f>
        <v>0.414375580993284</v>
      </c>
      <c r="AD113" s="0" t="n">
        <f aca="false">$T$5*(Z113-1)</f>
        <v>0.00641825098159302</v>
      </c>
      <c r="AE113" s="0" t="n">
        <f aca="false">2*$T$5*$U$5*Z113*$X$5/(Y113+Y114)</f>
        <v>3.21388789626394E-005</v>
      </c>
      <c r="AF113" s="0" t="n">
        <f aca="false">AB113*AE113</f>
        <v>-2.92497856350205E-005</v>
      </c>
      <c r="AG113" s="0" t="n">
        <f aca="false">AG112+AF112</f>
        <v>0.004549024219963</v>
      </c>
      <c r="AH113" s="0" t="n">
        <f aca="false">AC113*AE113</f>
        <v>1.33175666426165E-005</v>
      </c>
      <c r="AI113" s="0" t="n">
        <f aca="false">AI112+AH112</f>
        <v>0.0046999655424386</v>
      </c>
      <c r="AJ113" s="6" t="n">
        <f aca="false">Y113/$P$5</f>
        <v>0.472</v>
      </c>
      <c r="AK113" s="0" t="n">
        <f aca="false">SQRT(AG113^2+AI113^2)</f>
        <v>0.00654089423962199</v>
      </c>
      <c r="AL113" s="0" t="n">
        <f aca="false">$W$5*(Y113/$V$5-Z113)</f>
        <v>0.00195229030242231</v>
      </c>
      <c r="AM113" s="0" t="n">
        <f aca="false">SQRT(AK113^2+AL113^2)</f>
        <v>0.00682603361249067</v>
      </c>
      <c r="AN113" s="2" t="n">
        <f aca="false">Y113</f>
        <v>472</v>
      </c>
      <c r="AO113" s="0" t="n">
        <f aca="false">AM113/Z113</f>
        <v>0.00592970178714255</v>
      </c>
    </row>
    <row r="114" customFormat="false" ht="12.75" hidden="false" customHeight="false" outlineLevel="0" collapsed="false">
      <c r="Y114" s="0" t="n">
        <f aca="false">Y113+$X$5</f>
        <v>476</v>
      </c>
      <c r="Z114" s="0" t="n">
        <f aca="false">(Y114/$V$5)^$O$5</f>
        <v>1.15171388621908</v>
      </c>
      <c r="AA114" s="0" t="n">
        <f aca="false">$Q$5*(Y114-$V$5)</f>
        <v>2.7394687939303</v>
      </c>
      <c r="AB114" s="0" t="n">
        <f aca="false">COS(AA114)</f>
        <v>-0.92023184736587</v>
      </c>
      <c r="AC114" s="0" t="n">
        <f aca="false">SIN(AA114)</f>
        <v>0.391373666837202</v>
      </c>
      <c r="AD114" s="0" t="n">
        <f aca="false">$T$5*(Z114-1)</f>
        <v>0.00644178261278083</v>
      </c>
      <c r="AE114" s="0" t="n">
        <f aca="false">2*$T$5*$U$5*Z114*$X$5/(Y114+Y115)</f>
        <v>3.18852776025309E-005</v>
      </c>
      <c r="AF114" s="0" t="n">
        <f aca="false">AB114*AE114</f>
        <v>-2.93418479119506E-005</v>
      </c>
      <c r="AG114" s="0" t="n">
        <f aca="false">AG113+AF113</f>
        <v>0.00451977443432798</v>
      </c>
      <c r="AH114" s="0" t="n">
        <f aca="false">AC114*AE114</f>
        <v>1.24790580134246E-005</v>
      </c>
      <c r="AI114" s="0" t="n">
        <f aca="false">AI113+AH113</f>
        <v>0.00471328310908121</v>
      </c>
      <c r="AJ114" s="6" t="n">
        <f aca="false">Y114/$P$5</f>
        <v>0.476</v>
      </c>
      <c r="AK114" s="0" t="n">
        <f aca="false">SQRT(AG114^2+AI114^2)</f>
        <v>0.00653019131446814</v>
      </c>
      <c r="AL114" s="0" t="n">
        <f aca="false">$W$5*(Y114/$V$5-Z114)</f>
        <v>0.00197052205848367</v>
      </c>
      <c r="AM114" s="0" t="n">
        <f aca="false">SQRT(AK114^2+AL114^2)</f>
        <v>0.00682102307476861</v>
      </c>
      <c r="AN114" s="2" t="n">
        <f aca="false">Y114</f>
        <v>476</v>
      </c>
      <c r="AO114" s="0" t="n">
        <f aca="false">AM114/Z114</f>
        <v>0.00592249790194083</v>
      </c>
    </row>
    <row r="115" customFormat="false" ht="12.75" hidden="false" customHeight="false" outlineLevel="0" collapsed="false">
      <c r="Y115" s="0" t="n">
        <f aca="false">Y114+$X$5</f>
        <v>480</v>
      </c>
      <c r="Z115" s="0" t="n">
        <f aca="false">(Y115/$V$5)^$O$5</f>
        <v>1.15226371802928</v>
      </c>
      <c r="AA115" s="0" t="n">
        <f aca="false">$Q$5*(Y115-$V$5)</f>
        <v>2.76460153515902</v>
      </c>
      <c r="AB115" s="0" t="n">
        <f aca="false">COS(AA115)</f>
        <v>-0.929776485888252</v>
      </c>
      <c r="AC115" s="0" t="n">
        <f aca="false">SIN(AA115)</f>
        <v>0.368124552684678</v>
      </c>
      <c r="AD115" s="0" t="n">
        <f aca="false">$T$5*(Z115-1)</f>
        <v>0.00646512851132163</v>
      </c>
      <c r="AE115" s="0" t="n">
        <f aca="false">2*$T$5*$U$5*Z115*$X$5/(Y115+Y116)</f>
        <v>3.16357652961256E-005</v>
      </c>
      <c r="AF115" s="0" t="n">
        <f aca="false">AB115*AE115</f>
        <v>-2.94141906854171E-005</v>
      </c>
      <c r="AG115" s="0" t="n">
        <f aca="false">AG114+AF114</f>
        <v>0.00449043258641603</v>
      </c>
      <c r="AH115" s="0" t="n">
        <f aca="false">AC115*AE115</f>
        <v>1.16459019484737E-005</v>
      </c>
      <c r="AI115" s="0" t="n">
        <f aca="false">AI114+AH114</f>
        <v>0.00472576216709464</v>
      </c>
      <c r="AJ115" s="6" t="n">
        <f aca="false">Y115/$P$5</f>
        <v>0.48</v>
      </c>
      <c r="AK115" s="0" t="n">
        <f aca="false">SQRT(AG115^2+AI115^2)</f>
        <v>0.00651895795914424</v>
      </c>
      <c r="AL115" s="0" t="n">
        <f aca="false">$W$5*(Y115/$V$5-Z115)</f>
        <v>0.00198875461649928</v>
      </c>
      <c r="AM115" s="0" t="n">
        <f aca="false">SQRT(AK115^2+AL115^2)</f>
        <v>0.00681556731297822</v>
      </c>
      <c r="AN115" s="2" t="n">
        <f aca="false">Y115</f>
        <v>480</v>
      </c>
      <c r="AO115" s="0" t="n">
        <f aca="false">AM115/Z115</f>
        <v>0.00591493701167205</v>
      </c>
    </row>
    <row r="116" customFormat="false" ht="12.75" hidden="false" customHeight="false" outlineLevel="0" collapsed="false">
      <c r="Y116" s="0" t="n">
        <f aca="false">Y115+$X$5</f>
        <v>484</v>
      </c>
      <c r="Z116" s="0" t="n">
        <f aca="false">(Y116/$V$5)^$O$5</f>
        <v>1.15280924609985</v>
      </c>
      <c r="AA116" s="0" t="n">
        <f aca="false">$Q$5*(Y116-$V$5)</f>
        <v>2.78973427638774</v>
      </c>
      <c r="AB116" s="0" t="n">
        <f aca="false">COS(AA116)</f>
        <v>-0.938733857653874</v>
      </c>
      <c r="AC116" s="0" t="n">
        <f aca="false">SIN(AA116)</f>
        <v>0.344642923174517</v>
      </c>
      <c r="AD116" s="0" t="n">
        <f aca="false">$T$5*(Z116-1)</f>
        <v>0.0064882916727658</v>
      </c>
      <c r="AE116" s="0" t="n">
        <f aca="false">2*$T$5*$U$5*Z116*$X$5/(Y116+Y117)</f>
        <v>3.13902430001599E-005</v>
      </c>
      <c r="AF116" s="0" t="n">
        <f aca="false">AB116*AE116</f>
        <v>-2.94670839042326E-005</v>
      </c>
      <c r="AG116" s="0" t="n">
        <f aca="false">AG115+AF115</f>
        <v>0.00446101839573062</v>
      </c>
      <c r="AH116" s="0" t="n">
        <f aca="false">AC116*AE116</f>
        <v>1.08184251067335E-005</v>
      </c>
      <c r="AI116" s="0" t="n">
        <f aca="false">AI115+AH115</f>
        <v>0.00473740806904311</v>
      </c>
      <c r="AJ116" s="6" t="n">
        <f aca="false">Y116/$P$5</f>
        <v>0.484</v>
      </c>
      <c r="AK116" s="0" t="n">
        <f aca="false">SQRT(AG116^2+AI116^2)</f>
        <v>0.00650720526337396</v>
      </c>
      <c r="AL116" s="0" t="n">
        <f aca="false">$W$5*(Y116/$V$5-Z116)</f>
        <v>0.002006987963535</v>
      </c>
      <c r="AM116" s="0" t="n">
        <f aca="false">SQRT(AK116^2+AL116^2)</f>
        <v>0.00680967848179752</v>
      </c>
      <c r="AN116" s="2" t="n">
        <f aca="false">Y116</f>
        <v>484</v>
      </c>
      <c r="AO116" s="0" t="n">
        <f aca="false">AM116/Z116</f>
        <v>0.00590702972311837</v>
      </c>
    </row>
    <row r="117" customFormat="false" ht="12.75" hidden="false" customHeight="false" outlineLevel="0" collapsed="false">
      <c r="Y117" s="0" t="n">
        <f aca="false">Y116+$X$5</f>
        <v>488</v>
      </c>
      <c r="Z117" s="0" t="n">
        <f aca="false">(Y117/$V$5)^$O$5</f>
        <v>1.15335053927133</v>
      </c>
      <c r="AA117" s="0" t="n">
        <f aca="false">$Q$5*(Y117-$V$5)</f>
        <v>2.81486701761646</v>
      </c>
      <c r="AB117" s="0" t="n">
        <f aca="false">COS(AA117)</f>
        <v>-0.947098304994744</v>
      </c>
      <c r="AC117" s="0" t="n">
        <f aca="false">SIN(AA117)</f>
        <v>0.320943609807209</v>
      </c>
      <c r="AD117" s="0" t="n">
        <f aca="false">$T$5*(Z117-1)</f>
        <v>0.006511275020087</v>
      </c>
      <c r="AE117" s="0" t="n">
        <f aca="false">2*$T$5*$U$5*Z117*$X$5/(Y117+Y118)</f>
        <v>3.11486148592731E-005</v>
      </c>
      <c r="AF117" s="0" t="n">
        <f aca="false">AB117*AE117</f>
        <v>-2.95008003361516E-005</v>
      </c>
      <c r="AG117" s="0" t="n">
        <f aca="false">AG116+AF116</f>
        <v>0.00443155131182638</v>
      </c>
      <c r="AH117" s="0" t="n">
        <f aca="false">AC117*AE117</f>
        <v>9.99694889342958E-006</v>
      </c>
      <c r="AI117" s="0" t="n">
        <f aca="false">AI116+AH116</f>
        <v>0.00474822649414985</v>
      </c>
      <c r="AJ117" s="6" t="n">
        <f aca="false">Y117/$P$5</f>
        <v>0.488</v>
      </c>
      <c r="AK117" s="0" t="n">
        <f aca="false">SQRT(AG117^2+AI117^2)</f>
        <v>0.00649494433148558</v>
      </c>
      <c r="AL117" s="0" t="n">
        <f aca="false">$W$5*(Y117/$V$5-Z117)</f>
        <v>0.00202522208697004</v>
      </c>
      <c r="AM117" s="0" t="n">
        <f aca="false">SQRT(AK117^2+AL117^2)</f>
        <v>0.00680336875162944</v>
      </c>
      <c r="AN117" s="2" t="n">
        <f aca="false">Y117</f>
        <v>488</v>
      </c>
      <c r="AO117" s="0" t="n">
        <f aca="false">AM117/Z117</f>
        <v>0.00589878663942683</v>
      </c>
    </row>
    <row r="118" customFormat="false" ht="12.75" hidden="false" customHeight="false" outlineLevel="0" collapsed="false">
      <c r="Y118" s="0" t="n">
        <f aca="false">Y117+$X$5</f>
        <v>492</v>
      </c>
      <c r="Z118" s="0" t="n">
        <f aca="false">(Y118/$V$5)^$O$5</f>
        <v>1.15388766472996</v>
      </c>
      <c r="AA118" s="0" t="n">
        <f aca="false">$Q$5*(Y118-$V$5)</f>
        <v>2.83999975884517</v>
      </c>
      <c r="AB118" s="0" t="n">
        <f aca="false">COS(AA118)</f>
        <v>-0.954864544746643</v>
      </c>
      <c r="AC118" s="0" t="n">
        <f aca="false">SIN(AA118)</f>
        <v>0.297041581577035</v>
      </c>
      <c r="AD118" s="0" t="n">
        <f aca="false">$T$5*(Z118-1)</f>
        <v>0.00653408140601874</v>
      </c>
      <c r="AE118" s="0" t="n">
        <f aca="false">2*$T$5*$U$5*Z118*$X$5/(Y118+Y119)</f>
        <v>3.09107880784165E-005</v>
      </c>
      <c r="AF118" s="0" t="n">
        <f aca="false">AB118*AE118</f>
        <v>-2.95156155862571E-005</v>
      </c>
      <c r="AG118" s="0" t="n">
        <f aca="false">AG117+AF117</f>
        <v>0.00440205051149023</v>
      </c>
      <c r="AH118" s="0" t="n">
        <f aca="false">AC118*AE118</f>
        <v>9.18178937860538E-006</v>
      </c>
      <c r="AI118" s="0" t="n">
        <f aca="false">AI117+AH117</f>
        <v>0.00475822344304328</v>
      </c>
      <c r="AJ118" s="6" t="n">
        <f aca="false">Y118/$P$5</f>
        <v>0.492</v>
      </c>
      <c r="AK118" s="0" t="n">
        <f aca="false">SQRT(AG118^2+AI118^2)</f>
        <v>0.00648218628547792</v>
      </c>
      <c r="AL118" s="0" t="n">
        <f aca="false">$W$5*(Y118/$V$5-Z118)</f>
        <v>0.00204345697448692</v>
      </c>
      <c r="AM118" s="0" t="n">
        <f aca="false">SQRT(AK118^2+AL118^2)</f>
        <v>0.00679665031072051</v>
      </c>
      <c r="AN118" s="2" t="n">
        <f aca="false">Y118</f>
        <v>492</v>
      </c>
      <c r="AO118" s="0" t="n">
        <f aca="false">AM118/Z118</f>
        <v>0.00589021836221041</v>
      </c>
    </row>
    <row r="119" customFormat="false" ht="12.75" hidden="false" customHeight="false" outlineLevel="0" collapsed="false">
      <c r="Y119" s="0" t="n">
        <f aca="false">Y118+$X$5</f>
        <v>496</v>
      </c>
      <c r="Z119" s="0" t="n">
        <f aca="false">(Y119/$V$5)^$O$5</f>
        <v>1.15442068806059</v>
      </c>
      <c r="AA119" s="0" t="n">
        <f aca="false">$Q$5*(Y119-$V$5)</f>
        <v>2.86513250007389</v>
      </c>
      <c r="AB119" s="0" t="n">
        <f aca="false">COS(AA119)</f>
        <v>-0.962027671586086</v>
      </c>
      <c r="AC119" s="0" t="n">
        <f aca="false">SIN(AA119)</f>
        <v>0.272951935517325</v>
      </c>
      <c r="AD119" s="0" t="n">
        <f aca="false">$T$5*(Z119-1)</f>
        <v>0.00655671361529756</v>
      </c>
      <c r="AE119" s="0" t="n">
        <f aca="false">2*$T$5*$U$5*Z119*$X$5/(Y119+Y120)</f>
        <v>3.06766728013531E-005</v>
      </c>
      <c r="AF119" s="0" t="n">
        <f aca="false">AB119*AE119</f>
        <v>-2.95118081070939E-005</v>
      </c>
      <c r="AG119" s="0" t="n">
        <f aca="false">AG118+AF118</f>
        <v>0.00437253489590397</v>
      </c>
      <c r="AH119" s="0" t="n">
        <f aca="false">AC119*AE119</f>
        <v>8.37325721636101E-006</v>
      </c>
      <c r="AI119" s="0" t="n">
        <f aca="false">AI118+AH118</f>
        <v>0.00476740523242188</v>
      </c>
      <c r="AJ119" s="6" t="n">
        <f aca="false">Y119/$P$5</f>
        <v>0.496</v>
      </c>
      <c r="AK119" s="0" t="n">
        <f aca="false">SQRT(AG119^2+AI119^2)</f>
        <v>0.00646894226794625</v>
      </c>
      <c r="AL119" s="0" t="n">
        <f aca="false">$W$5*(Y119/$V$5-Z119)</f>
        <v>0.00206169261406171</v>
      </c>
      <c r="AM119" s="0" t="n">
        <f aca="false">SQRT(AK119^2+AL119^2)</f>
        <v>0.00678953536708501</v>
      </c>
      <c r="AN119" s="2" t="n">
        <f aca="false">Y119</f>
        <v>496</v>
      </c>
      <c r="AO119" s="0" t="n">
        <f aca="false">AM119/Z119</f>
        <v>0.00588133549346846</v>
      </c>
    </row>
    <row r="120" customFormat="false" ht="12.75" hidden="false" customHeight="false" outlineLevel="0" collapsed="false">
      <c r="Y120" s="0" t="n">
        <f aca="false">Y119+$X$5</f>
        <v>500</v>
      </c>
      <c r="Z120" s="0" t="n">
        <f aca="false">(Y120/$V$5)^$O$5</f>
        <v>1.15494967329732</v>
      </c>
      <c r="AA120" s="0" t="n">
        <f aca="false">$Q$5*(Y120-$V$5)</f>
        <v>2.89026524130261</v>
      </c>
      <c r="AB120" s="0" t="n">
        <f aca="false">COS(AA120)</f>
        <v>-0.968583161128631</v>
      </c>
      <c r="AC120" s="0" t="n">
        <f aca="false">SIN(AA120)</f>
        <v>0.248689887164855</v>
      </c>
      <c r="AD120" s="0" t="n">
        <f aca="false">$T$5*(Z120-1)</f>
        <v>0.00657917436681715</v>
      </c>
      <c r="AE120" s="0" t="n">
        <f aca="false">2*$T$5*$U$5*Z120*$X$5/(Y120+Y121)</f>
        <v>3.0446181994911E-005</v>
      </c>
      <c r="AF120" s="0" t="n">
        <f aca="false">AB120*AE120</f>
        <v>-2.94896592009286E-005</v>
      </c>
      <c r="AG120" s="0" t="n">
        <f aca="false">AG119+AF119</f>
        <v>0.00434302308779688</v>
      </c>
      <c r="AH120" s="0" t="n">
        <f aca="false">AC120*AE120</f>
        <v>7.57165756491506E-006</v>
      </c>
      <c r="AI120" s="0" t="n">
        <f aca="false">AI119+AH119</f>
        <v>0.00477577848963824</v>
      </c>
      <c r="AJ120" s="6" t="n">
        <f aca="false">Y120/$P$5</f>
        <v>0.5</v>
      </c>
      <c r="AK120" s="0" t="n">
        <f aca="false">SQRT(AG120^2+AI120^2)</f>
        <v>0.00645522344487223</v>
      </c>
      <c r="AL120" s="0" t="n">
        <f aca="false">$W$5*(Y120/$V$5-Z120)</f>
        <v>0.00207992899395482</v>
      </c>
      <c r="AM120" s="0" t="n">
        <f aca="false">SQRT(AK120^2+AL120^2)</f>
        <v>0.00678203615023704</v>
      </c>
      <c r="AN120" s="2" t="n">
        <f aca="false">Y120</f>
        <v>500</v>
      </c>
      <c r="AO120" s="0" t="n">
        <f aca="false">AM120/Z120</f>
        <v>0.0058721486373295</v>
      </c>
    </row>
    <row r="121" customFormat="false" ht="12.75" hidden="false" customHeight="false" outlineLevel="0" collapsed="false">
      <c r="Y121" s="0" t="n">
        <f aca="false">Y120+$X$5</f>
        <v>504</v>
      </c>
      <c r="Z121" s="0" t="n">
        <f aca="false">(Y121/$V$5)^$O$5</f>
        <v>1.15547468297233</v>
      </c>
      <c r="AA121" s="0" t="n">
        <f aca="false">$Q$5*(Y121-$V$5)</f>
        <v>2.91539798253133</v>
      </c>
      <c r="AB121" s="0" t="n">
        <f aca="false">COS(AA121)</f>
        <v>-0.974526872786577</v>
      </c>
      <c r="AC121" s="0" t="n">
        <f aca="false">SIN(AA121)</f>
        <v>0.224270760949381</v>
      </c>
      <c r="AD121" s="0" t="n">
        <f aca="false">$T$5*(Z121-1)</f>
        <v>0.00660146631569737</v>
      </c>
      <c r="AE121" s="0" t="n">
        <f aca="false">2*$T$5*$U$5*Z121*$X$5/(Y121+Y122)</f>
        <v>3.02192313386743E-005</v>
      </c>
      <c r="AF121" s="0" t="n">
        <f aca="false">AB121*AE121</f>
        <v>-2.94494530144924E-005</v>
      </c>
      <c r="AG121" s="0" t="n">
        <f aca="false">AG120+AF120</f>
        <v>0.00431353342859595</v>
      </c>
      <c r="AH121" s="0" t="n">
        <f aca="false">AC121*AE121</f>
        <v>6.77729000762987E-006</v>
      </c>
      <c r="AI121" s="0" t="n">
        <f aca="false">AI120+AH120</f>
        <v>0.00478335014720316</v>
      </c>
      <c r="AJ121" s="6" t="n">
        <f aca="false">Y121/$P$5</f>
        <v>0.504</v>
      </c>
      <c r="AK121" s="0" t="n">
        <f aca="false">SQRT(AG121^2+AI121^2)</f>
        <v>0.00644104100828144</v>
      </c>
      <c r="AL121" s="0" t="n">
        <f aca="false">$W$5*(Y121/$V$5-Z121)</f>
        <v>0.00209816610270201</v>
      </c>
      <c r="AM121" s="0" t="n">
        <f aca="false">SQRT(AK121^2+AL121^2)</f>
        <v>0.00677416491273212</v>
      </c>
      <c r="AN121" s="2" t="n">
        <f aca="false">Y121</f>
        <v>504</v>
      </c>
      <c r="AO121" s="0" t="n">
        <f aca="false">AM121/Z121</f>
        <v>0.00586266840161856</v>
      </c>
    </row>
    <row r="122" customFormat="false" ht="12.75" hidden="false" customHeight="false" outlineLevel="0" collapsed="false">
      <c r="Y122" s="0" t="n">
        <f aca="false">Y121+$X$5</f>
        <v>508</v>
      </c>
      <c r="Z122" s="0" t="n">
        <f aca="false">(Y122/$V$5)^$O$5</f>
        <v>1.15599577816263</v>
      </c>
      <c r="AA122" s="0" t="n">
        <f aca="false">$Q$5*(Y122-$V$5)</f>
        <v>2.94053072376005</v>
      </c>
      <c r="AB122" s="0" t="n">
        <f aca="false">COS(AA122)</f>
        <v>-0.979855052384247</v>
      </c>
      <c r="AC122" s="0" t="n">
        <f aca="false">SIN(AA122)</f>
        <v>0.199709980514407</v>
      </c>
      <c r="AD122" s="0" t="n">
        <f aca="false">$T$5*(Z122-1)</f>
        <v>0.00662359205527271</v>
      </c>
      <c r="AE122" s="0" t="n">
        <f aca="false">2*$T$5*$U$5*Z122*$X$5/(Y122+Y123)</f>
        <v>2.99957391198153E-005</v>
      </c>
      <c r="AF122" s="0" t="n">
        <f aca="false">AB122*AE122</f>
        <v>-2.93914765265509E-005</v>
      </c>
      <c r="AG122" s="0" t="n">
        <f aca="false">AG121+AF121</f>
        <v>0.00428408397558146</v>
      </c>
      <c r="AH122" s="0" t="n">
        <f aca="false">AC122*AE122</f>
        <v>5.99044847513356E-006</v>
      </c>
      <c r="AI122" s="0" t="n">
        <f aca="false">AI121+AH121</f>
        <v>0.00479012743721079</v>
      </c>
      <c r="AJ122" s="6" t="n">
        <f aca="false">Y122/$P$5</f>
        <v>0.508</v>
      </c>
      <c r="AK122" s="0" t="n">
        <f aca="false">SQRT(AG122^2+AI122^2)</f>
        <v>0.00642640617877157</v>
      </c>
      <c r="AL122" s="0" t="n">
        <f aca="false">$W$5*(Y122/$V$5-Z122)</f>
        <v>0.00211640392910579</v>
      </c>
      <c r="AM122" s="0" t="n">
        <f aca="false">SQRT(AK122^2+AL122^2)</f>
        <v>0.00676593393151957</v>
      </c>
      <c r="AN122" s="2" t="n">
        <f aca="false">Y122</f>
        <v>508</v>
      </c>
      <c r="AO122" s="0" t="n">
        <f aca="false">AM122/Z122</f>
        <v>0.00585290539925114</v>
      </c>
    </row>
    <row r="123" customFormat="false" ht="12.75" hidden="false" customHeight="false" outlineLevel="0" collapsed="false">
      <c r="Y123" s="0" t="n">
        <f aca="false">Y122+$X$5</f>
        <v>512</v>
      </c>
      <c r="Z123" s="0" t="n">
        <f aca="false">(Y123/$V$5)^$O$5</f>
        <v>1.15651301853509</v>
      </c>
      <c r="AA123" s="0" t="n">
        <f aca="false">$Q$5*(Y123-$V$5)</f>
        <v>2.96566346498877</v>
      </c>
      <c r="AB123" s="0" t="n">
        <f aca="false">COS(AA123)</f>
        <v>-0.984564334529205</v>
      </c>
      <c r="AC123" s="0" t="n">
        <f aca="false">SIN(AA123)</f>
        <v>0.175023058975276</v>
      </c>
      <c r="AD123" s="0" t="n">
        <f aca="false">$T$5*(Z123-1)</f>
        <v>0.00664555411900341</v>
      </c>
      <c r="AE123" s="0" t="n">
        <f aca="false">2*$T$5*$U$5*Z123*$X$5/(Y123+Y124)</f>
        <v>2.97756261327912E-005</v>
      </c>
      <c r="AF123" s="0" t="n">
        <f aca="false">AB123*AE123</f>
        <v>-2.9316019528622E-005</v>
      </c>
      <c r="AG123" s="0" t="n">
        <f aca="false">AG122+AF122</f>
        <v>0.00425469249905491</v>
      </c>
      <c r="AH123" s="0" t="n">
        <f aca="false">AC123*AE123</f>
        <v>5.21142116866528E-006</v>
      </c>
      <c r="AI123" s="0" t="n">
        <f aca="false">AI122+AH122</f>
        <v>0.00479611788568592</v>
      </c>
      <c r="AJ123" s="6" t="n">
        <f aca="false">Y123/$P$5</f>
        <v>0.512</v>
      </c>
      <c r="AK123" s="0" t="n">
        <f aca="false">SQRT(AG123^2+AI123^2)</f>
        <v>0.006411330207914</v>
      </c>
      <c r="AL123" s="0" t="n">
        <f aca="false">$W$5*(Y123/$V$5-Z123)</f>
        <v>0.00213464246222723</v>
      </c>
      <c r="AM123" s="0" t="n">
        <f aca="false">SQRT(AK123^2+AL123^2)</f>
        <v>0.00675735550910665</v>
      </c>
      <c r="AN123" s="2" t="n">
        <f aca="false">Y123</f>
        <v>512</v>
      </c>
      <c r="AO123" s="0" t="n">
        <f aca="false">AM123/Z123</f>
        <v>0.00584287024945548</v>
      </c>
    </row>
    <row r="124" customFormat="false" ht="12.75" hidden="false" customHeight="false" outlineLevel="0" collapsed="false">
      <c r="Y124" s="0" t="n">
        <f aca="false">Y123+$X$5</f>
        <v>516</v>
      </c>
      <c r="Z124" s="0" t="n">
        <f aca="false">(Y124/$V$5)^$O$5</f>
        <v>1.15702646238976</v>
      </c>
      <c r="AA124" s="0" t="n">
        <f aca="false">$Q$5*(Y124-$V$5)</f>
        <v>2.99079620621748</v>
      </c>
      <c r="AB124" s="0" t="n">
        <f aca="false">COS(AA124)</f>
        <v>-0.988651744737914</v>
      </c>
      <c r="AC124" s="0" t="n">
        <f aca="false">SIN(AA124)</f>
        <v>0.150225589120757</v>
      </c>
      <c r="AD124" s="0" t="n">
        <f aca="false">$T$5*(Z124-1)</f>
        <v>0.00666735498231319</v>
      </c>
      <c r="AE124" s="0" t="n">
        <f aca="false">2*$T$5*$U$5*Z124*$X$5/(Y124+Y125)</f>
        <v>2.95588155836431E-005</v>
      </c>
      <c r="AF124" s="0" t="n">
        <f aca="false">AB124*AE124</f>
        <v>-2.9223374599155E-005</v>
      </c>
      <c r="AG124" s="0" t="n">
        <f aca="false">AG123+AF123</f>
        <v>0.00422537647952629</v>
      </c>
      <c r="AH124" s="0" t="n">
        <f aca="false">AC124*AE124</f>
        <v>4.4404904847646E-006</v>
      </c>
      <c r="AI124" s="0" t="n">
        <f aca="false">AI123+AH123</f>
        <v>0.00480132930685459</v>
      </c>
      <c r="AJ124" s="6" t="n">
        <f aca="false">Y124/$P$5</f>
        <v>0.516</v>
      </c>
      <c r="AK124" s="0" t="n">
        <f aca="false">SQRT(AG124^2+AI124^2)</f>
        <v>0.006395824380531</v>
      </c>
      <c r="AL124" s="0" t="n">
        <f aca="false">$W$5*(Y124/$V$5-Z124)</f>
        <v>0.00215288169137796</v>
      </c>
      <c r="AM124" s="0" t="n">
        <f aca="false">SQRT(AK124^2+AL124^2)</f>
        <v>0.00674844197453495</v>
      </c>
      <c r="AN124" s="2" t="n">
        <f aca="false">Y124</f>
        <v>516</v>
      </c>
      <c r="AO124" s="0" t="n">
        <f aca="false">AM124/Z124</f>
        <v>0.00583257357882418</v>
      </c>
    </row>
    <row r="125" customFormat="false" ht="12.75" hidden="false" customHeight="false" outlineLevel="0" collapsed="false">
      <c r="Y125" s="0" t="n">
        <f aca="false">Y124+$X$5</f>
        <v>520</v>
      </c>
      <c r="Z125" s="0" t="n">
        <f aca="false">(Y125/$V$5)^$O$5</f>
        <v>1.15753616670145</v>
      </c>
      <c r="AA125" s="0" t="n">
        <f aca="false">$Q$5*(Y125-$V$5)</f>
        <v>3.0159289474462</v>
      </c>
      <c r="AB125" s="0" t="n">
        <f aca="false">COS(AA125)</f>
        <v>-0.992114701314478</v>
      </c>
      <c r="AC125" s="0" t="n">
        <f aca="false">SIN(AA125)</f>
        <v>0.125333233564304</v>
      </c>
      <c r="AD125" s="0" t="n">
        <f aca="false">$T$5*(Z125-1)</f>
        <v>0.00668899706435668</v>
      </c>
      <c r="AE125" s="0" t="n">
        <f aca="false">2*$T$5*$U$5*Z125*$X$5/(Y125+Y126)</f>
        <v>2.93452329986536E-005</v>
      </c>
      <c r="AF125" s="0" t="n">
        <f aca="false">AB125*AE125</f>
        <v>-2.91138370714629E-005</v>
      </c>
      <c r="AG125" s="0" t="n">
        <f aca="false">AG124+AF124</f>
        <v>0.00419615310492713</v>
      </c>
      <c r="AH125" s="0" t="n">
        <f aca="false">AC125*AE125</f>
        <v>3.67793294141917E-006</v>
      </c>
      <c r="AI125" s="0" t="n">
        <f aca="false">AI124+AH124</f>
        <v>0.00480576979733935</v>
      </c>
      <c r="AJ125" s="6" t="n">
        <f aca="false">Y125/$P$5</f>
        <v>0.52</v>
      </c>
      <c r="AK125" s="0" t="n">
        <f aca="false">SQRT(AG125^2+AI125^2)</f>
        <v>0.00637990001685048</v>
      </c>
      <c r="AL125" s="0" t="n">
        <f aca="false">$W$5*(Y125/$V$5-Z125)</f>
        <v>0.0021711216061126</v>
      </c>
      <c r="AM125" s="0" t="n">
        <f aca="false">SQRT(AK125^2+AL125^2)</f>
        <v>0.00673920568416914</v>
      </c>
      <c r="AN125" s="2" t="n">
        <f aca="false">Y125</f>
        <v>520</v>
      </c>
      <c r="AO125" s="0" t="n">
        <f aca="false">AM125/Z125</f>
        <v>0.00582202602219624</v>
      </c>
    </row>
    <row r="126" customFormat="false" ht="12.75" hidden="false" customHeight="false" outlineLevel="0" collapsed="false">
      <c r="Y126" s="0" t="n">
        <f aca="false">Y125+$X$5</f>
        <v>524</v>
      </c>
      <c r="Z126" s="0" t="n">
        <f aca="false">(Y126/$V$5)^$O$5</f>
        <v>1.1580421871598</v>
      </c>
      <c r="AA126" s="0" t="n">
        <f aca="false">$Q$5*(Y126-$V$5)</f>
        <v>3.04106168867492</v>
      </c>
      <c r="AB126" s="0" t="n">
        <f aca="false">COS(AA126)</f>
        <v>-0.9949510169813</v>
      </c>
      <c r="AC126" s="0" t="n">
        <f aca="false">SIN(AA126)</f>
        <v>0.100361714851215</v>
      </c>
      <c r="AD126" s="0" t="n">
        <f aca="false">$T$5*(Z126-1)</f>
        <v>0.00671048272972008</v>
      </c>
      <c r="AE126" s="0" t="n">
        <f aca="false">2*$T$5*$U$5*Z126*$X$5/(Y126+Y127)</f>
        <v>2.91348061371323E-005</v>
      </c>
      <c r="AF126" s="0" t="n">
        <f aca="false">AB126*AE126</f>
        <v>-2.89877049956928E-005</v>
      </c>
      <c r="AG126" s="0" t="n">
        <f aca="false">AG125+AF125</f>
        <v>0.00416703926785567</v>
      </c>
      <c r="AH126" s="0" t="n">
        <f aca="false">AC126*AE126</f>
        <v>2.9240191057803E-006</v>
      </c>
      <c r="AI126" s="0" t="n">
        <f aca="false">AI125+AH125</f>
        <v>0.00480944773028077</v>
      </c>
      <c r="AJ126" s="6" t="n">
        <f aca="false">Y126/$P$5</f>
        <v>0.524</v>
      </c>
      <c r="AK126" s="0" t="n">
        <f aca="false">SQRT(AG126^2+AI126^2)</f>
        <v>0.00636356847453958</v>
      </c>
      <c r="AL126" s="0" t="n">
        <f aca="false">$W$5*(Y126/$V$5-Z126)</f>
        <v>0.00218936219622136</v>
      </c>
      <c r="AM126" s="0" t="n">
        <f aca="false">SQRT(AK126^2+AL126^2)</f>
        <v>0.00672965902229802</v>
      </c>
      <c r="AN126" s="2" t="n">
        <f aca="false">Y126</f>
        <v>524</v>
      </c>
      <c r="AO126" s="0" t="n">
        <f aca="false">AM126/Z126</f>
        <v>0.00581123822337001</v>
      </c>
    </row>
    <row r="127" customFormat="false" ht="12.75" hidden="false" customHeight="false" outlineLevel="0" collapsed="false">
      <c r="Y127" s="0" t="n">
        <f aca="false">Y126+$X$5</f>
        <v>528</v>
      </c>
      <c r="Z127" s="0" t="n">
        <f aca="false">(Y127/$V$5)^$O$5</f>
        <v>1.15854457820781</v>
      </c>
      <c r="AA127" s="0" t="n">
        <f aca="false">$Q$5*(Y127-$V$5)</f>
        <v>3.06619442990364</v>
      </c>
      <c r="AB127" s="0" t="n">
        <f aca="false">COS(AA127)</f>
        <v>-0.997158900260614</v>
      </c>
      <c r="AC127" s="0" t="n">
        <f aca="false">SIN(AA127)</f>
        <v>0.0753268055279326</v>
      </c>
      <c r="AD127" s="0" t="n">
        <f aca="false">$T$5*(Z127-1)</f>
        <v>0.00673181429005762</v>
      </c>
      <c r="AE127" s="0" t="n">
        <f aca="false">2*$T$5*$U$5*Z127*$X$5/(Y127+Y128)</f>
        <v>2.89274649081132E-005</v>
      </c>
      <c r="AF127" s="0" t="n">
        <f aca="false">AB127*AE127</f>
        <v>-2.88452790951017E-005</v>
      </c>
      <c r="AG127" s="0" t="n">
        <f aca="false">AG126+AF126</f>
        <v>0.00413805156285998</v>
      </c>
      <c r="AH127" s="0" t="n">
        <f aca="false">AC127*AE127</f>
        <v>2.17901352354954E-006</v>
      </c>
      <c r="AI127" s="0" t="n">
        <f aca="false">AI126+AH126</f>
        <v>0.00481237174938655</v>
      </c>
      <c r="AJ127" s="6" t="n">
        <f aca="false">Y127/$P$5</f>
        <v>0.528</v>
      </c>
      <c r="AK127" s="0" t="n">
        <f aca="false">SQRT(AG127^2+AI127^2)</f>
        <v>0.00634684115061829</v>
      </c>
      <c r="AL127" s="0" t="n">
        <f aca="false">$W$5*(Y127/$V$5-Z127)</f>
        <v>0.00220760345172301</v>
      </c>
      <c r="AM127" s="0" t="n">
        <f aca="false">SQRT(AK127^2+AL127^2)</f>
        <v>0.00671981440154719</v>
      </c>
      <c r="AN127" s="2" t="n">
        <f aca="false">Y127</f>
        <v>528</v>
      </c>
      <c r="AO127" s="0" t="n">
        <f aca="false">AM127/Z127</f>
        <v>0.00580022083564731</v>
      </c>
    </row>
    <row r="128" customFormat="false" ht="12.75" hidden="false" customHeight="false" outlineLevel="0" collapsed="false">
      <c r="Y128" s="0" t="n">
        <f aca="false">Y127+$X$5</f>
        <v>532</v>
      </c>
      <c r="Z128" s="0" t="n">
        <f aca="false">(Y128/$V$5)^$O$5</f>
        <v>1.15904339307899</v>
      </c>
      <c r="AA128" s="0" t="n">
        <f aca="false">$Q$5*(Y128-$V$5)</f>
        <v>3.09132717113236</v>
      </c>
      <c r="AB128" s="0" t="n">
        <f aca="false">COS(AA128)</f>
        <v>-0.998736956606018</v>
      </c>
      <c r="AC128" s="0" t="n">
        <f aca="false">SIN(AA128)</f>
        <v>0.0502443181797697</v>
      </c>
      <c r="AD128" s="0" t="n">
        <f aca="false">$T$5*(Z128-1)</f>
        <v>0.00675299400566726</v>
      </c>
      <c r="AE128" s="0" t="n">
        <f aca="false">2*$T$5*$U$5*Z128*$X$5/(Y128+Y129)</f>
        <v>2.872314129076E-005</v>
      </c>
      <c r="AF128" s="0" t="n">
        <f aca="false">AB128*AE128</f>
        <v>-2.86868627168982E-005</v>
      </c>
      <c r="AG128" s="0" t="n">
        <f aca="false">AG127+AF127</f>
        <v>0.00410920628376487</v>
      </c>
      <c r="AH128" s="0" t="n">
        <f aca="false">AC128*AE128</f>
        <v>1.44317465013542E-006</v>
      </c>
      <c r="AI128" s="0" t="n">
        <f aca="false">AI127+AH127</f>
        <v>0.0048145507629101</v>
      </c>
      <c r="AJ128" s="6" t="n">
        <f aca="false">Y128/$P$5</f>
        <v>0.532</v>
      </c>
      <c r="AK128" s="0" t="n">
        <f aca="false">SQRT(AG128^2+AI128^2)</f>
        <v>0.00632972948325368</v>
      </c>
      <c r="AL128" s="0" t="n">
        <f aca="false">$W$5*(Y128/$V$5-Z128)</f>
        <v>0.00222584536285805</v>
      </c>
      <c r="AM128" s="0" t="n">
        <f aca="false">SQRT(AK128^2+AL128^2)</f>
        <v>0.00670968426310267</v>
      </c>
      <c r="AN128" s="2" t="n">
        <f aca="false">Y128</f>
        <v>532</v>
      </c>
      <c r="AO128" s="0" t="n">
        <f aca="false">AM128/Z128</f>
        <v>0.00578898452220881</v>
      </c>
    </row>
    <row r="129" customFormat="false" ht="12.75" hidden="false" customHeight="false" outlineLevel="0" collapsed="false">
      <c r="Y129" s="0" t="n">
        <f aca="false">Y128+$X$5</f>
        <v>536</v>
      </c>
      <c r="Z129" s="0" t="n">
        <f aca="false">(Y129/$V$5)^$O$5</f>
        <v>1.15953868383304</v>
      </c>
      <c r="AA129" s="0" t="n">
        <f aca="false">$Q$5*(Y129-$V$5)</f>
        <v>3.11645991236108</v>
      </c>
      <c r="AB129" s="0" t="n">
        <f aca="false">COS(AA129)</f>
        <v>-0.9996841892833</v>
      </c>
      <c r="AC129" s="0" t="n">
        <f aca="false">SIN(AA129)</f>
        <v>0.0251300954433374</v>
      </c>
      <c r="AD129" s="0" t="n">
        <f aca="false">$T$5*(Z129-1)</f>
        <v>0.00677402408700772</v>
      </c>
      <c r="AE129" s="0" t="n">
        <f aca="false">2*$T$5*$U$5*Z129*$X$5/(Y129+Y130)</f>
        <v>2.85217692582884E-005</v>
      </c>
      <c r="AF129" s="0" t="n">
        <f aca="false">AB129*AE129</f>
        <v>-2.85127617778974E-005</v>
      </c>
      <c r="AG129" s="0" t="n">
        <f aca="false">AG128+AF128</f>
        <v>0.00408051942104798</v>
      </c>
      <c r="AH129" s="0" t="n">
        <f aca="false">AC129*AE129</f>
        <v>7.16754783673633E-007</v>
      </c>
      <c r="AI129" s="0" t="n">
        <f aca="false">AI128+AH128</f>
        <v>0.00481599393756024</v>
      </c>
      <c r="AJ129" s="6" t="n">
        <f aca="false">Y129/$P$5</f>
        <v>0.536</v>
      </c>
      <c r="AK129" s="0" t="n">
        <f aca="false">SQRT(AG129^2+AI129^2)</f>
        <v>0.00631224495343508</v>
      </c>
      <c r="AL129" s="0" t="n">
        <f aca="false">$W$5*(Y129/$V$5-Z129)</f>
        <v>0.0022440879200822</v>
      </c>
      <c r="AM129" s="0" t="n">
        <f aca="false">SQRT(AK129^2+AL129^2)</f>
        <v>0.00669928107674439</v>
      </c>
      <c r="AN129" s="2" t="n">
        <f aca="false">Y129</f>
        <v>536</v>
      </c>
      <c r="AO129" s="0" t="n">
        <f aca="false">AM129/Z129</f>
        <v>0.00577753995632028</v>
      </c>
    </row>
    <row r="130" customFormat="false" ht="12.75" hidden="false" customHeight="false" outlineLevel="0" collapsed="false">
      <c r="Y130" s="0" t="n">
        <f aca="false">Y129+$X$5</f>
        <v>540</v>
      </c>
      <c r="Z130" s="0" t="n">
        <f aca="false">(Y130/$V$5)^$O$5</f>
        <v>1.16003050139028</v>
      </c>
      <c r="AA130" s="0" t="n">
        <f aca="false">$Q$5*(Y130-$V$5)</f>
        <v>3.14159265358979</v>
      </c>
      <c r="AB130" s="0" t="n">
        <f aca="false">COS(AA130)</f>
        <v>-1</v>
      </c>
      <c r="AC130" s="0" t="n">
        <f aca="false">SIN(AA130)</f>
        <v>1.22464679914735E-016</v>
      </c>
      <c r="AD130" s="0" t="n">
        <f aca="false">$T$5*(Z130-1)</f>
        <v>0.00679490669616003</v>
      </c>
      <c r="AE130" s="0" t="n">
        <f aca="false">2*$T$5*$U$5*Z130*$X$5/(Y130+Y131)</f>
        <v>2.83232847052257E-005</v>
      </c>
      <c r="AF130" s="0" t="n">
        <f aca="false">AB130*AE130</f>
        <v>-2.83232847052257E-005</v>
      </c>
      <c r="AG130" s="0" t="n">
        <f aca="false">AG129+AF129</f>
        <v>0.00405200665927008</v>
      </c>
      <c r="AH130" s="0" t="n">
        <f aca="false">AC130*AE130</f>
        <v>3.46860199555938E-021</v>
      </c>
      <c r="AI130" s="0" t="n">
        <f aca="false">AI129+AH129</f>
        <v>0.00481671069234391</v>
      </c>
      <c r="AJ130" s="6" t="n">
        <f aca="false">Y130/$P$5</f>
        <v>0.54</v>
      </c>
      <c r="AK130" s="0" t="n">
        <f aca="false">SQRT(AG130^2+AI130^2)</f>
        <v>0.00629439908652996</v>
      </c>
      <c r="AL130" s="0" t="n">
        <f aca="false">$W$5*(Y130/$V$5-Z130)</f>
        <v>0.00226233111406004</v>
      </c>
      <c r="AM130" s="0" t="n">
        <f aca="false">SQRT(AK130^2+AL130^2)</f>
        <v>0.00668861734068809</v>
      </c>
      <c r="AN130" s="2" t="n">
        <f aca="false">Y130</f>
        <v>540</v>
      </c>
      <c r="AO130" s="0" t="n">
        <f aca="false">AM130/Z130</f>
        <v>0.00576589782136926</v>
      </c>
    </row>
    <row r="131" customFormat="false" ht="12.75" hidden="false" customHeight="false" outlineLevel="0" collapsed="false">
      <c r="Y131" s="0" t="n">
        <f aca="false">Y130+$X$5</f>
        <v>544</v>
      </c>
      <c r="Z131" s="0" t="n">
        <f aca="false">(Y131/$V$5)^$O$5</f>
        <v>1.16051889556484</v>
      </c>
      <c r="AA131" s="0" t="n">
        <f aca="false">$Q$5*(Y131-$V$5)</f>
        <v>3.16672539481851</v>
      </c>
      <c r="AB131" s="0" t="n">
        <f aca="false">COS(AA131)</f>
        <v>-0.9996841892833</v>
      </c>
      <c r="AC131" s="0" t="n">
        <f aca="false">SIN(AA131)</f>
        <v>-0.0251300954433376</v>
      </c>
      <c r="AD131" s="0" t="n">
        <f aca="false">$T$5*(Z131-1)</f>
        <v>0.00681564394823555</v>
      </c>
      <c r="AE131" s="0" t="n">
        <f aca="false">2*$T$5*$U$5*Z131*$X$5/(Y131+Y132)</f>
        <v>2.81276253778365E-005</v>
      </c>
      <c r="AF131" s="0" t="n">
        <f aca="false">AB131*AE131</f>
        <v>-2.81187423723068E-005</v>
      </c>
      <c r="AG131" s="0" t="n">
        <f aca="false">AG130+AF130</f>
        <v>0.00402368337456485</v>
      </c>
      <c r="AH131" s="0" t="n">
        <f aca="false">AC131*AE131</f>
        <v>-7.06849910339474E-007</v>
      </c>
      <c r="AI131" s="0" t="n">
        <f aca="false">AI130+AH130</f>
        <v>0.00481671069234391</v>
      </c>
      <c r="AJ131" s="6" t="n">
        <f aca="false">Y131/$P$5</f>
        <v>0.544</v>
      </c>
      <c r="AK131" s="0" t="n">
        <f aca="false">SQRT(AG131^2+AI131^2)</f>
        <v>0.00627620345372023</v>
      </c>
      <c r="AL131" s="0" t="n">
        <f aca="false">$W$5*(Y131/$V$5-Z131)</f>
        <v>0.00228057493565898</v>
      </c>
      <c r="AM131" s="0" t="n">
        <f aca="false">SQRT(AK131^2+AL131^2)</f>
        <v>0.00667770558123415</v>
      </c>
      <c r="AN131" s="2" t="n">
        <f aca="false">Y131</f>
        <v>544</v>
      </c>
      <c r="AO131" s="0" t="n">
        <f aca="false">AM131/Z131</f>
        <v>0.00575406881073145</v>
      </c>
    </row>
    <row r="132" customFormat="false" ht="12.75" hidden="false" customHeight="false" outlineLevel="0" collapsed="false">
      <c r="Y132" s="0" t="n">
        <f aca="false">Y131+$X$5</f>
        <v>548</v>
      </c>
      <c r="Z132" s="0" t="n">
        <f aca="false">(Y132/$V$5)^$O$5</f>
        <v>1.1610039150966</v>
      </c>
      <c r="AA132" s="0" t="n">
        <f aca="false">$Q$5*(Y132-$V$5)</f>
        <v>3.19185813604723</v>
      </c>
      <c r="AB132" s="0" t="n">
        <f aca="false">COS(AA132)</f>
        <v>-0.998736956606018</v>
      </c>
      <c r="AC132" s="0" t="n">
        <f aca="false">SIN(AA132)</f>
        <v>-0.0502443181797694</v>
      </c>
      <c r="AD132" s="0" t="n">
        <f aca="false">$T$5*(Z132-1)</f>
        <v>0.00683623791273303</v>
      </c>
      <c r="AE132" s="0" t="n">
        <f aca="false">2*$T$5*$U$5*Z132*$X$5/(Y132+Y133)</f>
        <v>2.79347308075557E-005</v>
      </c>
      <c r="AF132" s="0" t="n">
        <f aca="false">AB132*AE132</f>
        <v>-2.78994480303466E-005</v>
      </c>
      <c r="AG132" s="0" t="n">
        <f aca="false">AG131+AF131</f>
        <v>0.00399556463219255</v>
      </c>
      <c r="AH132" s="0" t="n">
        <f aca="false">AC132*AE132</f>
        <v>-1.40356150296104E-006</v>
      </c>
      <c r="AI132" s="0" t="n">
        <f aca="false">AI131+AH131</f>
        <v>0.00481600384243357</v>
      </c>
      <c r="AJ132" s="6" t="n">
        <f aca="false">Y132/$P$5</f>
        <v>0.548</v>
      </c>
      <c r="AK132" s="0" t="n">
        <f aca="false">SQRT(AG132^2+AI132^2)</f>
        <v>0.00625766967331792</v>
      </c>
      <c r="AL132" s="0" t="n">
        <f aca="false">$W$5*(Y132/$V$5-Z132)</f>
        <v>0.00229881937594335</v>
      </c>
      <c r="AM132" s="0" t="n">
        <f aca="false">SQRT(AK132^2+AL132^2)</f>
        <v>0.00666655835222159</v>
      </c>
      <c r="AN132" s="2" t="n">
        <f aca="false">Y132</f>
        <v>548</v>
      </c>
      <c r="AO132" s="0" t="n">
        <f aca="false">AM132/Z132</f>
        <v>0.0057420636274658</v>
      </c>
    </row>
    <row r="133" customFormat="false" ht="12.75" hidden="false" customHeight="false" outlineLevel="0" collapsed="false">
      <c r="Y133" s="0" t="n">
        <f aca="false">Y132+$X$5</f>
        <v>552</v>
      </c>
      <c r="Z133" s="0" t="n">
        <f aca="false">(Y133/$V$5)^$O$5</f>
        <v>1.16148560768201</v>
      </c>
      <c r="AA133" s="0" t="n">
        <f aca="false">$Q$5*(Y133-$V$5)</f>
        <v>3.21699087727595</v>
      </c>
      <c r="AB133" s="0" t="n">
        <f aca="false">COS(AA133)</f>
        <v>-0.997158900260614</v>
      </c>
      <c r="AC133" s="0" t="n">
        <f aca="false">SIN(AA133)</f>
        <v>-0.0753268055279328</v>
      </c>
      <c r="AD133" s="0" t="n">
        <f aca="false">$T$5*(Z133-1)</f>
        <v>0.006856690614847</v>
      </c>
      <c r="AE133" s="0" t="n">
        <f aca="false">2*$T$5*$U$5*Z133*$X$5/(Y133+Y134)</f>
        <v>2.77445422472785E-005</v>
      </c>
      <c r="AF133" s="0" t="n">
        <f aca="false">AB133*AE133</f>
        <v>-2.76657172355304E-005</v>
      </c>
      <c r="AG133" s="0" t="n">
        <f aca="false">AG132+AF132</f>
        <v>0.0039676651841622</v>
      </c>
      <c r="AH133" s="0" t="n">
        <f aca="false">AC133*AE133</f>
        <v>-2.08990773832226E-006</v>
      </c>
      <c r="AI133" s="0" t="n">
        <f aca="false">AI132+AH132</f>
        <v>0.00481460028093061</v>
      </c>
      <c r="AJ133" s="6" t="n">
        <f aca="false">Y133/$P$5</f>
        <v>0.552</v>
      </c>
      <c r="AK133" s="0" t="n">
        <f aca="false">SQRT(AG133^2+AI133^2)</f>
        <v>0.00623880941195914</v>
      </c>
      <c r="AL133" s="0" t="n">
        <f aca="false">$W$5*(Y133/$V$5-Z133)</f>
        <v>0.0023170644261688</v>
      </c>
      <c r="AM133" s="0" t="n">
        <f aca="false">SQRT(AK133^2+AL133^2)</f>
        <v>0.00665518823428511</v>
      </c>
      <c r="AN133" s="2" t="n">
        <f aca="false">Y133</f>
        <v>552</v>
      </c>
      <c r="AO133" s="0" t="n">
        <f aca="false">AM133/Z133</f>
        <v>0.00572989298383726</v>
      </c>
    </row>
    <row r="134" customFormat="false" ht="12.75" hidden="false" customHeight="false" outlineLevel="0" collapsed="false">
      <c r="Y134" s="0" t="n">
        <f aca="false">Y133+$X$5</f>
        <v>556</v>
      </c>
      <c r="Z134" s="0" t="n">
        <f aca="false">(Y134/$V$5)^$O$5</f>
        <v>1.16196402000379</v>
      </c>
      <c r="AA134" s="0" t="n">
        <f aca="false">$Q$5*(Y134-$V$5)</f>
        <v>3.24212361850467</v>
      </c>
      <c r="AB134" s="0" t="n">
        <f aca="false">COS(AA134)</f>
        <v>-0.9949510169813</v>
      </c>
      <c r="AC134" s="0" t="n">
        <f aca="false">SIN(AA134)</f>
        <v>-0.100361714851215</v>
      </c>
      <c r="AD134" s="0" t="n">
        <f aca="false">$T$5*(Z134-1)</f>
        <v>0.0068770040367293</v>
      </c>
      <c r="AE134" s="0" t="n">
        <f aca="false">2*$T$5*$U$5*Z134*$X$5/(Y134+Y135)</f>
        <v>2.75570026103633E-005</v>
      </c>
      <c r="AF134" s="0" t="n">
        <f aca="false">AB134*AE134</f>
        <v>-2.74178677721373E-005</v>
      </c>
      <c r="AG134" s="0" t="n">
        <f aca="false">AG133+AF133</f>
        <v>0.00393999946692667</v>
      </c>
      <c r="AH134" s="0" t="n">
        <f aca="false">AC134*AE134</f>
        <v>-2.76566803813547E-006</v>
      </c>
      <c r="AI134" s="0" t="n">
        <f aca="false">AI133+AH133</f>
        <v>0.00481251037319229</v>
      </c>
      <c r="AJ134" s="6" t="n">
        <f aca="false">Y134/$P$5</f>
        <v>0.556</v>
      </c>
      <c r="AK134" s="0" t="n">
        <f aca="false">SQRT(AG134^2+AI134^2)</f>
        <v>0.0062196343856746</v>
      </c>
      <c r="AL134" s="0" t="n">
        <f aca="false">$W$5*(Y134/$V$5-Z134)</f>
        <v>0.00233531007777681</v>
      </c>
      <c r="AM134" s="0" t="n">
        <f aca="false">SQRT(AK134^2+AL134^2)</f>
        <v>0.00664360783391312</v>
      </c>
      <c r="AN134" s="2" t="n">
        <f aca="false">Y134</f>
        <v>556</v>
      </c>
      <c r="AO134" s="0" t="n">
        <f aca="false">AM134/Z134</f>
        <v>0.00571756760066586</v>
      </c>
    </row>
    <row r="135" customFormat="false" ht="12.75" hidden="false" customHeight="false" outlineLevel="0" collapsed="false">
      <c r="Y135" s="0" t="n">
        <f aca="false">Y134+$X$5</f>
        <v>560</v>
      </c>
      <c r="Z135" s="0" t="n">
        <f aca="false">(Y135/$V$5)^$O$5</f>
        <v>1.1624391977596</v>
      </c>
      <c r="AA135" s="0" t="n">
        <f aca="false">$Q$5*(Y135-$V$5)</f>
        <v>3.26725635973339</v>
      </c>
      <c r="AB135" s="0" t="n">
        <f aca="false">COS(AA135)</f>
        <v>-0.992114701314478</v>
      </c>
      <c r="AC135" s="0" t="n">
        <f aca="false">SIN(AA135)</f>
        <v>-0.125333233564304</v>
      </c>
      <c r="AD135" s="0" t="n">
        <f aca="false">$T$5*(Z135-1)</f>
        <v>0.00689718011870593</v>
      </c>
      <c r="AE135" s="0" t="n">
        <f aca="false">2*$T$5*$U$5*Z135*$X$5/(Y135+Y136)</f>
        <v>2.73720564122156E-005</v>
      </c>
      <c r="AF135" s="0" t="n">
        <f aca="false">AB135*AE135</f>
        <v>-2.71562195717683E-005</v>
      </c>
      <c r="AG135" s="0" t="n">
        <f aca="false">AG134+AF134</f>
        <v>0.00391258159915453</v>
      </c>
      <c r="AH135" s="0" t="n">
        <f aca="false">AC135*AE135</f>
        <v>-3.43062833944753E-006</v>
      </c>
      <c r="AI135" s="0" t="n">
        <f aca="false">AI134+AH134</f>
        <v>0.00480974470515415</v>
      </c>
      <c r="AJ135" s="6" t="n">
        <f aca="false">Y135/$P$5</f>
        <v>0.56</v>
      </c>
      <c r="AK135" s="0" t="n">
        <f aca="false">SQRT(AG135^2+AI135^2)</f>
        <v>0.00620015636083486</v>
      </c>
      <c r="AL135" s="0" t="n">
        <f aca="false">$W$5*(Y135/$V$5-Z135)</f>
        <v>0.00235355632238947</v>
      </c>
      <c r="AM135" s="0" t="n">
        <f aca="false">SQRT(AK135^2+AL135^2)</f>
        <v>0.00663182978230446</v>
      </c>
      <c r="AN135" s="2" t="n">
        <f aca="false">Y135</f>
        <v>560</v>
      </c>
      <c r="AO135" s="0" t="n">
        <f aca="false">AM135/Z135</f>
        <v>0.00570509820650076</v>
      </c>
    </row>
    <row r="136" customFormat="false" ht="12.75" hidden="false" customHeight="false" outlineLevel="0" collapsed="false">
      <c r="Y136" s="0" t="n">
        <f aca="false">Y135+$X$5</f>
        <v>564</v>
      </c>
      <c r="Z136" s="0" t="n">
        <f aca="false">(Y136/$V$5)^$O$5</f>
        <v>1.16291118568969</v>
      </c>
      <c r="AA136" s="0" t="n">
        <f aca="false">$Q$5*(Y136-$V$5)</f>
        <v>3.2923891009621</v>
      </c>
      <c r="AB136" s="0" t="n">
        <f aca="false">COS(AA136)</f>
        <v>-0.988651744737914</v>
      </c>
      <c r="AC136" s="0" t="n">
        <f aca="false">SIN(AA136)</f>
        <v>-0.150225589120757</v>
      </c>
      <c r="AD136" s="0" t="n">
        <f aca="false">$T$5*(Z136-1)</f>
        <v>0.00691722076045117</v>
      </c>
      <c r="AE136" s="0" t="n">
        <f aca="false">2*$T$5*$U$5*Z136*$X$5/(Y136+Y137)</f>
        <v>2.71896497143253E-005</v>
      </c>
      <c r="AF136" s="0" t="n">
        <f aca="false">AB136*AE136</f>
        <v>-2.68810946288805E-005</v>
      </c>
      <c r="AG136" s="0" t="n">
        <f aca="false">AG135+AF135</f>
        <v>0.00388542537958276</v>
      </c>
      <c r="AH136" s="0" t="n">
        <f aca="false">AC136*AE136</f>
        <v>-4.08458114632155E-006</v>
      </c>
      <c r="AI136" s="0" t="n">
        <f aca="false">AI135+AH135</f>
        <v>0.0048063140768147</v>
      </c>
      <c r="AJ136" s="6" t="n">
        <f aca="false">Y136/$P$5</f>
        <v>0.564</v>
      </c>
      <c r="AK136" s="0" t="n">
        <f aca="false">SQRT(AG136^2+AI136^2)</f>
        <v>0.00618038715496797</v>
      </c>
      <c r="AL136" s="0" t="n">
        <f aca="false">$W$5*(Y136/$V$5-Z136)</f>
        <v>0.00237180315180437</v>
      </c>
      <c r="AM136" s="0" t="n">
        <f aca="false">SQRT(AK136^2+AL136^2)</f>
        <v>0.00661986673402133</v>
      </c>
      <c r="AN136" s="2" t="n">
        <f aca="false">Y136</f>
        <v>564</v>
      </c>
      <c r="AO136" s="0" t="n">
        <f aca="false">AM136/Z136</f>
        <v>0.00569249553661769</v>
      </c>
    </row>
    <row r="137" customFormat="false" ht="12.75" hidden="false" customHeight="false" outlineLevel="0" collapsed="false">
      <c r="Y137" s="0" t="n">
        <f aca="false">Y136+$X$5</f>
        <v>568</v>
      </c>
      <c r="Z137" s="0" t="n">
        <f aca="false">(Y137/$V$5)^$O$5</f>
        <v>1.16338002760358</v>
      </c>
      <c r="AA137" s="0" t="n">
        <f aca="false">$Q$5*(Y137-$V$5)</f>
        <v>3.31752184219082</v>
      </c>
      <c r="AB137" s="0" t="n">
        <f aca="false">COS(AA137)</f>
        <v>-0.984564334529205</v>
      </c>
      <c r="AC137" s="0" t="n">
        <f aca="false">SIN(AA137)</f>
        <v>-0.175023058975276</v>
      </c>
      <c r="AD137" s="0" t="n">
        <f aca="false">$T$5*(Z137-1)</f>
        <v>0.00693712782212058</v>
      </c>
      <c r="AE137" s="0" t="n">
        <f aca="false">2*$T$5*$U$5*Z137*$X$5/(Y137+Y138)</f>
        <v>2.70097300706374E-005</v>
      </c>
      <c r="AF137" s="0" t="n">
        <f aca="false">AB137*AE137</f>
        <v>-2.65928169128105E-005</v>
      </c>
      <c r="AG137" s="0" t="n">
        <f aca="false">AG136+AF136</f>
        <v>0.00385854428495388</v>
      </c>
      <c r="AH137" s="0" t="n">
        <f aca="false">AC137*AE137</f>
        <v>-4.72732557905945E-006</v>
      </c>
      <c r="AI137" s="0" t="n">
        <f aca="false">AI136+AH136</f>
        <v>0.00480222949566838</v>
      </c>
      <c r="AJ137" s="6" t="n">
        <f aca="false">Y137/$P$5</f>
        <v>0.568</v>
      </c>
      <c r="AK137" s="0" t="n">
        <f aca="false">SQRT(AG137^2+AI137^2)</f>
        <v>0.00616033863744662</v>
      </c>
      <c r="AL137" s="0" t="n">
        <f aca="false">$W$5*(Y137/$V$5-Z137)</f>
        <v>0.00239005055798978</v>
      </c>
      <c r="AM137" s="0" t="n">
        <f aca="false">SQRT(AK137^2+AL137^2)</f>
        <v>0.00660773136543586</v>
      </c>
      <c r="AN137" s="2" t="n">
        <f aca="false">Y137</f>
        <v>568</v>
      </c>
      <c r="AO137" s="0" t="n">
        <f aca="false">AM137/Z137</f>
        <v>0.00567977033183814</v>
      </c>
    </row>
    <row r="138" customFormat="false" ht="12.75" hidden="false" customHeight="false" outlineLevel="0" collapsed="false">
      <c r="Y138" s="0" t="n">
        <f aca="false">Y137+$X$5</f>
        <v>572</v>
      </c>
      <c r="Z138" s="0" t="n">
        <f aca="false">(Y138/$V$5)^$O$5</f>
        <v>1.16384576640584</v>
      </c>
      <c r="AA138" s="0" t="n">
        <f aca="false">$Q$5*(Y138-$V$5)</f>
        <v>3.34265458341954</v>
      </c>
      <c r="AB138" s="0" t="n">
        <f aca="false">COS(AA138)</f>
        <v>-0.979855052384247</v>
      </c>
      <c r="AC138" s="0" t="n">
        <f aca="false">SIN(AA138)</f>
        <v>-0.199709980514407</v>
      </c>
      <c r="AD138" s="0" t="n">
        <f aca="false">$T$5*(Z138-1)</f>
        <v>0.0069569031254447</v>
      </c>
      <c r="AE138" s="0" t="n">
        <f aca="false">2*$T$5*$U$5*Z138*$X$5/(Y138+Y139)</f>
        <v>2.68322464761437E-005</v>
      </c>
      <c r="AF138" s="0" t="n">
        <f aca="false">AB138*AE138</f>
        <v>-2.62917122764688E-005</v>
      </c>
      <c r="AG138" s="0" t="n">
        <f aca="false">AG137+AF137</f>
        <v>0.00383195146804107</v>
      </c>
      <c r="AH138" s="0" t="n">
        <f aca="false">AC138*AE138</f>
        <v>-5.35866742090843E-006</v>
      </c>
      <c r="AI138" s="0" t="n">
        <f aca="false">AI137+AH137</f>
        <v>0.00479750217008932</v>
      </c>
      <c r="AJ138" s="6" t="n">
        <f aca="false">Y138/$P$5</f>
        <v>0.572</v>
      </c>
      <c r="AK138" s="0" t="n">
        <f aca="false">SQRT(AG138^2+AI138^2)</f>
        <v>0.00614002273004212</v>
      </c>
      <c r="AL138" s="0" t="n">
        <f aca="false">$W$5*(Y138/$V$5-Z138)</f>
        <v>0.00240829853307983</v>
      </c>
      <c r="AM138" s="0" t="n">
        <f aca="false">SQRT(AK138^2+AL138^2)</f>
        <v>0.00659543637296793</v>
      </c>
      <c r="AN138" s="2" t="n">
        <f aca="false">Y138</f>
        <v>572</v>
      </c>
      <c r="AO138" s="0" t="n">
        <f aca="false">AM138/Z138</f>
        <v>0.00566693333716873</v>
      </c>
    </row>
    <row r="139" customFormat="false" ht="12.75" hidden="false" customHeight="false" outlineLevel="0" collapsed="false">
      <c r="Y139" s="0" t="n">
        <f aca="false">Y138+$X$5</f>
        <v>576</v>
      </c>
      <c r="Z139" s="0" t="n">
        <f aca="false">(Y139/$V$5)^$O$5</f>
        <v>1.16430844412091</v>
      </c>
      <c r="AA139" s="0" t="n">
        <f aca="false">$Q$5*(Y139-$V$5)</f>
        <v>3.36778732464826</v>
      </c>
      <c r="AB139" s="0" t="n">
        <f aca="false">COS(AA139)</f>
        <v>-0.974526872786577</v>
      </c>
      <c r="AC139" s="0" t="n">
        <f aca="false">SIN(AA139)</f>
        <v>-0.224270760949381</v>
      </c>
      <c r="AD139" s="0" t="n">
        <f aca="false">$T$5*(Z139-1)</f>
        <v>0.00697654845478515</v>
      </c>
      <c r="AE139" s="0" t="n">
        <f aca="false">2*$T$5*$U$5*Z139*$X$5/(Y139+Y140)</f>
        <v>2.66571493175896E-005</v>
      </c>
      <c r="AF139" s="0" t="n">
        <f aca="false">AB139*AE139</f>
        <v>-2.59781083618754E-005</v>
      </c>
      <c r="AG139" s="0" t="n">
        <f aca="false">AG138+AF138</f>
        <v>0.0038056597557646</v>
      </c>
      <c r="AH139" s="0" t="n">
        <f aca="false">AC139*AE139</f>
        <v>-5.9784191621971E-006</v>
      </c>
      <c r="AI139" s="0" t="n">
        <f aca="false">AI138+AH138</f>
        <v>0.00479214350266841</v>
      </c>
      <c r="AJ139" s="6" t="n">
        <f aca="false">Y139/$P$5</f>
        <v>0.576</v>
      </c>
      <c r="AK139" s="0" t="n">
        <f aca="false">SQRT(AG139^2+AI139^2)</f>
        <v>0.00611945140734146</v>
      </c>
      <c r="AL139" s="0" t="n">
        <f aca="false">$W$5*(Y139/$V$5-Z139)</f>
        <v>0.00242654706937004</v>
      </c>
      <c r="AM139" s="0" t="n">
        <f aca="false">SQRT(AK139^2+AL139^2)</f>
        <v>0.00658299447111128</v>
      </c>
      <c r="AN139" s="2" t="n">
        <f aca="false">Y139</f>
        <v>576</v>
      </c>
      <c r="AO139" s="0" t="n">
        <f aca="false">AM139/Z139</f>
        <v>0.00565399530025881</v>
      </c>
    </row>
    <row r="140" customFormat="false" ht="12.75" hidden="false" customHeight="false" outlineLevel="0" collapsed="false">
      <c r="Y140" s="0" t="n">
        <f aca="false">Y139+$X$5</f>
        <v>580</v>
      </c>
      <c r="Z140" s="0" t="n">
        <f aca="false">(Y140/$V$5)^$O$5</f>
        <v>1.16476810191719</v>
      </c>
      <c r="AA140" s="0" t="n">
        <f aca="false">$Q$5*(Y140-$V$5)</f>
        <v>3.39292006587698</v>
      </c>
      <c r="AB140" s="0" t="n">
        <f aca="false">COS(AA140)</f>
        <v>-0.968583161128631</v>
      </c>
      <c r="AC140" s="0" t="n">
        <f aca="false">SIN(AA140)</f>
        <v>-0.248689887164855</v>
      </c>
      <c r="AD140" s="0" t="n">
        <f aca="false">$T$5*(Z140-1)</f>
        <v>0.00699606555815447</v>
      </c>
      <c r="AE140" s="0" t="n">
        <f aca="false">2*$T$5*$U$5*Z140*$X$5/(Y140+Y141)</f>
        <v>2.64843903261934E-005</v>
      </c>
      <c r="AF140" s="0" t="n">
        <f aca="false">AB140*AE140</f>
        <v>-2.56523345027089E-005</v>
      </c>
      <c r="AG140" s="0" t="n">
        <f aca="false">AG139+AF139</f>
        <v>0.00377968164740273</v>
      </c>
      <c r="AH140" s="0" t="n">
        <f aca="false">AC140*AE140</f>
        <v>-6.586400041851E-006</v>
      </c>
      <c r="AI140" s="0" t="n">
        <f aca="false">AI139+AH139</f>
        <v>0.00478616508350622</v>
      </c>
      <c r="AJ140" s="6" t="n">
        <f aca="false">Y140/$P$5</f>
        <v>0.58</v>
      </c>
      <c r="AK140" s="0" t="n">
        <f aca="false">SQRT(AG140^2+AI140^2)</f>
        <v>0.00609863669702394</v>
      </c>
      <c r="AL140" s="0" t="n">
        <f aca="false">$W$5*(Y140/$V$5-Z140)</f>
        <v>0.00244479615931285</v>
      </c>
      <c r="AM140" s="0" t="n">
        <f aca="false">SQRT(AK140^2+AL140^2)</f>
        <v>0.00657041839024563</v>
      </c>
      <c r="AN140" s="2" t="n">
        <f aca="false">Y140</f>
        <v>580</v>
      </c>
      <c r="AO140" s="0" t="n">
        <f aca="false">AM140/Z140</f>
        <v>0.00564096696967475</v>
      </c>
    </row>
    <row r="141" customFormat="false" ht="12.75" hidden="false" customHeight="false" outlineLevel="0" collapsed="false">
      <c r="Y141" s="0" t="n">
        <f aca="false">Y140+$X$5</f>
        <v>584</v>
      </c>
      <c r="Z141" s="0" t="n">
        <f aca="false">(Y141/$V$5)^$O$5</f>
        <v>1.16522478013019</v>
      </c>
      <c r="AA141" s="0" t="n">
        <f aca="false">$Q$5*(Y141-$V$5)</f>
        <v>3.4180528071057</v>
      </c>
      <c r="AB141" s="0" t="n">
        <f aca="false">COS(AA141)</f>
        <v>-0.962027671586086</v>
      </c>
      <c r="AC141" s="0" t="n">
        <f aca="false">SIN(AA141)</f>
        <v>-0.272951935517325</v>
      </c>
      <c r="AD141" s="0" t="n">
        <f aca="false">$T$5*(Z141-1)</f>
        <v>0.00701545614820141</v>
      </c>
      <c r="AE141" s="0" t="n">
        <f aca="false">2*$T$5*$U$5*Z141*$X$5/(Y141+Y142)</f>
        <v>2.63139225322836E-005</v>
      </c>
      <c r="AF141" s="0" t="n">
        <f aca="false">AB141*AE141</f>
        <v>-2.53147216240294E-005</v>
      </c>
      <c r="AG141" s="0" t="n">
        <f aca="false">AG140+AF140</f>
        <v>0.00375402931290002</v>
      </c>
      <c r="AH141" s="0" t="n">
        <f aca="false">AC141*AE141</f>
        <v>-7.18243608623976E-006</v>
      </c>
      <c r="AI141" s="0" t="n">
        <f aca="false">AI140+AH140</f>
        <v>0.00477957868346437</v>
      </c>
      <c r="AJ141" s="6" t="n">
        <f aca="false">Y141/$P$5</f>
        <v>0.584</v>
      </c>
      <c r="AK141" s="0" t="n">
        <f aca="false">SQRT(AG141^2+AI141^2)</f>
        <v>0.00607759067999315</v>
      </c>
      <c r="AL141" s="0" t="n">
        <f aca="false">$W$5*(Y141/$V$5-Z141)</f>
        <v>0.00246304579551341</v>
      </c>
      <c r="AM141" s="0" t="n">
        <f aca="false">SQRT(AK141^2+AL141^2)</f>
        <v>0.00655772087423183</v>
      </c>
      <c r="AN141" s="2" t="n">
        <f aca="false">Y141</f>
        <v>584</v>
      </c>
      <c r="AO141" s="0" t="n">
        <f aca="false">AM141/Z141</f>
        <v>0.00562785909298905</v>
      </c>
    </row>
    <row r="142" customFormat="false" ht="12.75" hidden="false" customHeight="false" outlineLevel="0" collapsed="false">
      <c r="Y142" s="0" t="n">
        <f aca="false">Y141+$X$5</f>
        <v>588</v>
      </c>
      <c r="Z142" s="0" t="n">
        <f aca="false">(Y142/$V$5)^$O$5</f>
        <v>1.16567851828496</v>
      </c>
      <c r="AA142" s="0" t="n">
        <f aca="false">$Q$5*(Y142-$V$5)</f>
        <v>3.44318554833441</v>
      </c>
      <c r="AB142" s="0" t="n">
        <f aca="false">COS(AA142)</f>
        <v>-0.954864544746643</v>
      </c>
      <c r="AC142" s="0" t="n">
        <f aca="false">SIN(AA142)</f>
        <v>-0.297041581577035</v>
      </c>
      <c r="AD142" s="0" t="n">
        <f aca="false">$T$5*(Z142-1)</f>
        <v>0.00703472190316296</v>
      </c>
      <c r="AE142" s="0" t="n">
        <f aca="false">2*$T$5*$U$5*Z142*$X$5/(Y142+Y143)</f>
        <v>2.61457002217646E-005</v>
      </c>
      <c r="AF142" s="0" t="n">
        <f aca="false">AB142*AE142</f>
        <v>-2.49656021393375E-005</v>
      </c>
      <c r="AG142" s="0" t="n">
        <f aca="false">AG141+AF141</f>
        <v>0.00372871459127599</v>
      </c>
      <c r="AH142" s="0" t="n">
        <f aca="false">AC142*AE142</f>
        <v>-7.76636014531201E-006</v>
      </c>
      <c r="AI142" s="0" t="n">
        <f aca="false">AI141+AH141</f>
        <v>0.00477239624737813</v>
      </c>
      <c r="AJ142" s="6" t="n">
        <f aca="false">Y142/$P$5</f>
        <v>0.588</v>
      </c>
      <c r="AK142" s="0" t="n">
        <f aca="false">SQRT(AG142^2+AI142^2)</f>
        <v>0.00605632549035992</v>
      </c>
      <c r="AL142" s="0" t="n">
        <f aca="false">$W$5*(Y142/$V$5-Z142)</f>
        <v>0.00248129597072544</v>
      </c>
      <c r="AM142" s="0" t="n">
        <f aca="false">SQRT(AK142^2+AL142^2)</f>
        <v>0.00654491467778776</v>
      </c>
      <c r="AN142" s="2" t="n">
        <f aca="false">Y142</f>
        <v>588</v>
      </c>
      <c r="AO142" s="0" t="n">
        <f aca="false">AM142/Z142</f>
        <v>0.00561468241468255</v>
      </c>
    </row>
    <row r="143" customFormat="false" ht="12.75" hidden="false" customHeight="false" outlineLevel="0" collapsed="false">
      <c r="Y143" s="0" t="n">
        <f aca="false">Y142+$X$5</f>
        <v>592</v>
      </c>
      <c r="Z143" s="0" t="n">
        <f aca="false">(Y143/$V$5)^$O$5</f>
        <v>1.16612935511779</v>
      </c>
      <c r="AA143" s="0" t="n">
        <f aca="false">$Q$5*(Y143-$V$5)</f>
        <v>3.46831828956313</v>
      </c>
      <c r="AB143" s="0" t="n">
        <f aca="false">COS(AA143)</f>
        <v>-0.947098304994744</v>
      </c>
      <c r="AC143" s="0" t="n">
        <f aca="false">SIN(AA143)</f>
        <v>-0.32094360980721</v>
      </c>
      <c r="AD143" s="0" t="n">
        <f aca="false">$T$5*(Z143-1)</f>
        <v>0.00705386446778438</v>
      </c>
      <c r="AE143" s="0" t="n">
        <f aca="false">2*$T$5*$U$5*Z143*$X$5/(Y143+Y144)</f>
        <v>2.59796788943241E-005</v>
      </c>
      <c r="AF143" s="0" t="n">
        <f aca="false">AB143*AE143</f>
        <v>-2.46053098451221E-005</v>
      </c>
      <c r="AG143" s="0" t="n">
        <f aca="false">AG142+AF142</f>
        <v>0.00370374898913665</v>
      </c>
      <c r="AH143" s="0" t="n">
        <f aca="false">AC143*AE143</f>
        <v>-8.33801192597656E-006</v>
      </c>
      <c r="AI143" s="0" t="n">
        <f aca="false">AI142+AH142</f>
        <v>0.00476462988723281</v>
      </c>
      <c r="AJ143" s="6" t="n">
        <f aca="false">Y143/$P$5</f>
        <v>0.592</v>
      </c>
      <c r="AK143" s="0" t="n">
        <f aca="false">SQRT(AG143^2+AI143^2)</f>
        <v>0.00603485331527146</v>
      </c>
      <c r="AL143" s="0" t="n">
        <f aca="false">$W$5*(Y143/$V$5-Z143)</f>
        <v>0.0024995466778473</v>
      </c>
      <c r="AM143" s="0" t="n">
        <f aca="false">SQRT(AK143^2+AL143^2)</f>
        <v>0.00653201256364227</v>
      </c>
      <c r="AN143" s="2" t="n">
        <f aca="false">Y143</f>
        <v>592</v>
      </c>
      <c r="AO143" s="0" t="n">
        <f aca="false">AM143/Z143</f>
        <v>0.00560144767385819</v>
      </c>
    </row>
    <row r="144" customFormat="false" ht="12.75" hidden="false" customHeight="false" outlineLevel="0" collapsed="false">
      <c r="Y144" s="0" t="n">
        <f aca="false">Y143+$X$5</f>
        <v>596</v>
      </c>
      <c r="Z144" s="0" t="n">
        <f aca="false">(Y144/$V$5)^$O$5</f>
        <v>1.16657732859712</v>
      </c>
      <c r="AA144" s="0" t="n">
        <f aca="false">$Q$5*(Y144-$V$5)</f>
        <v>3.49345103079185</v>
      </c>
      <c r="AB144" s="0" t="n">
        <f aca="false">COS(AA144)</f>
        <v>-0.938733857653874</v>
      </c>
      <c r="AC144" s="0" t="n">
        <f aca="false">SIN(AA144)</f>
        <v>-0.344642923174517</v>
      </c>
      <c r="AD144" s="0" t="n">
        <f aca="false">$T$5*(Z144-1)</f>
        <v>0.00707288545420866</v>
      </c>
      <c r="AE144" s="0" t="n">
        <f aca="false">2*$T$5*$U$5*Z144*$X$5/(Y144+Y145)</f>
        <v>2.58158152233017E-005</v>
      </c>
      <c r="AF144" s="0" t="n">
        <f aca="false">AB144*AE144</f>
        <v>-2.42341798130496E-005</v>
      </c>
      <c r="AG144" s="0" t="n">
        <f aca="false">AG143+AF143</f>
        <v>0.00367914367929153</v>
      </c>
      <c r="AH144" s="0" t="n">
        <f aca="false">AC144*AE144</f>
        <v>-8.89723802269189E-006</v>
      </c>
      <c r="AI144" s="0" t="n">
        <f aca="false">AI143+AH143</f>
        <v>0.00475629187530684</v>
      </c>
      <c r="AJ144" s="6" t="n">
        <f aca="false">Y144/$P$5</f>
        <v>0.596</v>
      </c>
      <c r="AK144" s="0" t="n">
        <f aca="false">SQRT(AG144^2+AI144^2)</f>
        <v>0.00601318639458155</v>
      </c>
      <c r="AL144" s="0" t="n">
        <f aca="false">$W$5*(Y144/$V$5-Z144)</f>
        <v>0.00251779790991807</v>
      </c>
      <c r="AM144" s="0" t="n">
        <f aca="false">SQRT(AK144^2+AL144^2)</f>
        <v>0.00651902729946489</v>
      </c>
      <c r="AN144" s="2" t="n">
        <f aca="false">Y144</f>
        <v>596</v>
      </c>
      <c r="AO144" s="0" t="n">
        <f aca="false">AM144/Z144</f>
        <v>0.00558816560176463</v>
      </c>
    </row>
    <row r="145" customFormat="false" ht="12.75" hidden="false" customHeight="false" outlineLevel="0" collapsed="false">
      <c r="Y145" s="0" t="n">
        <f aca="false">Y144+$X$5</f>
        <v>600</v>
      </c>
      <c r="Z145" s="0" t="n">
        <f aca="false">(Y145/$V$5)^$O$5</f>
        <v>1.16702247594382</v>
      </c>
      <c r="AA145" s="0" t="n">
        <f aca="false">$Q$5*(Y145-$V$5)</f>
        <v>3.51858377202057</v>
      </c>
      <c r="AB145" s="0" t="n">
        <f aca="false">COS(AA145)</f>
        <v>-0.929776485888252</v>
      </c>
      <c r="AC145" s="0" t="n">
        <f aca="false">SIN(AA145)</f>
        <v>-0.368124552684678</v>
      </c>
      <c r="AD145" s="0" t="n">
        <f aca="false">$T$5*(Z145-1)</f>
        <v>0.00709178644283664</v>
      </c>
      <c r="AE145" s="0" t="n">
        <f aca="false">2*$T$5*$U$5*Z145*$X$5/(Y145+Y146)</f>
        <v>2.56540670171424E-005</v>
      </c>
      <c r="AF145" s="0" t="n">
        <f aca="false">AB145*AE145</f>
        <v>-2.38525482799403E-005</v>
      </c>
      <c r="AG145" s="0" t="n">
        <f aca="false">AG144+AF144</f>
        <v>0.00365490949947848</v>
      </c>
      <c r="AH145" s="0" t="n">
        <f aca="false">AC145*AE145</f>
        <v>-9.44389194522828E-006</v>
      </c>
      <c r="AI145" s="0" t="n">
        <f aca="false">AI144+AH144</f>
        <v>0.00474739463728415</v>
      </c>
      <c r="AJ145" s="6" t="n">
        <f aca="false">Y145/$P$5</f>
        <v>0.6</v>
      </c>
      <c r="AK145" s="0" t="n">
        <f aca="false">SQRT(AG145^2+AI145^2)</f>
        <v>0.00599133702035633</v>
      </c>
      <c r="AL145" s="0" t="n">
        <f aca="false">$W$5*(Y145/$V$5-Z145)</f>
        <v>0.00253604966011394</v>
      </c>
      <c r="AM145" s="0" t="n">
        <f aca="false">SQRT(AK145^2+AL145^2)</f>
        <v>0.00650597165456908</v>
      </c>
      <c r="AN145" s="2" t="n">
        <f aca="false">Y145</f>
        <v>600</v>
      </c>
      <c r="AO145" s="0" t="n">
        <f aca="false">AM145/Z145</f>
        <v>0.00557484691912845</v>
      </c>
    </row>
    <row r="146" customFormat="false" ht="12.75" hidden="false" customHeight="false" outlineLevel="0" collapsed="false">
      <c r="Y146" s="0" t="n">
        <f aca="false">Y145+$X$5</f>
        <v>604</v>
      </c>
      <c r="Z146" s="0" t="n">
        <f aca="false">(Y146/$V$5)^$O$5</f>
        <v>1.16746483365078</v>
      </c>
      <c r="AA146" s="0" t="n">
        <f aca="false">$Q$5*(Y146-$V$5)</f>
        <v>3.54371651324929</v>
      </c>
      <c r="AB146" s="0" t="n">
        <f aca="false">COS(AA146)</f>
        <v>-0.92023184736587</v>
      </c>
      <c r="AC146" s="0" t="n">
        <f aca="false">SIN(AA146)</f>
        <v>-0.391373666837203</v>
      </c>
      <c r="AD146" s="0" t="n">
        <f aca="false">$T$5*(Z146-1)</f>
        <v>0.00711056898315871</v>
      </c>
      <c r="AE146" s="0" t="n">
        <f aca="false">2*$T$5*$U$5*Z146*$X$5/(Y146+Y147)</f>
        <v>2.54943931823625E-005</v>
      </c>
      <c r="AF146" s="0" t="n">
        <f aca="false">AB146*AE146</f>
        <v>-2.34607525356773E-005</v>
      </c>
      <c r="AG146" s="0" t="n">
        <f aca="false">AG145+AF145</f>
        <v>0.00363105695119854</v>
      </c>
      <c r="AH146" s="0" t="n">
        <f aca="false">AC146*AE146</f>
        <v>-9.97783414357057E-006</v>
      </c>
      <c r="AI146" s="0" t="n">
        <f aca="false">AI145+AH145</f>
        <v>0.00473795074533892</v>
      </c>
      <c r="AJ146" s="6" t="n">
        <f aca="false">Y146/$P$5</f>
        <v>0.604</v>
      </c>
      <c r="AK146" s="0" t="n">
        <f aca="false">SQRT(AG146^2+AI146^2)</f>
        <v>0.00596931753621005</v>
      </c>
      <c r="AL146" s="0" t="n">
        <f aca="false">$W$5*(Y146/$V$5-Z146)</f>
        <v>0.00255430192174452</v>
      </c>
      <c r="AM146" s="0" t="n">
        <f aca="false">SQRT(AK146^2+AL146^2)</f>
        <v>0.00649285839638696</v>
      </c>
      <c r="AN146" s="2" t="n">
        <f aca="false">Y146</f>
        <v>604</v>
      </c>
      <c r="AO146" s="0" t="n">
        <f aca="false">AM146/Z146</f>
        <v>0.00556150233329352</v>
      </c>
    </row>
    <row r="147" customFormat="false" ht="12.75" hidden="false" customHeight="false" outlineLevel="0" collapsed="false">
      <c r="Y147" s="0" t="n">
        <f aca="false">Y146+$X$5</f>
        <v>608</v>
      </c>
      <c r="Z147" s="0" t="n">
        <f aca="false">(Y147/$V$5)^$O$5</f>
        <v>1.16790443750184</v>
      </c>
      <c r="AA147" s="0" t="n">
        <f aca="false">$Q$5*(Y147-$V$5)</f>
        <v>3.56884925447801</v>
      </c>
      <c r="AB147" s="0" t="n">
        <f aca="false">COS(AA147)</f>
        <v>-0.910105970684996</v>
      </c>
      <c r="AC147" s="0" t="n">
        <f aca="false">SIN(AA147)</f>
        <v>-0.414375580993284</v>
      </c>
      <c r="AD147" s="0" t="n">
        <f aca="false">$T$5*(Z147-1)</f>
        <v>0.00712923459455953</v>
      </c>
      <c r="AE147" s="0" t="n">
        <f aca="false">2*$T$5*$U$5*Z147*$X$5/(Y147+Y148)</f>
        <v>2.5336753687958E-005</v>
      </c>
      <c r="AF147" s="0" t="n">
        <f aca="false">AB147*AE147</f>
        <v>-2.30591308091857E-005</v>
      </c>
      <c r="AG147" s="0" t="n">
        <f aca="false">AG146+AF146</f>
        <v>0.00360759619866286</v>
      </c>
      <c r="AH147" s="0" t="n">
        <f aca="false">AC147*AE147</f>
        <v>-1.04989320299313E-005</v>
      </c>
      <c r="AI147" s="0" t="n">
        <f aca="false">AI146+AH146</f>
        <v>0.00472797291119535</v>
      </c>
      <c r="AJ147" s="6" t="n">
        <f aca="false">Y147/$P$5</f>
        <v>0.608</v>
      </c>
      <c r="AK147" s="0" t="n">
        <f aca="false">SQRT(AG147^2+AI147^2)</f>
        <v>0.00594714033646456</v>
      </c>
      <c r="AL147" s="0" t="n">
        <f aca="false">$W$5*(Y147/$V$5-Z147)</f>
        <v>0.00257255468824943</v>
      </c>
      <c r="AM147" s="0" t="n">
        <f aca="false">SQRT(AK147^2+AL147^2)</f>
        <v>0.00647970028671372</v>
      </c>
      <c r="AN147" s="2" t="n">
        <f aca="false">Y147</f>
        <v>608</v>
      </c>
      <c r="AO147" s="0" t="n">
        <f aca="false">AM147/Z147</f>
        <v>0.00554814253516653</v>
      </c>
    </row>
    <row r="148" customFormat="false" ht="12.75" hidden="false" customHeight="false" outlineLevel="0" collapsed="false">
      <c r="Y148" s="0" t="n">
        <f aca="false">Y147+$X$5</f>
        <v>612</v>
      </c>
      <c r="Z148" s="0" t="n">
        <f aca="false">(Y148/$V$5)^$O$5</f>
        <v>1.16834132259015</v>
      </c>
      <c r="AA148" s="0" t="n">
        <f aca="false">$Q$5*(Y148-$V$5)</f>
        <v>3.59398199570672</v>
      </c>
      <c r="AB148" s="0" t="n">
        <f aca="false">COS(AA148)</f>
        <v>-0.899405251566371</v>
      </c>
      <c r="AC148" s="0" t="n">
        <f aca="false">SIN(AA148)</f>
        <v>-0.437115766650933</v>
      </c>
      <c r="AD148" s="0" t="n">
        <f aca="false">$T$5*(Z148-1)</f>
        <v>0.00714778476709653</v>
      </c>
      <c r="AE148" s="0" t="n">
        <f aca="false">2*$T$5*$U$5*Z148*$X$5/(Y148+Y149)</f>
        <v>2.51811095311918E-005</v>
      </c>
      <c r="AF148" s="0" t="n">
        <f aca="false">AB148*AE148</f>
        <v>-2.26480221526219E-005</v>
      </c>
      <c r="AG148" s="0" t="n">
        <f aca="false">AG147+AF147</f>
        <v>0.00358453706785368</v>
      </c>
      <c r="AH148" s="0" t="n">
        <f aca="false">AC148*AE148</f>
        <v>-1.1007059997848E-005</v>
      </c>
      <c r="AI148" s="0" t="n">
        <f aca="false">AI147+AH147</f>
        <v>0.00471747397916542</v>
      </c>
      <c r="AJ148" s="6" t="n">
        <f aca="false">Y148/$P$5</f>
        <v>0.612</v>
      </c>
      <c r="AK148" s="0" t="n">
        <f aca="false">SQRT(AG148^2+AI148^2)</f>
        <v>0.0059248178651263</v>
      </c>
      <c r="AL148" s="0" t="n">
        <f aca="false">$W$5*(Y148/$V$5-Z148)</f>
        <v>0.00259080795319493</v>
      </c>
      <c r="AM148" s="0" t="n">
        <f aca="false">SQRT(AK148^2+AL148^2)</f>
        <v>0.00646651007772028</v>
      </c>
      <c r="AN148" s="2" t="n">
        <f aca="false">Y148</f>
        <v>612</v>
      </c>
      <c r="AO148" s="0" t="n">
        <f aca="false">AM148/Z148</f>
        <v>0.00553477819596792</v>
      </c>
    </row>
    <row r="149" customFormat="false" ht="12.75" hidden="false" customHeight="false" outlineLevel="0" collapsed="false">
      <c r="Y149" s="0" t="n">
        <f aca="false">Y148+$X$5</f>
        <v>616</v>
      </c>
      <c r="Z149" s="0" t="n">
        <f aca="false">(Y149/$V$5)^$O$5</f>
        <v>1.16877552333589</v>
      </c>
      <c r="AA149" s="0" t="n">
        <f aca="false">$Q$5*(Y149-$V$5)</f>
        <v>3.61911473693544</v>
      </c>
      <c r="AB149" s="0" t="n">
        <f aca="false">COS(AA149)</f>
        <v>-0.888136448813545</v>
      </c>
      <c r="AC149" s="0" t="n">
        <f aca="false">SIN(AA149)</f>
        <v>-0.459579860621488</v>
      </c>
      <c r="AD149" s="0" t="n">
        <f aca="false">$T$5*(Z149-1)</f>
        <v>0.00716622096225342</v>
      </c>
      <c r="AE149" s="0" t="n">
        <f aca="false">2*$T$5*$U$5*Z149*$X$5/(Y149+Y150)</f>
        <v>2.50274227046959E-005</v>
      </c>
      <c r="AF149" s="0" t="n">
        <f aca="false">AB149*AE149</f>
        <v>-2.22277663239041E-005</v>
      </c>
      <c r="AG149" s="0" t="n">
        <f aca="false">AG148+AF148</f>
        <v>0.00356188904570106</v>
      </c>
      <c r="AH149" s="0" t="n">
        <f aca="false">AC149*AE149</f>
        <v>-1.15020994383392E-005</v>
      </c>
      <c r="AI149" s="0" t="n">
        <f aca="false">AI148+AH148</f>
        <v>0.00470646691916757</v>
      </c>
      <c r="AJ149" s="6" t="n">
        <f aca="false">Y149/$P$5</f>
        <v>0.616</v>
      </c>
      <c r="AK149" s="0" t="n">
        <f aca="false">SQRT(AG149^2+AI149^2)</f>
        <v>0.00590236261467421</v>
      </c>
      <c r="AL149" s="0" t="n">
        <f aca="false">$W$5*(Y149/$V$5-Z149)</f>
        <v>0.00260906171027063</v>
      </c>
      <c r="AM149" s="0" t="n">
        <f aca="false">SQRT(AK149^2+AL149^2)</f>
        <v>0.00645330050773278</v>
      </c>
      <c r="AN149" s="2" t="n">
        <f aca="false">Y149</f>
        <v>616</v>
      </c>
      <c r="AO149" s="0" t="n">
        <f aca="false">AM149/Z149</f>
        <v>0.00552141996378736</v>
      </c>
    </row>
    <row r="150" customFormat="false" ht="12.75" hidden="false" customHeight="false" outlineLevel="0" collapsed="false">
      <c r="Y150" s="0" t="n">
        <f aca="false">Y149+$X$5</f>
        <v>620</v>
      </c>
      <c r="Z150" s="0" t="n">
        <f aca="false">(Y150/$V$5)^$O$5</f>
        <v>1.16920707350347</v>
      </c>
      <c r="AA150" s="0" t="n">
        <f aca="false">$Q$5*(Y150-$V$5)</f>
        <v>3.64424747816416</v>
      </c>
      <c r="AB150" s="0" t="n">
        <f aca="false">COS(AA150)</f>
        <v>-0.876306680043864</v>
      </c>
      <c r="AC150" s="0" t="n">
        <f aca="false">SIN(AA150)</f>
        <v>-0.481753674101715</v>
      </c>
      <c r="AD150" s="0" t="n">
        <f aca="false">$T$5*(Z150-1)</f>
        <v>0.00718454461366959</v>
      </c>
      <c r="AE150" s="0" t="n">
        <f aca="false">2*$T$5*$U$5*Z150*$X$5/(Y150+Y151)</f>
        <v>2.48756561648317E-005</v>
      </c>
      <c r="AF150" s="0" t="n">
        <f aca="false">AB150*AE150</f>
        <v>-2.17987036677163E-005</v>
      </c>
      <c r="AG150" s="0" t="n">
        <f aca="false">AG149+AF149</f>
        <v>0.00353966127937715</v>
      </c>
      <c r="AH150" s="0" t="n">
        <f aca="false">AC150*AE150</f>
        <v>-1.19839387530987E-005</v>
      </c>
      <c r="AI150" s="0" t="n">
        <f aca="false">AI149+AH149</f>
        <v>0.00469496481972923</v>
      </c>
      <c r="AJ150" s="6" t="n">
        <f aca="false">Y150/$P$5</f>
        <v>0.62</v>
      </c>
      <c r="AK150" s="0" t="n">
        <f aca="false">SQRT(AG150^2+AI150^2)</f>
        <v>0.00587978712465145</v>
      </c>
      <c r="AL150" s="0" t="n">
        <f aca="false">$W$5*(Y150/$V$5-Z150)</f>
        <v>0.00262731595328638</v>
      </c>
      <c r="AM150" s="0" t="n">
        <f aca="false">SQRT(AK150^2+AL150^2)</f>
        <v>0.00644008429677828</v>
      </c>
      <c r="AN150" s="2" t="n">
        <f aca="false">Y150</f>
        <v>620</v>
      </c>
      <c r="AO150" s="0" t="n">
        <f aca="false">AM150/Z150</f>
        <v>0.00550807845994372</v>
      </c>
    </row>
    <row r="151" customFormat="false" ht="12.75" hidden="false" customHeight="false" outlineLevel="0" collapsed="false">
      <c r="Y151" s="0" t="n">
        <f aca="false">Y150+$X$5</f>
        <v>624</v>
      </c>
      <c r="Z151" s="0" t="n">
        <f aca="false">(Y151/$V$5)^$O$5</f>
        <v>1.16963600621816</v>
      </c>
      <c r="AA151" s="0" t="n">
        <f aca="false">$Q$5*(Y151-$V$5)</f>
        <v>3.66938021939288</v>
      </c>
      <c r="AB151" s="0" t="n">
        <f aca="false">COS(AA151)</f>
        <v>-0.863923417192835</v>
      </c>
      <c r="AC151" s="0" t="n">
        <f aca="false">SIN(AA151)</f>
        <v>-0.503623201635761</v>
      </c>
      <c r="AD151" s="0" t="n">
        <f aca="false">$T$5*(Z151-1)</f>
        <v>0.00720275712784624</v>
      </c>
      <c r="AE151" s="0" t="n">
        <f aca="false">2*$T$5*$U$5*Z151*$X$5/(Y151+Y152)</f>
        <v>2.47257738012516E-005</v>
      </c>
      <c r="AF151" s="0" t="n">
        <f aca="false">AB151*AE151</f>
        <v>-2.13611749951144E-005</v>
      </c>
      <c r="AG151" s="0" t="n">
        <f aca="false">AG150+AF150</f>
        <v>0.00351786257570943</v>
      </c>
      <c r="AH151" s="0" t="n">
        <f aca="false">AC151*AE151</f>
        <v>-1.2452473364708E-005</v>
      </c>
      <c r="AI151" s="0" t="n">
        <f aca="false">AI150+AH150</f>
        <v>0.00468298088097613</v>
      </c>
      <c r="AJ151" s="6" t="n">
        <f aca="false">Y151/$P$5</f>
        <v>0.624</v>
      </c>
      <c r="AK151" s="0" t="n">
        <f aca="false">SQRT(AG151^2+AI151^2)</f>
        <v>0.00585710398005405</v>
      </c>
      <c r="AL151" s="0" t="n">
        <f aca="false">$W$5*(Y151/$V$5-Z151)</f>
        <v>0.00264557067616922</v>
      </c>
      <c r="AM151" s="0" t="n">
        <f aca="false">SQRT(AK151^2+AL151^2)</f>
        <v>0.006426874141896</v>
      </c>
      <c r="AN151" s="2" t="n">
        <f aca="false">Y151</f>
        <v>624</v>
      </c>
      <c r="AO151" s="0" t="n">
        <f aca="false">AM151/Z151</f>
        <v>0.00549476427514943</v>
      </c>
    </row>
    <row r="152" customFormat="false" ht="12.75" hidden="false" customHeight="false" outlineLevel="0" collapsed="false">
      <c r="Y152" s="0" t="n">
        <f aca="false">Y151+$X$5</f>
        <v>628</v>
      </c>
      <c r="Z152" s="0" t="n">
        <f aca="false">(Y152/$V$5)^$O$5</f>
        <v>1.17006235398219</v>
      </c>
      <c r="AA152" s="0" t="n">
        <f aca="false">$Q$5*(Y152-$V$5)</f>
        <v>3.6945129606216</v>
      </c>
      <c r="AB152" s="0" t="n">
        <f aca="false">COS(AA152)</f>
        <v>-0.850994481794692</v>
      </c>
      <c r="AC152" s="0" t="n">
        <f aca="false">SIN(AA152)</f>
        <v>-0.525174629961296</v>
      </c>
      <c r="AD152" s="0" t="n">
        <f aca="false">$T$5*(Z152-1)</f>
        <v>0.00722085988483029</v>
      </c>
      <c r="AE152" s="0" t="n">
        <f aca="false">2*$T$5*$U$5*Z152*$X$5/(Y152+Y153)</f>
        <v>2.45777404076091E-005</v>
      </c>
      <c r="AF152" s="0" t="n">
        <f aca="false">AB152*AE152</f>
        <v>-2.09155214618577E-005</v>
      </c>
      <c r="AG152" s="0" t="n">
        <f aca="false">AG151+AF151</f>
        <v>0.00349650140071432</v>
      </c>
      <c r="AH152" s="0" t="n">
        <f aca="false">AC152*AE152</f>
        <v>-1.29076057238509E-005</v>
      </c>
      <c r="AI152" s="0" t="n">
        <f aca="false">AI151+AH151</f>
        <v>0.00467052840761142</v>
      </c>
      <c r="AJ152" s="6" t="n">
        <f aca="false">Y152/$P$5</f>
        <v>0.628</v>
      </c>
      <c r="AK152" s="0" t="n">
        <f aca="false">SQRT(AG152^2+AI152^2)</f>
        <v>0.00583432580950897</v>
      </c>
      <c r="AL152" s="0" t="n">
        <f aca="false">$W$5*(Y152/$V$5-Z152)</f>
        <v>0.00266382587296038</v>
      </c>
      <c r="AM152" s="0" t="n">
        <f aca="false">SQRT(AK152^2+AL152^2)</f>
        <v>0.00641368271221422</v>
      </c>
      <c r="AN152" s="2" t="n">
        <f aca="false">Y152</f>
        <v>628</v>
      </c>
      <c r="AO152" s="0" t="n">
        <f aca="false">AM152/Z152</f>
        <v>0.0054814879654797</v>
      </c>
    </row>
    <row r="153" customFormat="false" ht="12.75" hidden="false" customHeight="false" outlineLevel="0" collapsed="false">
      <c r="Y153" s="0" t="n">
        <f aca="false">Y152+$X$5</f>
        <v>632</v>
      </c>
      <c r="Z153" s="0" t="n">
        <f aca="false">(Y153/$V$5)^$O$5</f>
        <v>1.17048614869035</v>
      </c>
      <c r="AA153" s="0" t="n">
        <f aca="false">$Q$5*(Y153-$V$5)</f>
        <v>3.71964570185032</v>
      </c>
      <c r="AB153" s="0" t="n">
        <f aca="false">COS(AA153)</f>
        <v>-0.837528040042142</v>
      </c>
      <c r="AC153" s="0" t="n">
        <f aca="false">SIN(AA153)</f>
        <v>-0.546394346734269</v>
      </c>
      <c r="AD153" s="0" t="n">
        <f aca="false">$T$5*(Z153-1)</f>
        <v>0.00723885423887676</v>
      </c>
      <c r="AE153" s="0" t="n">
        <f aca="false">2*$T$5*$U$5*Z153*$X$5/(Y153+Y154)</f>
        <v>2.44315216533665E-005</v>
      </c>
      <c r="AF153" s="0" t="n">
        <f aca="false">AB153*AE153</f>
        <v>-2.04620844455912E-005</v>
      </c>
      <c r="AG153" s="0" t="n">
        <f aca="false">AG152+AF152</f>
        <v>0.00347558587925246</v>
      </c>
      <c r="AH153" s="0" t="n">
        <f aca="false">AC153*AE153</f>
        <v>-1.33492453135153E-005</v>
      </c>
      <c r="AI153" s="0" t="n">
        <f aca="false">AI152+AH152</f>
        <v>0.00465762080188757</v>
      </c>
      <c r="AJ153" s="6" t="n">
        <f aca="false">Y153/$P$5</f>
        <v>0.632</v>
      </c>
      <c r="AK153" s="0" t="n">
        <f aca="false">SQRT(AG153^2+AI153^2)</f>
        <v>0.00581146528323408</v>
      </c>
      <c r="AL153" s="0" t="n">
        <f aca="false">$W$5*(Y153/$V$5-Z153)</f>
        <v>0.00268208153781248</v>
      </c>
      <c r="AM153" s="0" t="n">
        <f aca="false">SQRT(AK153^2+AL153^2)</f>
        <v>0.0064005226437932</v>
      </c>
      <c r="AN153" s="2" t="n">
        <f aca="false">Y153</f>
        <v>632</v>
      </c>
      <c r="AO153" s="0" t="n">
        <f aca="false">AM153/Z153</f>
        <v>0.00546826004814728</v>
      </c>
    </row>
    <row r="154" customFormat="false" ht="12.75" hidden="false" customHeight="false" outlineLevel="0" collapsed="false">
      <c r="Y154" s="0" t="n">
        <f aca="false">Y153+$X$5</f>
        <v>636</v>
      </c>
      <c r="Z154" s="0" t="n">
        <f aca="false">(Y154/$V$5)^$O$5</f>
        <v>1.17090742164509</v>
      </c>
      <c r="AA154" s="0" t="n">
        <f aca="false">$Q$5*(Y154-$V$5)</f>
        <v>3.74477844307903</v>
      </c>
      <c r="AB154" s="0" t="n">
        <f aca="false">COS(AA154)</f>
        <v>-0.823532597628427</v>
      </c>
      <c r="AC154" s="0" t="n">
        <f aca="false">SIN(AA154)</f>
        <v>-0.567268949126757</v>
      </c>
      <c r="AD154" s="0" t="n">
        <f aca="false">$T$5*(Z154-1)</f>
        <v>0.00725674151909055</v>
      </c>
      <c r="AE154" s="0" t="n">
        <f aca="false">2*$T$5*$U$5*Z154*$X$5/(Y154+Y155)</f>
        <v>2.42870840566543E-005</v>
      </c>
      <c r="AF154" s="0" t="n">
        <f aca="false">AB154*AE154</f>
        <v>-2.00012054219965E-005</v>
      </c>
      <c r="AG154" s="0" t="n">
        <f aca="false">AG153+AF153</f>
        <v>0.00345512379480687</v>
      </c>
      <c r="AH154" s="0" t="n">
        <f aca="false">AC154*AE154</f>
        <v>-1.37773086501715E-005</v>
      </c>
      <c r="AI154" s="0" t="n">
        <f aca="false">AI153+AH153</f>
        <v>0.00464427155657406</v>
      </c>
      <c r="AJ154" s="6" t="n">
        <f aca="false">Y154/$P$5</f>
        <v>0.636</v>
      </c>
      <c r="AK154" s="0" t="n">
        <f aca="false">SQRT(AG154^2+AI154^2)</f>
        <v>0.00578853511077228</v>
      </c>
      <c r="AL154" s="0" t="n">
        <f aca="false">$W$5*(Y154/$V$5-Z154)</f>
        <v>0.00270033766498672</v>
      </c>
      <c r="AM154" s="0" t="n">
        <f aca="false">SQRT(AK154^2+AL154^2)</f>
        <v>0.00638740653423511</v>
      </c>
      <c r="AN154" s="2" t="n">
        <f aca="false">Y154</f>
        <v>636</v>
      </c>
      <c r="AO154" s="0" t="n">
        <f aca="false">AM154/Z154</f>
        <v>0.0054550909970841</v>
      </c>
    </row>
    <row r="155" customFormat="false" ht="12.75" hidden="false" customHeight="false" outlineLevel="0" collapsed="false">
      <c r="Y155" s="0" t="n">
        <f aca="false">Y154+$X$5</f>
        <v>640</v>
      </c>
      <c r="Z155" s="0" t="n">
        <f aca="false">(Y155/$V$5)^$O$5</f>
        <v>1.17132620357122</v>
      </c>
      <c r="AA155" s="0" t="n">
        <f aca="false">$Q$5*(Y155-$V$5)</f>
        <v>3.76991118430775</v>
      </c>
      <c r="AB155" s="0" t="n">
        <f aca="false">COS(AA155)</f>
        <v>-0.809016994374947</v>
      </c>
      <c r="AC155" s="0" t="n">
        <f aca="false">SIN(AA155)</f>
        <v>-0.587785252292473</v>
      </c>
      <c r="AD155" s="0" t="n">
        <f aca="false">$T$5*(Z155-1)</f>
        <v>0.00727452303004827</v>
      </c>
      <c r="AE155" s="0" t="n">
        <f aca="false">2*$T$5*$U$5*Z155*$X$5/(Y155+Y156)</f>
        <v>2.41443949581344E-005</v>
      </c>
      <c r="AF155" s="0" t="n">
        <f aca="false">AB155*AE155</f>
        <v>-1.95332258400315E-005</v>
      </c>
      <c r="AG155" s="0" t="n">
        <f aca="false">AG154+AF154</f>
        <v>0.00343512258938487</v>
      </c>
      <c r="AH155" s="0" t="n">
        <f aca="false">AC155*AE155</f>
        <v>-1.41917192819162E-005</v>
      </c>
      <c r="AI155" s="0" t="n">
        <f aca="false">AI154+AH154</f>
        <v>0.00463049424792388</v>
      </c>
      <c r="AJ155" s="6" t="n">
        <f aca="false">Y155/$P$5</f>
        <v>0.64</v>
      </c>
      <c r="AK155" s="0" t="n">
        <f aca="false">SQRT(AG155^2+AI155^2)</f>
        <v>0.00576554803849195</v>
      </c>
      <c r="AL155" s="0" t="n">
        <f aca="false">$W$5*(Y155/$V$5-Z155)</f>
        <v>0.00271859424885024</v>
      </c>
      <c r="AM155" s="0" t="n">
        <f aca="false">SQRT(AK155^2+AL155^2)</f>
        <v>0.00637434693706265</v>
      </c>
      <c r="AN155" s="2" t="n">
        <f aca="false">Y155</f>
        <v>640</v>
      </c>
      <c r="AO155" s="0" t="n">
        <f aca="false">AM155/Z155</f>
        <v>0.00544199123833149</v>
      </c>
    </row>
    <row r="156" customFormat="false" ht="12.75" hidden="false" customHeight="false" outlineLevel="0" collapsed="false">
      <c r="Y156" s="0" t="n">
        <f aca="false">Y155+$X$5</f>
        <v>644</v>
      </c>
      <c r="Z156" s="0" t="n">
        <f aca="false">(Y156/$V$5)^$O$5</f>
        <v>1.17174252463002</v>
      </c>
      <c r="AA156" s="0" t="n">
        <f aca="false">$Q$5*(Y156-$V$5)</f>
        <v>3.79504392553647</v>
      </c>
      <c r="AB156" s="0" t="n">
        <f aca="false">COS(AA156)</f>
        <v>-0.793990398647835</v>
      </c>
      <c r="AC156" s="0" t="n">
        <f aca="false">SIN(AA156)</f>
        <v>-0.607930297694606</v>
      </c>
      <c r="AD156" s="0" t="n">
        <f aca="false">$T$5*(Z156-1)</f>
        <v>0.00729220005240095</v>
      </c>
      <c r="AE156" s="0" t="n">
        <f aca="false">2*$T$5*$U$5*Z156*$X$5/(Y156+Y157)</f>
        <v>2.40034224958256E-005</v>
      </c>
      <c r="AF156" s="0" t="n">
        <f aca="false">AB156*AE156</f>
        <v>-1.9058486996373E-005</v>
      </c>
      <c r="AG156" s="0" t="n">
        <f aca="false">AG155+AF155</f>
        <v>0.00341558936354484</v>
      </c>
      <c r="AH156" s="0" t="n">
        <f aca="false">AC156*AE156</f>
        <v>-1.45924077835766E-005</v>
      </c>
      <c r="AI156" s="0" t="n">
        <f aca="false">AI155+AH155</f>
        <v>0.00461630252864197</v>
      </c>
      <c r="AJ156" s="6" t="n">
        <f aca="false">Y156/$P$5</f>
        <v>0.644</v>
      </c>
      <c r="AK156" s="0" t="n">
        <f aca="false">SQRT(AG156^2+AI156^2)</f>
        <v>0.00574251684684572</v>
      </c>
      <c r="AL156" s="0" t="n">
        <f aca="false">$W$5*(Y156/$V$5-Z156)</f>
        <v>0.00273685128387343</v>
      </c>
      <c r="AM156" s="0" t="n">
        <f aca="false">SQRT(AK156^2+AL156^2)</f>
        <v>0.00636135635586834</v>
      </c>
      <c r="AN156" s="2" t="n">
        <f aca="false">Y156</f>
        <v>644</v>
      </c>
      <c r="AO156" s="0" t="n">
        <f aca="false">AM156/Z156</f>
        <v>0.00542897114524112</v>
      </c>
    </row>
    <row r="157" customFormat="false" ht="12.75" hidden="false" customHeight="false" outlineLevel="0" collapsed="false">
      <c r="Y157" s="0" t="n">
        <f aca="false">Y156+$X$5</f>
        <v>648</v>
      </c>
      <c r="Z157" s="0" t="n">
        <f aca="false">(Y157/$V$5)^$O$5</f>
        <v>1.17215641443307</v>
      </c>
      <c r="AA157" s="0" t="n">
        <f aca="false">$Q$5*(Y157-$V$5)</f>
        <v>3.82017666676519</v>
      </c>
      <c r="AB157" s="0" t="n">
        <f aca="false">COS(AA157)</f>
        <v>-0.778462301567023</v>
      </c>
      <c r="AC157" s="0" t="n">
        <f aca="false">SIN(AA157)</f>
        <v>-0.627691361290701</v>
      </c>
      <c r="AD157" s="0" t="n">
        <f aca="false">$T$5*(Z157-1)</f>
        <v>0.00730977384345826</v>
      </c>
      <c r="AE157" s="0" t="n">
        <f aca="false">2*$T$5*$U$5*Z157*$X$5/(Y157+Y158)</f>
        <v>2.38641355808496E-005</v>
      </c>
      <c r="AF157" s="0" t="n">
        <f aca="false">AB157*AE157</f>
        <v>-1.85773299091757E-005</v>
      </c>
      <c r="AG157" s="0" t="n">
        <f aca="false">AG156+AF156</f>
        <v>0.00339653087654847</v>
      </c>
      <c r="AH157" s="0" t="n">
        <f aca="false">AC157*AE157</f>
        <v>-1.49793117487693E-005</v>
      </c>
      <c r="AI157" s="0" t="n">
        <f aca="false">AI156+AH156</f>
        <v>0.00460171012085839</v>
      </c>
      <c r="AJ157" s="6" t="n">
        <f aca="false">Y157/$P$5</f>
        <v>0.648</v>
      </c>
      <c r="AK157" s="0" t="n">
        <f aca="false">SQRT(AG157^2+AI157^2)</f>
        <v>0.00571945434737945</v>
      </c>
      <c r="AL157" s="0" t="n">
        <f aca="false">$W$5*(Y157/$V$5-Z157)</f>
        <v>0.00275510876462751</v>
      </c>
      <c r="AM157" s="0" t="n">
        <f aca="false">SQRT(AK157^2+AL157^2)</f>
        <v>0.00634844723823747</v>
      </c>
      <c r="AN157" s="2" t="n">
        <f aca="false">Y157</f>
        <v>648</v>
      </c>
      <c r="AO157" s="0" t="n">
        <f aca="false">AM157/Z157</f>
        <v>0.00541604103348955</v>
      </c>
    </row>
    <row r="158" customFormat="false" ht="12.75" hidden="false" customHeight="false" outlineLevel="0" collapsed="false">
      <c r="Y158" s="0" t="n">
        <f aca="false">Y157+$X$5</f>
        <v>652</v>
      </c>
      <c r="Z158" s="0" t="n">
        <f aca="false">(Y158/$V$5)^$O$5</f>
        <v>1.17256790205556</v>
      </c>
      <c r="AA158" s="0" t="n">
        <f aca="false">$Q$5*(Y158-$V$5)</f>
        <v>3.84530940799391</v>
      </c>
      <c r="AB158" s="0" t="n">
        <f aca="false">COS(AA158)</f>
        <v>-0.762442511011448</v>
      </c>
      <c r="AC158" s="0" t="n">
        <f aca="false">SIN(AA158)</f>
        <v>-0.647055961569444</v>
      </c>
      <c r="AD158" s="0" t="n">
        <f aca="false">$T$5*(Z158-1)</f>
        <v>0.007327245637755</v>
      </c>
      <c r="AE158" s="0" t="n">
        <f aca="false">2*$T$5*$U$5*Z158*$X$5/(Y158+Y159)</f>
        <v>2.37265038740589E-005</v>
      </c>
      <c r="AF158" s="0" t="n">
        <f aca="false">AB158*AE158</f>
        <v>-1.80900951912603E-005</v>
      </c>
      <c r="AG158" s="0" t="n">
        <f aca="false">AG157+AF157</f>
        <v>0.00337795354663929</v>
      </c>
      <c r="AH158" s="0" t="n">
        <f aca="false">AC158*AE158</f>
        <v>-1.53523757789103E-005</v>
      </c>
      <c r="AI158" s="0" t="n">
        <f aca="false">AI157+AH157</f>
        <v>0.00458673080910962</v>
      </c>
      <c r="AJ158" s="6" t="n">
        <f aca="false">Y158/$P$5</f>
        <v>0.652</v>
      </c>
      <c r="AK158" s="0" t="n">
        <f aca="false">SQRT(AG158^2+AI158^2)</f>
        <v>0.00569637337948351</v>
      </c>
      <c r="AL158" s="0" t="n">
        <f aca="false">$W$5*(Y158/$V$5-Z158)</f>
        <v>0.00277336668578201</v>
      </c>
      <c r="AM158" s="0" t="n">
        <f aca="false">SQRT(AK158^2+AL158^2)</f>
        <v>0.00633563196944818</v>
      </c>
      <c r="AN158" s="2" t="n">
        <f aca="false">Y158</f>
        <v>652</v>
      </c>
      <c r="AO158" s="0" t="n">
        <f aca="false">AM158/Z158</f>
        <v>0.00540321115590964</v>
      </c>
    </row>
    <row r="159" customFormat="false" ht="12.75" hidden="false" customHeight="false" outlineLevel="0" collapsed="false">
      <c r="Y159" s="0" t="n">
        <f aca="false">Y158+$X$5</f>
        <v>656</v>
      </c>
      <c r="Z159" s="0" t="n">
        <f aca="false">(Y159/$V$5)^$O$5</f>
        <v>1.17297701604926</v>
      </c>
      <c r="AA159" s="0" t="n">
        <f aca="false">$Q$5*(Y159-$V$5)</f>
        <v>3.87044214922263</v>
      </c>
      <c r="AB159" s="0" t="n">
        <f aca="false">COS(AA159)</f>
        <v>-0.745941145424182</v>
      </c>
      <c r="AC159" s="0" t="n">
        <f aca="false">SIN(AA159)</f>
        <v>-0.666011867434252</v>
      </c>
      <c r="AD159" s="0" t="n">
        <f aca="false">$T$5*(Z159-1)</f>
        <v>0.00734461664760047</v>
      </c>
      <c r="AE159" s="0" t="n">
        <f aca="false">2*$T$5*$U$5*Z159*$X$5/(Y159+Y160)</f>
        <v>2.35904977635086E-005</v>
      </c>
      <c r="AF159" s="0" t="n">
        <f aca="false">AB159*AE159</f>
        <v>-1.75971229228382E-005</v>
      </c>
      <c r="AG159" s="0" t="n">
        <f aca="false">AG158+AF158</f>
        <v>0.00335986345144803</v>
      </c>
      <c r="AH159" s="0" t="n">
        <f aca="false">AC159*AE159</f>
        <v>-1.57115514691779E-005</v>
      </c>
      <c r="AI159" s="0" t="n">
        <f aca="false">AI158+AH158</f>
        <v>0.00457137843333071</v>
      </c>
      <c r="AJ159" s="6" t="n">
        <f aca="false">Y159/$P$5</f>
        <v>0.656</v>
      </c>
      <c r="AK159" s="0" t="n">
        <f aca="false">SQRT(AG159^2+AI159^2)</f>
        <v>0.00567328680687813</v>
      </c>
      <c r="AL159" s="0" t="n">
        <f aca="false">$W$5*(Y159/$V$5-Z159)</f>
        <v>0.00279162504210244</v>
      </c>
      <c r="AM159" s="0" t="n">
        <f aca="false">SQRT(AK159^2+AL159^2)</f>
        <v>0.00632292286595297</v>
      </c>
      <c r="AN159" s="2" t="n">
        <f aca="false">Y159</f>
        <v>656</v>
      </c>
      <c r="AO159" s="0" t="n">
        <f aca="false">AM159/Z159</f>
        <v>0.0053904916971429</v>
      </c>
    </row>
    <row r="160" customFormat="false" ht="12.75" hidden="false" customHeight="false" outlineLevel="0" collapsed="false">
      <c r="Y160" s="0" t="n">
        <f aca="false">Y159+$X$5</f>
        <v>660</v>
      </c>
      <c r="Z160" s="0" t="n">
        <f aca="false">(Y160/$V$5)^$O$5</f>
        <v>1.17338378445499</v>
      </c>
      <c r="AA160" s="0" t="n">
        <f aca="false">$Q$5*(Y160-$V$5)</f>
        <v>3.89557489045134</v>
      </c>
      <c r="AB160" s="0" t="n">
        <f aca="false">COS(AA160)</f>
        <v>-0.728968627421412</v>
      </c>
      <c r="AC160" s="0" t="n">
        <f aca="false">SIN(AA160)</f>
        <v>-0.684547105928689</v>
      </c>
      <c r="AD160" s="0" t="n">
        <f aca="false">$T$5*(Z160-1)</f>
        <v>0.00736188806361125</v>
      </c>
      <c r="AE160" s="0" t="n">
        <f aca="false">2*$T$5*$U$5*Z160*$X$5/(Y160+Y161)</f>
        <v>2.34560883427374E-005</v>
      </c>
      <c r="AF160" s="0" t="n">
        <f aca="false">AB160*AE160</f>
        <v>-1.70987525238807E-005</v>
      </c>
      <c r="AG160" s="0" t="n">
        <f aca="false">AG159+AF159</f>
        <v>0.0033422663285252</v>
      </c>
      <c r="AH160" s="0" t="n">
        <f aca="false">AC160*AE160</f>
        <v>-1.60567973914286E-005</v>
      </c>
      <c r="AI160" s="0" t="n">
        <f aca="false">AI159+AH159</f>
        <v>0.00455566688186153</v>
      </c>
      <c r="AJ160" s="6" t="n">
        <f aca="false">Y160/$P$5</f>
        <v>0.66</v>
      </c>
      <c r="AK160" s="0" t="n">
        <f aca="false">SQRT(AG160^2+AI160^2)</f>
        <v>0.00565020751382489</v>
      </c>
      <c r="AL160" s="0" t="n">
        <f aca="false">$W$5*(Y160/$V$5-Z160)</f>
        <v>0.00280988382844797</v>
      </c>
      <c r="AM160" s="0" t="n">
        <f aca="false">SQRT(AK160^2+AL160^2)</f>
        <v>0.00631033216864665</v>
      </c>
      <c r="AN160" s="2" t="n">
        <f aca="false">Y160</f>
        <v>660</v>
      </c>
      <c r="AO160" s="0" t="n">
        <f aca="false">AM160/Z160</f>
        <v>0.00537789276811733</v>
      </c>
    </row>
    <row r="161" customFormat="false" ht="12.75" hidden="false" customHeight="false" outlineLevel="0" collapsed="false">
      <c r="Y161" s="0" t="n">
        <f aca="false">Y160+$X$5</f>
        <v>664</v>
      </c>
      <c r="Z161" s="0" t="n">
        <f aca="false">(Y161/$V$5)^$O$5</f>
        <v>1.1737882348149</v>
      </c>
      <c r="AA161" s="0" t="n">
        <f aca="false">$Q$5*(Y161-$V$5)</f>
        <v>3.92070763168006</v>
      </c>
      <c r="AB161" s="0" t="n">
        <f aca="false">COS(AA161)</f>
        <v>-0.711535677209285</v>
      </c>
      <c r="AC161" s="0" t="n">
        <f aca="false">SIN(AA161)</f>
        <v>-0.702649969798849</v>
      </c>
      <c r="AD161" s="0" t="n">
        <f aca="false">$T$5*(Z161-1)</f>
        <v>0.00737906105522818</v>
      </c>
      <c r="AE161" s="0" t="n">
        <f aca="false">2*$T$5*$U$5*Z161*$X$5/(Y161+Y162)</f>
        <v>2.33232473898241E-005</v>
      </c>
      <c r="AF161" s="0" t="n">
        <f aca="false">AB161*AE161</f>
        <v>-1.65953226262382E-005</v>
      </c>
      <c r="AG161" s="0" t="n">
        <f aca="false">AG160+AF160</f>
        <v>0.00332516757600131</v>
      </c>
      <c r="AH161" s="0" t="n">
        <f aca="false">AC161*AE161</f>
        <v>-1.6388079074071E-005</v>
      </c>
      <c r="AI161" s="0" t="n">
        <f aca="false">AI160+AH160</f>
        <v>0.00453961008447011</v>
      </c>
      <c r="AJ161" s="6" t="n">
        <f aca="false">Y161/$P$5</f>
        <v>0.664</v>
      </c>
      <c r="AK161" s="0" t="n">
        <f aca="false">SQRT(AG161^2+AI161^2)</f>
        <v>0.00562714840105654</v>
      </c>
      <c r="AL161" s="0" t="n">
        <f aca="false">$W$5*(Y161/$V$5-Z161)</f>
        <v>0.0028281430397692</v>
      </c>
      <c r="AM161" s="0" t="n">
        <f aca="false">SQRT(AK161^2+AL161^2)</f>
        <v>0.00629787203592675</v>
      </c>
      <c r="AN161" s="2" t="n">
        <f aca="false">Y161</f>
        <v>664</v>
      </c>
      <c r="AO161" s="0" t="n">
        <f aca="false">AM161/Z161</f>
        <v>0.00536542440035605</v>
      </c>
    </row>
    <row r="162" customFormat="false" ht="12.75" hidden="false" customHeight="false" outlineLevel="0" collapsed="false">
      <c r="Y162" s="0" t="n">
        <f aca="false">Y161+$X$5</f>
        <v>668</v>
      </c>
      <c r="Z162" s="0" t="n">
        <f aca="false">(Y162/$V$5)^$O$5</f>
        <v>1.17419039418421</v>
      </c>
      <c r="AA162" s="0" t="n">
        <f aca="false">$Q$5*(Y162-$V$5)</f>
        <v>3.94584037290878</v>
      </c>
      <c r="AB162" s="0" t="n">
        <f aca="false">COS(AA162)</f>
        <v>-0.693653305812805</v>
      </c>
      <c r="AC162" s="0" t="n">
        <f aca="false">SIN(AA162)</f>
        <v>-0.720309024887907</v>
      </c>
      <c r="AD162" s="0" t="n">
        <f aca="false">$T$5*(Z162-1)</f>
        <v>0.00739613677121785</v>
      </c>
      <c r="AE162" s="0" t="n">
        <f aca="false">2*$T$5*$U$5*Z162*$X$5/(Y162+Y163)</f>
        <v>2.31919473471865E-005</v>
      </c>
      <c r="AF162" s="0" t="n">
        <f aca="false">AB162*AE162</f>
        <v>-1.60871709456124E-005</v>
      </c>
      <c r="AG162" s="0" t="n">
        <f aca="false">AG161+AF161</f>
        <v>0.00330857225337508</v>
      </c>
      <c r="AH162" s="0" t="n">
        <f aca="false">AC162*AE162</f>
        <v>-1.67053689789036E-005</v>
      </c>
      <c r="AI162" s="0" t="n">
        <f aca="false">AI161+AH161</f>
        <v>0.00452322200539603</v>
      </c>
      <c r="AJ162" s="6" t="n">
        <f aca="false">Y162/$P$5</f>
        <v>0.668</v>
      </c>
      <c r="AK162" s="0" t="n">
        <f aca="false">SQRT(AG162^2+AI162^2)</f>
        <v>0.0056041223814173</v>
      </c>
      <c r="AL162" s="0" t="n">
        <f aca="false">$W$5*(Y162/$V$5-Z162)</f>
        <v>0.00284640267110601</v>
      </c>
      <c r="AM162" s="0" t="n">
        <f aca="false">SQRT(AK162^2+AL162^2)</f>
        <v>0.00628555453655298</v>
      </c>
      <c r="AN162" s="2" t="n">
        <f aca="false">Y162</f>
        <v>668</v>
      </c>
      <c r="AO162" s="0" t="n">
        <f aca="false">AM162/Z162</f>
        <v>0.00535309654012285</v>
      </c>
    </row>
    <row r="163" customFormat="false" ht="12.75" hidden="false" customHeight="false" outlineLevel="0" collapsed="false">
      <c r="Y163" s="0" t="n">
        <f aca="false">Y162+$X$5</f>
        <v>672</v>
      </c>
      <c r="Z163" s="0" t="n">
        <f aca="false">(Y163/$V$5)^$O$5</f>
        <v>1.17459028914269</v>
      </c>
      <c r="AA163" s="0" t="n">
        <f aca="false">$Q$5*(Y163-$V$5)</f>
        <v>3.9709731141375</v>
      </c>
      <c r="AB163" s="0" t="n">
        <f aca="false">COS(AA163)</f>
        <v>-0.675332808121024</v>
      </c>
      <c r="AC163" s="0" t="n">
        <f aca="false">SIN(AA163)</f>
        <v>-0.737513117358174</v>
      </c>
      <c r="AD163" s="0" t="n">
        <f aca="false">$T$5*(Z163-1)</f>
        <v>0.00741311634015944</v>
      </c>
      <c r="AE163" s="0" t="n">
        <f aca="false">2*$T$5*$U$5*Z163*$X$5/(Y163+Y164)</f>
        <v>2.30621613020934E-005</v>
      </c>
      <c r="AF163" s="0" t="n">
        <f aca="false">AB163*AE163</f>
        <v>-1.55746341534827E-005</v>
      </c>
      <c r="AG163" s="0" t="n">
        <f aca="false">AG162+AF162</f>
        <v>0.00329248508242946</v>
      </c>
      <c r="AH163" s="0" t="n">
        <f aca="false">AC163*AE163</f>
        <v>-1.70086464749239E-005</v>
      </c>
      <c r="AI163" s="0" t="n">
        <f aca="false">AI162+AH162</f>
        <v>0.00450651663641713</v>
      </c>
      <c r="AJ163" s="6" t="n">
        <f aca="false">Y163/$P$5</f>
        <v>0.672</v>
      </c>
      <c r="AK163" s="0" t="n">
        <f aca="false">SQRT(AG163^2+AI163^2)</f>
        <v>0.00558114237520643</v>
      </c>
      <c r="AL163" s="0" t="n">
        <f aca="false">$W$5*(Y163/$V$5-Z163)</f>
        <v>0.00286466271758541</v>
      </c>
      <c r="AM163" s="0" t="n">
        <f aca="false">SQRT(AK163^2+AL163^2)</f>
        <v>0.00627339164231349</v>
      </c>
      <c r="AN163" s="2" t="n">
        <f aca="false">Y163</f>
        <v>672</v>
      </c>
      <c r="AO163" s="0" t="n">
        <f aca="false">AM163/Z163</f>
        <v>0.00534091904241123</v>
      </c>
    </row>
    <row r="164" customFormat="false" ht="12.75" hidden="false" customHeight="false" outlineLevel="0" collapsed="false">
      <c r="Y164" s="0" t="n">
        <f aca="false">Y163+$X$5</f>
        <v>676</v>
      </c>
      <c r="Z164" s="0" t="n">
        <f aca="false">(Y164/$V$5)^$O$5</f>
        <v>1.17498794580579</v>
      </c>
      <c r="AA164" s="0" t="n">
        <f aca="false">$Q$5*(Y164-$V$5)</f>
        <v>3.99610585536622</v>
      </c>
      <c r="AB164" s="0" t="n">
        <f aca="false">COS(AA164)</f>
        <v>-0.656585755752956</v>
      </c>
      <c r="AC164" s="0" t="n">
        <f aca="false">SIN(AA164)</f>
        <v>-0.754251380736104</v>
      </c>
      <c r="AD164" s="0" t="n">
        <f aca="false">$T$5*(Z164-1)</f>
        <v>0.00743000087091714</v>
      </c>
      <c r="AE164" s="0" t="n">
        <f aca="false">2*$T$5*$U$5*Z164*$X$5/(Y164+Y165)</f>
        <v>2.29338629678594E-005</v>
      </c>
      <c r="AF164" s="0" t="n">
        <f aca="false">AB164*AE164</f>
        <v>-1.50580477490867E-005</v>
      </c>
      <c r="AG164" s="0" t="n">
        <f aca="false">AG163+AF163</f>
        <v>0.00327691044827598</v>
      </c>
      <c r="AH164" s="0" t="n">
        <f aca="false">AC164*AE164</f>
        <v>-1.72978978091206E-005</v>
      </c>
      <c r="AI164" s="0" t="n">
        <f aca="false">AI163+AH163</f>
        <v>0.00448950798994221</v>
      </c>
      <c r="AJ164" s="6" t="n">
        <f aca="false">Y164/$P$5</f>
        <v>0.676</v>
      </c>
      <c r="AK164" s="0" t="n">
        <f aca="false">SQRT(AG164^2+AI164^2)</f>
        <v>0.00555822130521763</v>
      </c>
      <c r="AL164" s="0" t="n">
        <f aca="false">$W$5*(Y164/$V$5-Z164)</f>
        <v>0.00288292317441959</v>
      </c>
      <c r="AM164" s="0" t="n">
        <f aca="false">SQRT(AK164^2+AL164^2)</f>
        <v>0.00626139522050643</v>
      </c>
      <c r="AN164" s="2" t="n">
        <f aca="false">Y164</f>
        <v>676</v>
      </c>
      <c r="AO164" s="0" t="n">
        <f aca="false">AM164/Z164</f>
        <v>0.00532890166478469</v>
      </c>
    </row>
    <row r="165" customFormat="false" ht="12.75" hidden="false" customHeight="false" outlineLevel="0" collapsed="false">
      <c r="Y165" s="0" t="n">
        <f aca="false">Y164+$X$5</f>
        <v>680</v>
      </c>
      <c r="Z165" s="0" t="n">
        <f aca="false">(Y165/$V$5)^$O$5</f>
        <v>1.17538338983546</v>
      </c>
      <c r="AA165" s="0" t="n">
        <f aca="false">$Q$5*(Y165-$V$5)</f>
        <v>4.02123859659494</v>
      </c>
      <c r="AB165" s="0" t="n">
        <f aca="false">COS(AA165)</f>
        <v>-0.63742398974869</v>
      </c>
      <c r="AC165" s="0" t="n">
        <f aca="false">SIN(AA165)</f>
        <v>-0.770513242775789</v>
      </c>
      <c r="AD165" s="0" t="n">
        <f aca="false">$T$5*(Z165-1)</f>
        <v>0.00744679145309889</v>
      </c>
      <c r="AE165" s="0" t="n">
        <f aca="false">2*$T$5*$U$5*Z165*$X$5/(Y165+Y166)</f>
        <v>2.28070266656959E-005</v>
      </c>
      <c r="AF165" s="0" t="n">
        <f aca="false">AB165*AE165</f>
        <v>-1.45377459315526E-005</v>
      </c>
      <c r="AG165" s="0" t="n">
        <f aca="false">AG164+AF164</f>
        <v>0.00326185240052689</v>
      </c>
      <c r="AH165" s="0" t="n">
        <f aca="false">AC165*AE165</f>
        <v>-1.75731160742592E-005</v>
      </c>
      <c r="AI165" s="0" t="n">
        <f aca="false">AI164+AH164</f>
        <v>0.00447221009213309</v>
      </c>
      <c r="AJ165" s="6" t="n">
        <f aca="false">Y165/$P$5</f>
        <v>0.68</v>
      </c>
      <c r="AK165" s="0" t="n">
        <f aca="false">SQRT(AG165^2+AI165^2)</f>
        <v>0.00553537209146775</v>
      </c>
      <c r="AL165" s="0" t="n">
        <f aca="false">$W$5*(Y165/$V$5-Z165)</f>
        <v>0.00290118403690382</v>
      </c>
      <c r="AM165" s="0" t="n">
        <f aca="false">SQRT(AK165^2+AL165^2)</f>
        <v>0.00624957702624631</v>
      </c>
      <c r="AN165" s="2" t="n">
        <f aca="false">Y165</f>
        <v>680</v>
      </c>
      <c r="AO165" s="0" t="n">
        <f aca="false">AM165/Z165</f>
        <v>0.00531705406107633</v>
      </c>
    </row>
    <row r="166" customFormat="false" ht="12.75" hidden="false" customHeight="false" outlineLevel="0" collapsed="false">
      <c r="Y166" s="0" t="n">
        <f aca="false">Y165+$X$5</f>
        <v>684</v>
      </c>
      <c r="Z166" s="0" t="n">
        <f aca="false">(Y166/$V$5)^$O$5</f>
        <v>1.17577664645062</v>
      </c>
      <c r="AA166" s="0" t="n">
        <f aca="false">$Q$5*(Y166-$V$5)</f>
        <v>4.04637133782365</v>
      </c>
      <c r="AB166" s="0" t="n">
        <f aca="false">COS(AA166)</f>
        <v>-0.617859613090334</v>
      </c>
      <c r="AC166" s="0" t="n">
        <f aca="false">SIN(AA166)</f>
        <v>-0.786288432136619</v>
      </c>
      <c r="AD166" s="0" t="n">
        <f aca="false">$T$5*(Z166-1)</f>
        <v>0.00746348915750178</v>
      </c>
      <c r="AE166" s="0" t="n">
        <f aca="false">2*$T$5*$U$5*Z166*$X$5/(Y166+Y167)</f>
        <v>2.26816273071898E-005</v>
      </c>
      <c r="AF166" s="0" t="n">
        <f aca="false">AB166*AE166</f>
        <v>-1.40140614722795E-005</v>
      </c>
      <c r="AG166" s="0" t="n">
        <f aca="false">AG165+AF165</f>
        <v>0.00324731465459534</v>
      </c>
      <c r="AH166" s="0" t="n">
        <f aca="false">AC166*AE166</f>
        <v>-1.78343011736774E-005</v>
      </c>
      <c r="AI166" s="0" t="n">
        <f aca="false">AI165+AH165</f>
        <v>0.00445463697605883</v>
      </c>
      <c r="AJ166" s="6" t="n">
        <f aca="false">Y166/$P$5</f>
        <v>0.684</v>
      </c>
      <c r="AK166" s="0" t="n">
        <f aca="false">SQRT(AG166^2+AI166^2)</f>
        <v>0.0055126076456084</v>
      </c>
      <c r="AL166" s="0" t="n">
        <f aca="false">$W$5*(Y166/$V$5-Z166)</f>
        <v>0.00291944530041465</v>
      </c>
      <c r="AM166" s="0" t="n">
        <f aca="false">SQRT(AK166^2+AL166^2)</f>
        <v>0.00623794869460574</v>
      </c>
      <c r="AN166" s="2" t="n">
        <f aca="false">Y166</f>
        <v>684</v>
      </c>
      <c r="AO166" s="0" t="n">
        <f aca="false">AM166/Z166</f>
        <v>0.00530538577495696</v>
      </c>
    </row>
    <row r="167" customFormat="false" ht="12.75" hidden="false" customHeight="false" outlineLevel="0" collapsed="false">
      <c r="Y167" s="0" t="n">
        <f aca="false">Y166+$X$5</f>
        <v>688</v>
      </c>
      <c r="Z167" s="0" t="n">
        <f aca="false">(Y167/$V$5)^$O$5</f>
        <v>1.17616774043735</v>
      </c>
      <c r="AA167" s="0" t="n">
        <f aca="false">$Q$5*(Y167-$V$5)</f>
        <v>4.07150407905237</v>
      </c>
      <c r="AB167" s="0" t="n">
        <f aca="false">COS(AA167)</f>
        <v>-0.597904983057519</v>
      </c>
      <c r="AC167" s="0" t="n">
        <f aca="false">SIN(AA167)</f>
        <v>-0.801566984870876</v>
      </c>
      <c r="AD167" s="0" t="n">
        <f aca="false">$T$5*(Z167-1)</f>
        <v>0.00748009503654456</v>
      </c>
      <c r="AE167" s="0" t="n">
        <f aca="false">2*$T$5*$U$5*Z167*$X$5/(Y167+Y168)</f>
        <v>2.25576403773874E-005</v>
      </c>
      <c r="AF167" s="0" t="n">
        <f aca="false">AB167*AE167</f>
        <v>-1.34873255876594E-005</v>
      </c>
      <c r="AG167" s="0" t="n">
        <f aca="false">AG166+AF166</f>
        <v>0.00323330059312306</v>
      </c>
      <c r="AH167" s="0" t="n">
        <f aca="false">AC167*AE167</f>
        <v>-1.80814597831039E-005</v>
      </c>
      <c r="AI167" s="0" t="n">
        <f aca="false">AI166+AH166</f>
        <v>0.00443680267488515</v>
      </c>
      <c r="AJ167" s="6" t="n">
        <f aca="false">Y167/$P$5</f>
        <v>0.688</v>
      </c>
      <c r="AK167" s="0" t="n">
        <f aca="false">SQRT(AG167^2+AI167^2)</f>
        <v>0.00548994086501466</v>
      </c>
      <c r="AL167" s="0" t="n">
        <f aca="false">$W$5*(Y167/$V$5-Z167)</f>
        <v>0.00293770696040795</v>
      </c>
      <c r="AM167" s="0" t="n">
        <f aca="false">SQRT(AK167^2+AL167^2)</f>
        <v>0.00622652173260379</v>
      </c>
      <c r="AN167" s="2" t="n">
        <f aca="false">Y167</f>
        <v>688</v>
      </c>
      <c r="AO167" s="0" t="n">
        <f aca="false">AM167/Z167</f>
        <v>0.00529390623338172</v>
      </c>
    </row>
    <row r="168" customFormat="false" ht="12.75" hidden="false" customHeight="false" outlineLevel="0" collapsed="false">
      <c r="Y168" s="0" t="n">
        <f aca="false">Y167+$X$5</f>
        <v>692</v>
      </c>
      <c r="Z168" s="0" t="n">
        <f aca="false">(Y168/$V$5)^$O$5</f>
        <v>1.17655669615878</v>
      </c>
      <c r="AA168" s="0" t="n">
        <f aca="false">$Q$5*(Y168-$V$5)</f>
        <v>4.09663682028109</v>
      </c>
      <c r="AB168" s="0" t="n">
        <f aca="false">COS(AA168)</f>
        <v>-0.577572703422268</v>
      </c>
      <c r="AC168" s="0" t="n">
        <f aca="false">SIN(AA168)</f>
        <v>-0.816339250717184</v>
      </c>
      <c r="AD168" s="0" t="n">
        <f aca="false">$T$5*(Z168-1)</f>
        <v>0.00749661012468787</v>
      </c>
      <c r="AE168" s="0" t="n">
        <f aca="false">2*$T$5*$U$5*Z168*$X$5/(Y168+Y169)</f>
        <v>2.2435041918456E-005</v>
      </c>
      <c r="AF168" s="0" t="n">
        <f aca="false">AB168*AE168</f>
        <v>-1.29578678122345E-005</v>
      </c>
      <c r="AG168" s="0" t="n">
        <f aca="false">AG167+AF167</f>
        <v>0.0032198132675354</v>
      </c>
      <c r="AH168" s="0" t="n">
        <f aca="false">AC168*AE168</f>
        <v>-1.8314605309521E-005</v>
      </c>
      <c r="AI168" s="0" t="n">
        <f aca="false">AI167+AH167</f>
        <v>0.00441872121510205</v>
      </c>
      <c r="AJ168" s="6" t="n">
        <f aca="false">Y168/$P$5</f>
        <v>0.692</v>
      </c>
      <c r="AK168" s="0" t="n">
        <f aca="false">SQRT(AG168^2+AI168^2)</f>
        <v>0.00546738462654585</v>
      </c>
      <c r="AL168" s="0" t="n">
        <f aca="false">$W$5*(Y168/$V$5-Z168)</f>
        <v>0.00295596901241714</v>
      </c>
      <c r="AM168" s="0" t="n">
        <f aca="false">SQRT(AK168^2+AL168^2)</f>
        <v>0.00621530751105368</v>
      </c>
      <c r="AN168" s="2" t="n">
        <f aca="false">Y168</f>
        <v>692</v>
      </c>
      <c r="AO168" s="0" t="n">
        <f aca="false">AM168/Z168</f>
        <v>0.00528262473992573</v>
      </c>
    </row>
    <row r="169" customFormat="false" ht="12.75" hidden="false" customHeight="false" outlineLevel="0" collapsed="false">
      <c r="Y169" s="0" t="n">
        <f aca="false">Y168+$X$5</f>
        <v>696</v>
      </c>
      <c r="Z169" s="0" t="n">
        <f aca="false">(Y169/$V$5)^$O$5</f>
        <v>1.17694353756473</v>
      </c>
      <c r="AA169" s="0" t="n">
        <f aca="false">$Q$5*(Y169-$V$5)</f>
        <v>4.12176956150981</v>
      </c>
      <c r="AB169" s="0" t="n">
        <f aca="false">COS(AA169)</f>
        <v>-0.556875616488188</v>
      </c>
      <c r="AC169" s="0" t="n">
        <f aca="false">SIN(AA169)</f>
        <v>-0.830595899195813</v>
      </c>
      <c r="AD169" s="0" t="n">
        <f aca="false">$T$5*(Z169-1)</f>
        <v>0.00751303543884237</v>
      </c>
      <c r="AE169" s="0" t="n">
        <f aca="false">2*$T$5*$U$5*Z169*$X$5/(Y169+Y170)</f>
        <v>2.23138085139035E-005</v>
      </c>
      <c r="AF169" s="0" t="n">
        <f aca="false">AB169*AE169</f>
        <v>-1.24260158723794E-005</v>
      </c>
      <c r="AG169" s="0" t="n">
        <f aca="false">AG168+AF168</f>
        <v>0.00320685539972317</v>
      </c>
      <c r="AH169" s="0" t="n">
        <f aca="false">AC169*AE169</f>
        <v>-1.85337578470889E-005</v>
      </c>
      <c r="AI169" s="0" t="n">
        <f aca="false">AI168+AH168</f>
        <v>0.00440040660979253</v>
      </c>
      <c r="AJ169" s="6" t="n">
        <f aca="false">Y169/$P$5</f>
        <v>0.696</v>
      </c>
      <c r="AK169" s="0" t="n">
        <f aca="false">SQRT(AG169^2+AI169^2)</f>
        <v>0.00544495177997376</v>
      </c>
      <c r="AL169" s="0" t="n">
        <f aca="false">$W$5*(Y169/$V$5-Z169)</f>
        <v>0.00297423145205142</v>
      </c>
      <c r="AM169" s="0" t="n">
        <f aca="false">SQRT(AK169^2+AL169^2)</f>
        <v>0.00620431725628302</v>
      </c>
      <c r="AN169" s="2" t="n">
        <f aca="false">Y169</f>
        <v>696</v>
      </c>
      <c r="AO169" s="0" t="n">
        <f aca="false">AM169/Z169</f>
        <v>0.00527155046802045</v>
      </c>
    </row>
    <row r="170" customFormat="false" ht="12.75" hidden="false" customHeight="false" outlineLevel="0" collapsed="false">
      <c r="Y170" s="0" t="n">
        <f aca="false">Y169+$X$5</f>
        <v>700</v>
      </c>
      <c r="Z170" s="0" t="n">
        <f aca="false">(Y170/$V$5)^$O$5</f>
        <v>1.17732828820102</v>
      </c>
      <c r="AA170" s="0" t="n">
        <f aca="false">$Q$5*(Y170-$V$5)</f>
        <v>4.14690230273853</v>
      </c>
      <c r="AB170" s="0" t="n">
        <f aca="false">COS(AA170)</f>
        <v>-0.535826794978996</v>
      </c>
      <c r="AC170" s="0" t="n">
        <f aca="false">SIN(AA170)</f>
        <v>-0.844327925502015</v>
      </c>
      <c r="AD170" s="0" t="n">
        <f aca="false">$T$5*(Z170-1)</f>
        <v>0.00752937197876543</v>
      </c>
      <c r="AE170" s="0" t="n">
        <f aca="false">2*$T$5*$U$5*Z170*$X$5/(Y170+Y171)</f>
        <v>2.21939172733313E-005</v>
      </c>
      <c r="AF170" s="0" t="n">
        <f aca="false">AB170*AE170</f>
        <v>-1.18920955605981E-005</v>
      </c>
      <c r="AG170" s="0" t="n">
        <f aca="false">AG169+AF169</f>
        <v>0.00319442938385079</v>
      </c>
      <c r="AH170" s="0" t="n">
        <f aca="false">AC170*AE170</f>
        <v>-1.87389441301552E-005</v>
      </c>
      <c r="AI170" s="0" t="n">
        <f aca="false">AI169+AH169</f>
        <v>0.00438187285194544</v>
      </c>
      <c r="AJ170" s="6" t="n">
        <f aca="false">Y170/$P$5</f>
        <v>0.7</v>
      </c>
      <c r="AK170" s="0" t="n">
        <f aca="false">SQRT(AG170^2+AI170^2)</f>
        <v>0.00542265514107487</v>
      </c>
      <c r="AL170" s="0" t="n">
        <f aca="false">$W$5*(Y170/$V$5-Z170)</f>
        <v>0.00299249427499403</v>
      </c>
      <c r="AM170" s="0" t="n">
        <f aca="false">SQRT(AK170^2+AL170^2)</f>
        <v>0.00619356204174123</v>
      </c>
      <c r="AN170" s="2" t="n">
        <f aca="false">Y170</f>
        <v>700</v>
      </c>
      <c r="AO170" s="0" t="n">
        <f aca="false">AM170/Z170</f>
        <v>0.00526069245410309</v>
      </c>
    </row>
    <row r="171" customFormat="false" ht="12.75" hidden="false" customHeight="false" outlineLevel="0" collapsed="false">
      <c r="Y171" s="0" t="n">
        <f aca="false">Y170+$X$5</f>
        <v>704</v>
      </c>
      <c r="Z171" s="0" t="n">
        <f aca="false">(Y171/$V$5)^$O$5</f>
        <v>1.17771097121856</v>
      </c>
      <c r="AA171" s="0" t="n">
        <f aca="false">$Q$5*(Y171-$V$5)</f>
        <v>4.17203504396725</v>
      </c>
      <c r="AB171" s="0" t="n">
        <f aca="false">COS(AA171)</f>
        <v>-0.514439533781507</v>
      </c>
      <c r="AC171" s="0" t="n">
        <f aca="false">SIN(AA171)</f>
        <v>-0.857526656193652</v>
      </c>
      <c r="AD171" s="0" t="n">
        <f aca="false">$T$5*(Z171-1)</f>
        <v>0.00754562072744651</v>
      </c>
      <c r="AE171" s="0" t="n">
        <f aca="false">2*$T$5*$U$5*Z171*$X$5/(Y171+Y172)</f>
        <v>2.20753458177013E-005</v>
      </c>
      <c r="AF171" s="0" t="n">
        <f aca="false">AB171*AE171</f>
        <v>-1.13564306105238E-005</v>
      </c>
      <c r="AG171" s="0" t="n">
        <f aca="false">AG170+AF170</f>
        <v>0.00318253728829019</v>
      </c>
      <c r="AH171" s="0" t="n">
        <f aca="false">AC171*AE171</f>
        <v>-1.89301974833719E-005</v>
      </c>
      <c r="AI171" s="0" t="n">
        <f aca="false">AI170+AH170</f>
        <v>0.00436313390781528</v>
      </c>
      <c r="AJ171" s="6" t="n">
        <f aca="false">Y171/$P$5</f>
        <v>0.704</v>
      </c>
      <c r="AK171" s="0" t="n">
        <f aca="false">SQRT(AG171^2+AI171^2)</f>
        <v>0.00540050748438375</v>
      </c>
      <c r="AL171" s="0" t="n">
        <f aca="false">$W$5*(Y171/$V$5-Z171)</f>
        <v>0.00301075747700065</v>
      </c>
      <c r="AM171" s="0" t="n">
        <f aca="false">SQRT(AK171^2+AL171^2)</f>
        <v>0.00618305277950951</v>
      </c>
      <c r="AN171" s="2" t="n">
        <f aca="false">Y171</f>
        <v>704</v>
      </c>
      <c r="AO171" s="0" t="n">
        <f aca="false">AM171/Z171</f>
        <v>0.00525005959069225</v>
      </c>
    </row>
    <row r="172" customFormat="false" ht="12.75" hidden="false" customHeight="false" outlineLevel="0" collapsed="false">
      <c r="Y172" s="0" t="n">
        <f aca="false">Y171+$X$5</f>
        <v>708</v>
      </c>
      <c r="Z172" s="0" t="n">
        <f aca="false">(Y172/$V$5)^$O$5</f>
        <v>1.17809160938219</v>
      </c>
      <c r="AA172" s="0" t="n">
        <f aca="false">$Q$5*(Y172-$V$5)</f>
        <v>4.19716778519596</v>
      </c>
      <c r="AB172" s="0" t="n">
        <f aca="false">COS(AA172)</f>
        <v>-0.492727341548292</v>
      </c>
      <c r="AC172" s="0" t="n">
        <f aca="false">SIN(AA172)</f>
        <v>-0.870183754669526</v>
      </c>
      <c r="AD172" s="0" t="n">
        <f aca="false">$T$5*(Z172-1)</f>
        <v>0.00756178265148189</v>
      </c>
      <c r="AE172" s="0" t="n">
        <f aca="false">2*$T$5*$U$5*Z172*$X$5/(Y172+Y173)</f>
        <v>2.19580722650953E-005</v>
      </c>
      <c r="AF172" s="0" t="n">
        <f aca="false">AB172*AE172</f>
        <v>-1.08193425727057E-005</v>
      </c>
      <c r="AG172" s="0" t="n">
        <f aca="false">AG171+AF171</f>
        <v>0.00317118085767967</v>
      </c>
      <c r="AH172" s="0" t="n">
        <f aca="false">AC172*AE172</f>
        <v>-1.91075577689454E-005</v>
      </c>
      <c r="AI172" s="0" t="n">
        <f aca="false">AI171+AH171</f>
        <v>0.00434420371033191</v>
      </c>
      <c r="AJ172" s="6" t="n">
        <f aca="false">Y172/$P$5</f>
        <v>0.708</v>
      </c>
      <c r="AK172" s="0" t="n">
        <f aca="false">SQRT(AG172^2+AI172^2)</f>
        <v>0.00537852153560581</v>
      </c>
      <c r="AL172" s="0" t="n">
        <f aca="false">$W$5*(Y172/$V$5-Z172)</f>
        <v>0.00302902105389771</v>
      </c>
      <c r="AM172" s="0" t="n">
        <f aca="false">SQRT(AK172^2+AL172^2)</f>
        <v>0.00617280021172977</v>
      </c>
      <c r="AN172" s="2" t="n">
        <f aca="false">Y172</f>
        <v>708</v>
      </c>
      <c r="AO172" s="0" t="n">
        <f aca="false">AM172/Z172</f>
        <v>0.0052396606194037</v>
      </c>
    </row>
    <row r="173" customFormat="false" ht="12.75" hidden="false" customHeight="false" outlineLevel="0" collapsed="false">
      <c r="Y173" s="0" t="n">
        <f aca="false">Y172+$X$5</f>
        <v>712</v>
      </c>
      <c r="Z173" s="0" t="n">
        <f aca="false">(Y173/$V$5)^$O$5</f>
        <v>1.17847022507921</v>
      </c>
      <c r="AA173" s="0" t="n">
        <f aca="false">$Q$5*(Y173-$V$5)</f>
        <v>4.22230052642468</v>
      </c>
      <c r="AB173" s="0" t="n">
        <f aca="false">COS(AA173)</f>
        <v>-0.470703932165332</v>
      </c>
      <c r="AC173" s="0" t="n">
        <f aca="false">SIN(AA173)</f>
        <v>-0.882291226434953</v>
      </c>
      <c r="AD173" s="0" t="n">
        <f aca="false">$T$5*(Z173-1)</f>
        <v>0.00757785870143881</v>
      </c>
      <c r="AE173" s="0" t="n">
        <f aca="false">2*$T$5*$U$5*Z173*$X$5/(Y173+Y174)</f>
        <v>2.18420752169496E-005</v>
      </c>
      <c r="AF173" s="0" t="n">
        <f aca="false">AB173*AE173</f>
        <v>-1.02811506912691E-005</v>
      </c>
      <c r="AG173" s="0" t="n">
        <f aca="false">AG172+AF172</f>
        <v>0.00316036151510696</v>
      </c>
      <c r="AH173" s="0" t="n">
        <f aca="false">AC173*AE173</f>
        <v>-1.9271071331047E-005</v>
      </c>
      <c r="AI173" s="0" t="n">
        <f aca="false">AI172+AH172</f>
        <v>0.00432509615256296</v>
      </c>
      <c r="AJ173" s="6" t="n">
        <f aca="false">Y173/$P$5</f>
        <v>0.712</v>
      </c>
      <c r="AK173" s="0" t="n">
        <f aca="false">SQRT(AG173^2+AI173^2)</f>
        <v>0.00535670996368892</v>
      </c>
      <c r="AL173" s="0" t="n">
        <f aca="false">$W$5*(Y173/$V$5-Z173)</f>
        <v>0.00304728500158086</v>
      </c>
      <c r="AM173" s="0" t="n">
        <f aca="false">SQRT(AK173^2+AL173^2)</f>
        <v>0.00616281490197002</v>
      </c>
      <c r="AN173" s="2" t="n">
        <f aca="false">Y173</f>
        <v>712</v>
      </c>
      <c r="AO173" s="0" t="n">
        <f aca="false">AM173/Z173</f>
        <v>0.00522950412392116</v>
      </c>
    </row>
    <row r="174" customFormat="false" ht="12.75" hidden="false" customHeight="false" outlineLevel="0" collapsed="false">
      <c r="Y174" s="0" t="n">
        <f aca="false">Y173+$X$5</f>
        <v>716</v>
      </c>
      <c r="Z174" s="0" t="n">
        <f aca="false">(Y174/$V$5)^$O$5</f>
        <v>1.17884684032779</v>
      </c>
      <c r="AA174" s="0" t="n">
        <f aca="false">$Q$5*(Y174-$V$5)</f>
        <v>4.2474332676534</v>
      </c>
      <c r="AB174" s="0" t="n">
        <f aca="false">COS(AA174)</f>
        <v>-0.448383216090032</v>
      </c>
      <c r="AC174" s="0" t="n">
        <f aca="false">SIN(AA174)</f>
        <v>-0.893841424151264</v>
      </c>
      <c r="AD174" s="0" t="n">
        <f aca="false">$T$5*(Z174-1)</f>
        <v>0.00759384981220968</v>
      </c>
      <c r="AE174" s="0" t="n">
        <f aca="false">2*$T$5*$U$5*Z174*$X$5/(Y174+Y175)</f>
        <v>2.17273337447446E-005</v>
      </c>
      <c r="AF174" s="0" t="n">
        <f aca="false">AB174*AE174</f>
        <v>-9.74217178153006E-006</v>
      </c>
      <c r="AG174" s="0" t="n">
        <f aca="false">AG173+AF173</f>
        <v>0.00315008036441569</v>
      </c>
      <c r="AH174" s="0" t="n">
        <f aca="false">AC174*AE174</f>
        <v>-1.94207909374123E-005</v>
      </c>
      <c r="AI174" s="0" t="n">
        <f aca="false">AI173+AH173</f>
        <v>0.00430582508123192</v>
      </c>
      <c r="AJ174" s="6" t="n">
        <f aca="false">Y174/$P$5</f>
        <v>0.716</v>
      </c>
      <c r="AK174" s="0" t="n">
        <f aca="false">SQRT(AG174^2+AI174^2)</f>
        <v>0.00533508537255433</v>
      </c>
      <c r="AL174" s="0" t="n">
        <f aca="false">$W$5*(Y174/$V$5-Z174)</f>
        <v>0.00306554931601345</v>
      </c>
      <c r="AM174" s="0" t="n">
        <f aca="false">SQRT(AK174^2+AL174^2)</f>
        <v>0.00615310722654446</v>
      </c>
      <c r="AN174" s="2" t="n">
        <f aca="false">Y174</f>
        <v>716</v>
      </c>
      <c r="AO174" s="0" t="n">
        <f aca="false">AM174/Z174</f>
        <v>0.00521959852293749</v>
      </c>
    </row>
    <row r="175" customFormat="false" ht="12.75" hidden="false" customHeight="false" outlineLevel="0" collapsed="false">
      <c r="Y175" s="0" t="n">
        <f aca="false">Y174+$X$5</f>
        <v>720</v>
      </c>
      <c r="Z175" s="0" t="n">
        <f aca="false">(Y175/$V$5)^$O$5</f>
        <v>1.17922147678502</v>
      </c>
      <c r="AA175" s="0" t="n">
        <f aca="false">$Q$5*(Y175-$V$5)</f>
        <v>4.27256600888212</v>
      </c>
      <c r="AB175" s="0" t="n">
        <f aca="false">COS(AA175)</f>
        <v>-0.425779291565073</v>
      </c>
      <c r="AC175" s="0" t="n">
        <f aca="false">SIN(AA175)</f>
        <v>-0.904827052466019</v>
      </c>
      <c r="AD175" s="0" t="n">
        <f aca="false">$T$5*(Z175-1)</f>
        <v>0.00760975690335641</v>
      </c>
      <c r="AE175" s="0" t="n">
        <f aca="false">2*$T$5*$U$5*Z175*$X$5/(Y175+Y176)</f>
        <v>2.16138273771327E-005</v>
      </c>
      <c r="AF175" s="0" t="n">
        <f aca="false">AB175*AE175</f>
        <v>-9.20272010864536E-006</v>
      </c>
      <c r="AG175" s="0" t="n">
        <f aca="false">AG174+AF174</f>
        <v>0.00314033819263416</v>
      </c>
      <c r="AH175" s="0" t="n">
        <f aca="false">AC175*AE175</f>
        <v>-1.95567757181604E-005</v>
      </c>
      <c r="AI175" s="0" t="n">
        <f aca="false">AI174+AH174</f>
        <v>0.0042864042902945</v>
      </c>
      <c r="AJ175" s="6" t="n">
        <f aca="false">Y175/$P$5</f>
        <v>0.72</v>
      </c>
      <c r="AK175" s="0" t="n">
        <f aca="false">SQRT(AG175^2+AI175^2)</f>
        <v>0.00531366029248878</v>
      </c>
      <c r="AL175" s="0" t="n">
        <f aca="false">$W$5*(Y175/$V$5-Z175)</f>
        <v>0.00308381399322499</v>
      </c>
      <c r="AM175" s="0" t="n">
        <f aca="false">SQRT(AK175^2+AL175^2)</f>
        <v>0.00614368736580746</v>
      </c>
      <c r="AN175" s="2" t="n">
        <f aca="false">Y175</f>
        <v>720</v>
      </c>
      <c r="AO175" s="0" t="n">
        <f aca="false">AM175/Z175</f>
        <v>0.00520995206308262</v>
      </c>
    </row>
    <row r="176" customFormat="false" ht="12.75" hidden="false" customHeight="false" outlineLevel="0" collapsed="false">
      <c r="Y176" s="0" t="n">
        <f aca="false">Y175+$X$5</f>
        <v>724</v>
      </c>
      <c r="Z176" s="0" t="n">
        <f aca="false">(Y176/$V$5)^$O$5</f>
        <v>1.17959415575484</v>
      </c>
      <c r="AA176" s="0" t="n">
        <f aca="false">$Q$5*(Y176-$V$5)</f>
        <v>4.29769875011084</v>
      </c>
      <c r="AB176" s="0" t="n">
        <f aca="false">COS(AA176)</f>
        <v>-0.402906435713663</v>
      </c>
      <c r="AC176" s="0" t="n">
        <f aca="false">SIN(AA176)</f>
        <v>-0.915241172620918</v>
      </c>
      <c r="AD176" s="0" t="n">
        <f aca="false">$T$5*(Z176-1)</f>
        <v>0.00762558087944537</v>
      </c>
      <c r="AE176" s="0" t="n">
        <f aca="false">2*$T$5*$U$5*Z176*$X$5/(Y176+Y177)</f>
        <v>2.15015360874882E-005</v>
      </c>
      <c r="AF176" s="0" t="n">
        <f aca="false">AB176*AE176</f>
        <v>-8.66310726737856E-006</v>
      </c>
      <c r="AG176" s="0" t="n">
        <f aca="false">AG175+AF175</f>
        <v>0.00313113547252552</v>
      </c>
      <c r="AH176" s="0" t="n">
        <f aca="false">AC176*AE176</f>
        <v>-1.96790911018637E-005</v>
      </c>
      <c r="AI176" s="0" t="n">
        <f aca="false">AI175+AH175</f>
        <v>0.00426684751457634</v>
      </c>
      <c r="AJ176" s="6" t="n">
        <f aca="false">Y176/$P$5</f>
        <v>0.724</v>
      </c>
      <c r="AK176" s="0" t="n">
        <f aca="false">SQRT(AG176^2+AI176^2)</f>
        <v>0.00529244717120104</v>
      </c>
      <c r="AL176" s="0" t="n">
        <f aca="false">$W$5*(Y176/$V$5-Z176)</f>
        <v>0.00310207902930976</v>
      </c>
      <c r="AM176" s="0" t="n">
        <f aca="false">SQRT(AK176^2+AL176^2)</f>
        <v>0.00613456529544167</v>
      </c>
      <c r="AN176" s="2" t="n">
        <f aca="false">Y176</f>
        <v>724</v>
      </c>
      <c r="AO176" s="0" t="n">
        <f aca="false">AM176/Z176</f>
        <v>0.00520057281185501</v>
      </c>
    </row>
    <row r="177" customFormat="false" ht="12.75" hidden="false" customHeight="false" outlineLevel="0" collapsed="false">
      <c r="Y177" s="0" t="n">
        <f aca="false">Y176+$X$5</f>
        <v>728</v>
      </c>
      <c r="Z177" s="0" t="n">
        <f aca="false">(Y177/$V$5)^$O$5</f>
        <v>1.17996489819567</v>
      </c>
      <c r="AA177" s="0" t="n">
        <f aca="false">$Q$5*(Y177-$V$5)</f>
        <v>4.32283149133956</v>
      </c>
      <c r="AB177" s="0" t="n">
        <f aca="false">COS(AA177)</f>
        <v>-0.379779095521801</v>
      </c>
      <c r="AC177" s="0" t="n">
        <f aca="false">SIN(AA177)</f>
        <v>-0.925077206834458</v>
      </c>
      <c r="AD177" s="0" t="n">
        <f aca="false">$T$5*(Z177-1)</f>
        <v>0.00764132263037322</v>
      </c>
      <c r="AE177" s="0" t="n">
        <f aca="false">2*$T$5*$U$5*Z177*$X$5/(Y177+Y178)</f>
        <v>2.13904402818617E-005</v>
      </c>
      <c r="AF177" s="0" t="n">
        <f aca="false">AB177*AE177</f>
        <v>-8.12364206305852E-006</v>
      </c>
      <c r="AG177" s="0" t="n">
        <f aca="false">AG176+AF176</f>
        <v>0.00312247236525814</v>
      </c>
      <c r="AH177" s="0" t="n">
        <f aca="false">AC177*AE177</f>
        <v>-1.97878087489039E-005</v>
      </c>
      <c r="AI177" s="0" t="n">
        <f aca="false">AI176+AH176</f>
        <v>0.00424716842347448</v>
      </c>
      <c r="AJ177" s="6" t="n">
        <f aca="false">Y177/$P$5</f>
        <v>0.728</v>
      </c>
      <c r="AK177" s="0" t="n">
        <f aca="false">SQRT(AG177^2+AI177^2)</f>
        <v>0.00527145836454766</v>
      </c>
      <c r="AL177" s="0" t="n">
        <f aca="false">$W$5*(Y177/$V$5-Z177)</f>
        <v>0.00312034442042537</v>
      </c>
      <c r="AM177" s="0" t="n">
        <f aca="false">SQRT(AK177^2+AL177^2)</f>
        <v>0.00612575077776097</v>
      </c>
      <c r="AN177" s="2" t="n">
        <f aca="false">Y177</f>
        <v>728</v>
      </c>
      <c r="AO177" s="0" t="n">
        <f aca="false">AM177/Z177</f>
        <v>0.00519146865057437</v>
      </c>
    </row>
    <row r="178" customFormat="false" ht="12.75" hidden="false" customHeight="false" outlineLevel="0" collapsed="false">
      <c r="Y178" s="0" t="n">
        <f aca="false">Y177+$X$5</f>
        <v>732</v>
      </c>
      <c r="Z178" s="0" t="n">
        <f aca="false">(Y178/$V$5)^$O$5</f>
        <v>1.18033372472792</v>
      </c>
      <c r="AA178" s="0" t="n">
        <f aca="false">$Q$5*(Y178-$V$5)</f>
        <v>4.34796423256827</v>
      </c>
      <c r="AB178" s="0" t="n">
        <f aca="false">COS(AA178)</f>
        <v>-0.35641187871325</v>
      </c>
      <c r="AC178" s="0" t="n">
        <f aca="false">SIN(AA178)</f>
        <v>-0.934328942456612</v>
      </c>
      <c r="AD178" s="0" t="n">
        <f aca="false">$T$5*(Z178-1)</f>
        <v>0.00765698303168392</v>
      </c>
      <c r="AE178" s="0" t="n">
        <f aca="false">2*$T$5*$U$5*Z178*$X$5/(Y178+Y179)</f>
        <v>2.12805207873256E-005</v>
      </c>
      <c r="AF178" s="0" t="n">
        <f aca="false">AB178*AE178</f>
        <v>-7.58463039380711E-006</v>
      </c>
      <c r="AG178" s="0" t="n">
        <f aca="false">AG177+AF177</f>
        <v>0.00311434872319508</v>
      </c>
      <c r="AH178" s="0" t="n">
        <f aca="false">AC178*AE178</f>
        <v>-1.98830064821479E-005</v>
      </c>
      <c r="AI178" s="0" t="n">
        <f aca="false">AI177+AH177</f>
        <v>0.00422738061472558</v>
      </c>
      <c r="AJ178" s="6" t="n">
        <f aca="false">Y178/$P$5</f>
        <v>0.732</v>
      </c>
      <c r="AK178" s="0" t="n">
        <f aca="false">SQRT(AG178^2+AI178^2)</f>
        <v>0.00525070612693421</v>
      </c>
      <c r="AL178" s="0" t="n">
        <f aca="false">$W$5*(Y178/$V$5-Z178)</f>
        <v>0.00313861016279141</v>
      </c>
      <c r="AM178" s="0" t="n">
        <f aca="false">SQRT(AK178^2+AL178^2)</f>
        <v>0.00611725335305004</v>
      </c>
      <c r="AN178" s="2" t="n">
        <f aca="false">Y178</f>
        <v>732</v>
      </c>
      <c r="AO178" s="0" t="n">
        <f aca="false">AM178/Z178</f>
        <v>0.00518264726737359</v>
      </c>
    </row>
    <row r="179" customFormat="false" ht="12.75" hidden="false" customHeight="false" outlineLevel="0" collapsed="false">
      <c r="Y179" s="0" t="n">
        <f aca="false">Y178+$X$5</f>
        <v>736</v>
      </c>
      <c r="Z179" s="0" t="n">
        <f aca="false">(Y179/$V$5)^$O$5</f>
        <v>1.18070065564124</v>
      </c>
      <c r="AA179" s="0" t="n">
        <f aca="false">$Q$5*(Y179-$V$5)</f>
        <v>4.37309697379699</v>
      </c>
      <c r="AB179" s="0" t="n">
        <f aca="false">COS(AA179)</f>
        <v>-0.332819544522986</v>
      </c>
      <c r="AC179" s="0" t="n">
        <f aca="false">SIN(AA179)</f>
        <v>-0.942990535892865</v>
      </c>
      <c r="AD179" s="0" t="n">
        <f aca="false">$T$5*(Z179-1)</f>
        <v>0.00767256294487712</v>
      </c>
      <c r="AE179" s="0" t="n">
        <f aca="false">2*$T$5*$U$5*Z179*$X$5/(Y179+Y180)</f>
        <v>2.11717588406947E-005</v>
      </c>
      <c r="AF179" s="0" t="n">
        <f aca="false">AB179*AE179</f>
        <v>-7.0463751341105E-006</v>
      </c>
      <c r="AG179" s="0" t="n">
        <f aca="false">AG178+AF178</f>
        <v>0.00310676409280127</v>
      </c>
      <c r="AH179" s="0" t="n">
        <f aca="false">AC179*AE179</f>
        <v>-1.99647682149812E-005</v>
      </c>
      <c r="AI179" s="0" t="n">
        <f aca="false">AI178+AH178</f>
        <v>0.00420749760824343</v>
      </c>
      <c r="AJ179" s="6" t="n">
        <f aca="false">Y179/$P$5</f>
        <v>0.736</v>
      </c>
      <c r="AK179" s="0" t="n">
        <f aca="false">SQRT(AG179^2+AI179^2)</f>
        <v>0.00523020260140021</v>
      </c>
      <c r="AL179" s="0" t="n">
        <f aca="false">$W$5*(Y179/$V$5-Z179)</f>
        <v>0.0031568762526881</v>
      </c>
      <c r="AM179" s="0" t="n">
        <f aca="false">SQRT(AK179^2+AL179^2)</f>
        <v>0.00610908233096261</v>
      </c>
      <c r="AN179" s="2" t="n">
        <f aca="false">Y179</f>
        <v>736</v>
      </c>
      <c r="AO179" s="0" t="n">
        <f aca="false">AM179/Z179</f>
        <v>0.00517411615024876</v>
      </c>
    </row>
    <row r="180" customFormat="false" ht="12.75" hidden="false" customHeight="false" outlineLevel="0" collapsed="false">
      <c r="Y180" s="0" t="n">
        <f aca="false">Y179+$X$5</f>
        <v>740</v>
      </c>
      <c r="Z180" s="0" t="n">
        <f aca="false">(Y180/$V$5)^$O$5</f>
        <v>1.18106571090157</v>
      </c>
      <c r="AA180" s="0" t="n">
        <f aca="false">$Q$5*(Y180-$V$5)</f>
        <v>4.39822971502571</v>
      </c>
      <c r="AB180" s="0" t="n">
        <f aca="false">COS(AA180)</f>
        <v>-0.309016994374948</v>
      </c>
      <c r="AC180" s="0" t="n">
        <f aca="false">SIN(AA180)</f>
        <v>-0.951056516295154</v>
      </c>
      <c r="AD180" s="0" t="n">
        <f aca="false">$T$5*(Z180-1)</f>
        <v>0.00768806321770846</v>
      </c>
      <c r="AE180" s="0" t="n">
        <f aca="false">2*$T$5*$U$5*Z180*$X$5/(Y180+Y181)</f>
        <v>2.10641360776072E-005</v>
      </c>
      <c r="AF180" s="0" t="n">
        <f aca="false">AB180*AE180</f>
        <v>-6.50917601980708E-006</v>
      </c>
      <c r="AG180" s="0" t="n">
        <f aca="false">AG179+AF179</f>
        <v>0.00309971771766716</v>
      </c>
      <c r="AH180" s="0" t="n">
        <f aca="false">AC180*AE180</f>
        <v>-2.00331838767362E-005</v>
      </c>
      <c r="AI180" s="0" t="n">
        <f aca="false">AI179+AH179</f>
        <v>0.00418753284002845</v>
      </c>
      <c r="AJ180" s="6" t="n">
        <f aca="false">Y180/$P$5</f>
        <v>0.74</v>
      </c>
      <c r="AK180" s="0" t="n">
        <f aca="false">SQRT(AG180^2+AI180^2)</f>
        <v>0.00520995980939742</v>
      </c>
      <c r="AL180" s="0" t="n">
        <f aca="false">$W$5*(Y180/$V$5-Z180)</f>
        <v>0.00317514268645503</v>
      </c>
      <c r="AM180" s="0" t="n">
        <f aca="false">SQRT(AK180^2+AL180^2)</f>
        <v>0.00610124678200163</v>
      </c>
      <c r="AN180" s="2" t="n">
        <f aca="false">Y180</f>
        <v>740</v>
      </c>
      <c r="AO180" s="0" t="n">
        <f aca="false">AM180/Z180</f>
        <v>0.00516588258018621</v>
      </c>
    </row>
    <row r="181" customFormat="false" ht="12.75" hidden="false" customHeight="false" outlineLevel="0" collapsed="false">
      <c r="Y181" s="0" t="n">
        <f aca="false">Y180+$X$5</f>
        <v>744</v>
      </c>
      <c r="Z181" s="0" t="n">
        <f aca="false">(Y181/$V$5)^$O$5</f>
        <v>1.18142891015804</v>
      </c>
      <c r="AA181" s="0" t="n">
        <f aca="false">$Q$5*(Y181-$V$5)</f>
        <v>4.42336245625443</v>
      </c>
      <c r="AB181" s="0" t="n">
        <f aca="false">COS(AA181)</f>
        <v>-0.285019262469976</v>
      </c>
      <c r="AC181" s="0" t="n">
        <f aca="false">SIN(AA181)</f>
        <v>-0.958521789017376</v>
      </c>
      <c r="AD181" s="0" t="n">
        <f aca="false">$T$5*(Z181-1)</f>
        <v>0.00770348468448166</v>
      </c>
      <c r="AE181" s="0" t="n">
        <f aca="false">2*$T$5*$U$5*Z181*$X$5/(Y181+Y182)</f>
        <v>2.09576345219555E-005</v>
      </c>
      <c r="AF181" s="0" t="n">
        <f aca="false">AB181*AE181</f>
        <v>-5.97332953456307E-006</v>
      </c>
      <c r="AG181" s="0" t="n">
        <f aca="false">AG180+AF180</f>
        <v>0.00309320854164736</v>
      </c>
      <c r="AH181" s="0" t="n">
        <f aca="false">AC181*AE181</f>
        <v>-2.00883493355571E-005</v>
      </c>
      <c r="AI181" s="0" t="n">
        <f aca="false">AI180+AH180</f>
        <v>0.00416749965615171</v>
      </c>
      <c r="AJ181" s="6" t="n">
        <f aca="false">Y181/$P$5</f>
        <v>0.744</v>
      </c>
      <c r="AK181" s="0" t="n">
        <f aca="false">SQRT(AG181^2+AI181^2)</f>
        <v>0.00518998964027336</v>
      </c>
      <c r="AL181" s="0" t="n">
        <f aca="false">$W$5*(Y181/$V$5-Z181)</f>
        <v>0.00319340946048983</v>
      </c>
      <c r="AM181" s="0" t="n">
        <f aca="false">SQRT(AK181^2+AL181^2)</f>
        <v>0.00609375552910442</v>
      </c>
      <c r="AN181" s="2" t="n">
        <f aca="false">Y181</f>
        <v>744</v>
      </c>
      <c r="AO181" s="0" t="n">
        <f aca="false">AM181/Z181</f>
        <v>0.00515795362438629</v>
      </c>
    </row>
    <row r="182" customFormat="false" ht="12.75" hidden="false" customHeight="false" outlineLevel="0" collapsed="false">
      <c r="Y182" s="0" t="n">
        <f aca="false">Y181+$X$5</f>
        <v>748</v>
      </c>
      <c r="Z182" s="0" t="n">
        <f aca="false">(Y182/$V$5)^$O$5</f>
        <v>1.18179027274969</v>
      </c>
      <c r="AA182" s="0" t="n">
        <f aca="false">$Q$5*(Y182-$V$5)</f>
        <v>4.44849519748315</v>
      </c>
      <c r="AB182" s="0" t="n">
        <f aca="false">COS(AA182)</f>
        <v>-0.260841506289897</v>
      </c>
      <c r="AC182" s="0" t="n">
        <f aca="false">SIN(AA182)</f>
        <v>-0.965381638833274</v>
      </c>
      <c r="AD182" s="0" t="n">
        <f aca="false">$T$5*(Z182-1)</f>
        <v>0.00771882816633303</v>
      </c>
      <c r="AE182" s="0" t="n">
        <f aca="false">2*$T$5*$U$5*Z182*$X$5/(Y182+Y183)</f>
        <v>2.08522365756502E-005</v>
      </c>
      <c r="AF182" s="0" t="n">
        <f aca="false">AB182*AE182</f>
        <v>-5.43912879790587E-006</v>
      </c>
      <c r="AG182" s="0" t="n">
        <f aca="false">AG181+AF181</f>
        <v>0.00308723521211279</v>
      </c>
      <c r="AH182" s="0" t="n">
        <f aca="false">AC182*AE182</f>
        <v>-2.01303663187403E-005</v>
      </c>
      <c r="AI182" s="0" t="n">
        <f aca="false">AI181+AH181</f>
        <v>0.00414741130681615</v>
      </c>
      <c r="AJ182" s="6" t="n">
        <f aca="false">Y182/$P$5</f>
        <v>0.748</v>
      </c>
      <c r="AK182" s="0" t="n">
        <f aca="false">SQRT(AG182^2+AI182^2)</f>
        <v>0.00517030384047356</v>
      </c>
      <c r="AL182" s="0" t="n">
        <f aca="false">$W$5*(Y182/$V$5-Z182)</f>
        <v>0.00321167657124702</v>
      </c>
      <c r="AM182" s="0" t="n">
        <f aca="false">SQRT(AK182^2+AL182^2)</f>
        <v>0.00608661713935685</v>
      </c>
      <c r="AN182" s="2" t="n">
        <f aca="false">Y182</f>
        <v>748</v>
      </c>
      <c r="AO182" s="0" t="n">
        <f aca="false">AM182/Z182</f>
        <v>0.00515033612960361</v>
      </c>
    </row>
    <row r="183" customFormat="false" ht="12.75" hidden="false" customHeight="false" outlineLevel="0" collapsed="false">
      <c r="Y183" s="0" t="n">
        <f aca="false">Y182+$X$5</f>
        <v>752</v>
      </c>
      <c r="Z183" s="0" t="n">
        <f aca="false">(Y183/$V$5)^$O$5</f>
        <v>1.18214981771195</v>
      </c>
      <c r="AA183" s="0" t="n">
        <f aca="false">$Q$5*(Y183-$V$5)</f>
        <v>4.47362793871187</v>
      </c>
      <c r="AB183" s="0" t="n">
        <f aca="false">COS(AA183)</f>
        <v>-0.236498997023724</v>
      </c>
      <c r="AC183" s="0" t="n">
        <f aca="false">SIN(AA183)</f>
        <v>-0.971631732914674</v>
      </c>
      <c r="AD183" s="0" t="n">
        <f aca="false">$T$5*(Z183-1)</f>
        <v>0.00773409447150838</v>
      </c>
      <c r="AE183" s="0" t="n">
        <f aca="false">2*$T$5*$U$5*Z183*$X$5/(Y183+Y184)</f>
        <v>2.07479250087079E-005</v>
      </c>
      <c r="AF183" s="0" t="n">
        <f aca="false">AB183*AE183</f>
        <v>-4.90686345488287E-006</v>
      </c>
      <c r="AG183" s="0" t="n">
        <f aca="false">AG182+AF182</f>
        <v>0.00308179608331489</v>
      </c>
      <c r="AH183" s="0" t="n">
        <f aca="false">AC183*AE183</f>
        <v>-2.01593423305946E-005</v>
      </c>
      <c r="AI183" s="0" t="n">
        <f aca="false">AI182+AH182</f>
        <v>0.00412728094049741</v>
      </c>
      <c r="AJ183" s="6" t="n">
        <f aca="false">Y183/$P$5</f>
        <v>0.752</v>
      </c>
      <c r="AK183" s="0" t="n">
        <f aca="false">SQRT(AG183^2+AI183^2)</f>
        <v>0.00515091400247841</v>
      </c>
      <c r="AL183" s="0" t="n">
        <f aca="false">$W$5*(Y183/$V$5-Z183)</f>
        <v>0.00322994401523676</v>
      </c>
      <c r="AM183" s="0" t="n">
        <f aca="false">SQRT(AK183^2+AL183^2)</f>
        <v>0.00607983991586061</v>
      </c>
      <c r="AN183" s="2" t="n">
        <f aca="false">Y183</f>
        <v>752</v>
      </c>
      <c r="AO183" s="0" t="n">
        <f aca="false">AM183/Z183</f>
        <v>0.00514303671562387</v>
      </c>
    </row>
    <row r="184" customFormat="false" ht="12.75" hidden="false" customHeight="false" outlineLevel="0" collapsed="false">
      <c r="Y184" s="0" t="n">
        <f aca="false">Y183+$X$5</f>
        <v>756</v>
      </c>
      <c r="Z184" s="0" t="n">
        <f aca="false">(Y184/$V$5)^$O$5</f>
        <v>1.182507563783</v>
      </c>
      <c r="AA184" s="0" t="n">
        <f aca="false">$Q$5*(Y184-$V$5)</f>
        <v>4.49876067994058</v>
      </c>
      <c r="AB184" s="0" t="n">
        <f aca="false">COS(AA184)</f>
        <v>-0.212007109922055</v>
      </c>
      <c r="AC184" s="0" t="n">
        <f aca="false">SIN(AA184)</f>
        <v>-0.977268123568193</v>
      </c>
      <c r="AD184" s="0" t="n">
        <f aca="false">$T$5*(Z184-1)</f>
        <v>0.00774928439563271</v>
      </c>
      <c r="AE184" s="0" t="n">
        <f aca="false">2*$T$5*$U$5*Z184*$X$5/(Y184+Y185)</f>
        <v>2.06446829496495E-005</v>
      </c>
      <c r="AF184" s="0" t="n">
        <f aca="false">AB184*AE184</f>
        <v>-4.37681956741231E-006</v>
      </c>
      <c r="AG184" s="0" t="n">
        <f aca="false">AG183+AF183</f>
        <v>0.00307688921986</v>
      </c>
      <c r="AH184" s="0" t="n">
        <f aca="false">AC184*AE184</f>
        <v>-2.01753905678642E-005</v>
      </c>
      <c r="AI184" s="0" t="n">
        <f aca="false">AI183+AH183</f>
        <v>0.00410712159816682</v>
      </c>
      <c r="AJ184" s="6" t="n">
        <f aca="false">Y184/$P$5</f>
        <v>0.756</v>
      </c>
      <c r="AK184" s="0" t="n">
        <f aca="false">SQRT(AG184^2+AI184^2)</f>
        <v>0.00513183155349229</v>
      </c>
      <c r="AL184" s="0" t="n">
        <f aca="false">$W$5*(Y184/$V$5-Z184)</f>
        <v>0.00324821178902372</v>
      </c>
      <c r="AM184" s="0" t="n">
        <f aca="false">SQRT(AK184^2+AL184^2)</f>
        <v>0.00607343188977795</v>
      </c>
      <c r="AN184" s="2" t="n">
        <f aca="false">Y184</f>
        <v>756</v>
      </c>
      <c r="AO184" s="0" t="n">
        <f aca="false">AM184/Z184</f>
        <v>0.00513606176889748</v>
      </c>
    </row>
    <row r="185" customFormat="false" ht="12.75" hidden="false" customHeight="false" outlineLevel="0" collapsed="false">
      <c r="Y185" s="0" t="n">
        <f aca="false">Y184+$X$5</f>
        <v>760</v>
      </c>
      <c r="Z185" s="0" t="n">
        <f aca="false">(Y185/$V$5)^$O$5</f>
        <v>1.18286352940998</v>
      </c>
      <c r="AA185" s="0" t="n">
        <f aca="false">$Q$5*(Y185-$V$5)</f>
        <v>4.5238934211693</v>
      </c>
      <c r="AB185" s="0" t="n">
        <f aca="false">COS(AA185)</f>
        <v>-0.187381314585725</v>
      </c>
      <c r="AC185" s="0" t="n">
        <f aca="false">SIN(AA185)</f>
        <v>-0.982287250728689</v>
      </c>
      <c r="AD185" s="0" t="n">
        <f aca="false">$T$5*(Z185-1)</f>
        <v>0.00776439872197287</v>
      </c>
      <c r="AE185" s="0" t="n">
        <f aca="false">2*$T$5*$U$5*Z185*$X$5/(Y185+Y186)</f>
        <v>2.0542493876198E-005</v>
      </c>
      <c r="AF185" s="0" t="n">
        <f aca="false">AB185*AE185</f>
        <v>-3.84927950739117E-006</v>
      </c>
      <c r="AG185" s="0" t="n">
        <f aca="false">AG184+AF184</f>
        <v>0.00307251240029259</v>
      </c>
      <c r="AH185" s="0" t="n">
        <f aca="false">AC185*AE185</f>
        <v>-2.01786298327614E-005</v>
      </c>
      <c r="AI185" s="0" t="n">
        <f aca="false">AI184+AH184</f>
        <v>0.00408694620759895</v>
      </c>
      <c r="AJ185" s="6" t="n">
        <f aca="false">Y185/$P$5</f>
        <v>0.76</v>
      </c>
      <c r="AK185" s="0" t="n">
        <f aca="false">SQRT(AG185^2+AI185^2)</f>
        <v>0.00511306774390475</v>
      </c>
      <c r="AL185" s="0" t="n">
        <f aca="false">$W$5*(Y185/$V$5-Z185)</f>
        <v>0.00326647988922591</v>
      </c>
      <c r="AM185" s="0" t="n">
        <f aca="false">SQRT(AK185^2+AL185^2)</f>
        <v>0.00606740081257836</v>
      </c>
      <c r="AN185" s="2" t="n">
        <f aca="false">Y185</f>
        <v>760</v>
      </c>
      <c r="AO185" s="0" t="n">
        <f aca="false">AM185/Z185</f>
        <v>0.00512941743635025</v>
      </c>
    </row>
    <row r="186" customFormat="false" ht="12.75" hidden="false" customHeight="false" outlineLevel="0" collapsed="false">
      <c r="Y186" s="0" t="n">
        <f aca="false">Y185+$X$5</f>
        <v>764</v>
      </c>
      <c r="Z186" s="0" t="n">
        <f aca="false">(Y186/$V$5)^$O$5</f>
        <v>1.18321773275501</v>
      </c>
      <c r="AA186" s="0" t="n">
        <f aca="false">$Q$5*(Y186-$V$5)</f>
        <v>4.54902616239802</v>
      </c>
      <c r="AB186" s="0" t="n">
        <f aca="false">COS(AA186)</f>
        <v>-0.162637165194883</v>
      </c>
      <c r="AC186" s="0" t="n">
        <f aca="false">SIN(AA186)</f>
        <v>-0.986685944207868</v>
      </c>
      <c r="AD186" s="0" t="n">
        <f aca="false">$T$5*(Z186-1)</f>
        <v>0.00777943822169338</v>
      </c>
      <c r="AE186" s="0" t="n">
        <f aca="false">2*$T$5*$U$5*Z186*$X$5/(Y186+Y187)</f>
        <v>2.04413416062649E-005</v>
      </c>
      <c r="AF186" s="0" t="n">
        <f aca="false">AB186*AE186</f>
        <v>-3.32452185162315E-006</v>
      </c>
      <c r="AG186" s="0" t="n">
        <f aca="false">AG185+AF185</f>
        <v>0.0030686631207852</v>
      </c>
      <c r="AH186" s="0" t="n">
        <f aca="false">AC186*AE186</f>
        <v>-2.01691844436531E-005</v>
      </c>
      <c r="AI186" s="0" t="n">
        <f aca="false">AI185+AH185</f>
        <v>0.00406676757776619</v>
      </c>
      <c r="AJ186" s="6" t="n">
        <f aca="false">Y186/$P$5</f>
        <v>0.764</v>
      </c>
      <c r="AK186" s="0" t="n">
        <f aca="false">SQRT(AG186^2+AI186^2)</f>
        <v>0.00509463363554608</v>
      </c>
      <c r="AL186" s="0" t="n">
        <f aca="false">$W$5*(Y186/$V$5-Z186)</f>
        <v>0.0032847483125136</v>
      </c>
      <c r="AM186" s="0" t="n">
        <f aca="false">SQRT(AK186^2+AL186^2)</f>
        <v>0.00606175414851167</v>
      </c>
      <c r="AN186" s="2" t="n">
        <f aca="false">Y186</f>
        <v>764</v>
      </c>
      <c r="AO186" s="0" t="n">
        <f aca="false">AM186/Z186</f>
        <v>0.0051231096193914</v>
      </c>
    </row>
    <row r="187" customFormat="false" ht="12.75" hidden="false" customHeight="false" outlineLevel="0" collapsed="false">
      <c r="Y187" s="0" t="n">
        <f aca="false">Y186+$X$5</f>
        <v>768</v>
      </c>
      <c r="Z187" s="0" t="n">
        <f aca="false">(Y187/$V$5)^$O$5</f>
        <v>1.18357019170103</v>
      </c>
      <c r="AA187" s="0" t="n">
        <f aca="false">$Q$5*(Y187-$V$5)</f>
        <v>4.57415890362674</v>
      </c>
      <c r="AB187" s="0" t="n">
        <f aca="false">COS(AA187)</f>
        <v>-0.137790290684638</v>
      </c>
      <c r="AC187" s="0" t="n">
        <f aca="false">SIN(AA187)</f>
        <v>-0.990461425696651</v>
      </c>
      <c r="AD187" s="0" t="n">
        <f aca="false">$T$5*(Z187-1)</f>
        <v>0.00779440365410565</v>
      </c>
      <c r="AE187" s="0" t="n">
        <f aca="false">2*$T$5*$U$5*Z187*$X$5/(Y187+Y188)</f>
        <v>2.03412102892155E-005</v>
      </c>
      <c r="AF187" s="0" t="n">
        <f aca="false">AB187*AE187</f>
        <v>-2.80282127862835E-006</v>
      </c>
      <c r="AG187" s="0" t="n">
        <f aca="false">AG186+AF186</f>
        <v>0.00306533859893358</v>
      </c>
      <c r="AH187" s="0" t="n">
        <f aca="false">AC187*AE187</f>
        <v>-2.01471841434518E-005</v>
      </c>
      <c r="AI187" s="0" t="n">
        <f aca="false">AI186+AH186</f>
        <v>0.00404659839332254</v>
      </c>
      <c r="AJ187" s="6" t="n">
        <f aca="false">Y187/$P$5</f>
        <v>0.768</v>
      </c>
      <c r="AK187" s="0" t="n">
        <f aca="false">SQRT(AG187^2+AI187^2)</f>
        <v>0.0050765400897612</v>
      </c>
      <c r="AL187" s="0" t="n">
        <f aca="false">$W$5*(Y187/$V$5-Z187)</f>
        <v>0.00330301705560826</v>
      </c>
      <c r="AM187" s="0" t="n">
        <f aca="false">SQRT(AK187^2+AL187^2)</f>
        <v>0.00605649906733186</v>
      </c>
      <c r="AN187" s="2" t="n">
        <f aca="false">Y187</f>
        <v>768</v>
      </c>
      <c r="AO187" s="0" t="n">
        <f aca="false">AM187/Z187</f>
        <v>0.00511714396813883</v>
      </c>
    </row>
    <row r="188" customFormat="false" ht="12.75" hidden="false" customHeight="false" outlineLevel="0" collapsed="false">
      <c r="Y188" s="0" t="n">
        <f aca="false">Y187+$X$5</f>
        <v>772</v>
      </c>
      <c r="Z188" s="0" t="n">
        <f aca="false">(Y188/$V$5)^$O$5</f>
        <v>1.18392092385756</v>
      </c>
      <c r="AA188" s="0" t="n">
        <f aca="false">$Q$5*(Y188-$V$5)</f>
        <v>4.59929164485546</v>
      </c>
      <c r="AB188" s="0" t="n">
        <f aca="false">COS(AA188)</f>
        <v>-0.112856384873482</v>
      </c>
      <c r="AC188" s="0" t="n">
        <f aca="false">SIN(AA188)</f>
        <v>-0.993611310520008</v>
      </c>
      <c r="AD188" s="0" t="n">
        <f aca="false">$T$5*(Z188-1)</f>
        <v>0.00780929576691082</v>
      </c>
      <c r="AE188" s="0" t="n">
        <f aca="false">2*$T$5*$U$5*Z188*$X$5/(Y188+Y189)</f>
        <v>2.02420843974014E-005</v>
      </c>
      <c r="AF188" s="0" t="n">
        <f aca="false">AB188*AE188</f>
        <v>-2.28444846739464E-006</v>
      </c>
      <c r="AG188" s="0" t="n">
        <f aca="false">AG187+AF187</f>
        <v>0.00306253577765495</v>
      </c>
      <c r="AH188" s="0" t="n">
        <f aca="false">AC188*AE188</f>
        <v>-2.01127640057587E-005</v>
      </c>
      <c r="AI188" s="0" t="n">
        <f aca="false">AI187+AH187</f>
        <v>0.00402645120917909</v>
      </c>
      <c r="AJ188" s="6" t="n">
        <f aca="false">Y188/$P$5</f>
        <v>0.772</v>
      </c>
      <c r="AK188" s="0" t="n">
        <f aca="false">SQRT(AG188^2+AI188^2)</f>
        <v>0.00505879775532847</v>
      </c>
      <c r="AL188" s="0" t="n">
        <f aca="false">$W$5*(Y188/$V$5-Z188)</f>
        <v>0.00332128611528146</v>
      </c>
      <c r="AM188" s="0" t="n">
        <f aca="false">SQRT(AK188^2+AL188^2)</f>
        <v>0.00605164243729566</v>
      </c>
      <c r="AN188" s="2" t="n">
        <f aca="false">Y188</f>
        <v>772</v>
      </c>
      <c r="AO188" s="0" t="n">
        <f aca="false">AM188/Z188</f>
        <v>0.00511152587588166</v>
      </c>
    </row>
    <row r="189" customFormat="false" ht="12.75" hidden="false" customHeight="false" outlineLevel="0" collapsed="false">
      <c r="Y189" s="0" t="n">
        <f aca="false">Y188+$X$5</f>
        <v>776</v>
      </c>
      <c r="Z189" s="0" t="n">
        <f aca="false">(Y189/$V$5)^$O$5</f>
        <v>1.18426994656625</v>
      </c>
      <c r="AA189" s="0" t="n">
        <f aca="false">$Q$5*(Y189-$V$5)</f>
        <v>4.62442438608418</v>
      </c>
      <c r="AB189" s="0" t="n">
        <f aca="false">COS(AA189)</f>
        <v>-0.0878511965507432</v>
      </c>
      <c r="AC189" s="0" t="n">
        <f aca="false">SIN(AA189)</f>
        <v>-0.996133609143173</v>
      </c>
      <c r="AD189" s="0" t="n">
        <f aca="false">$T$5*(Z189-1)</f>
        <v>0.00782411529643638</v>
      </c>
      <c r="AE189" s="0" t="n">
        <f aca="false">2*$T$5*$U$5*Z189*$X$5/(Y189+Y190)</f>
        <v>2.01439487179527E-005</v>
      </c>
      <c r="AF189" s="0" t="n">
        <f aca="false">AB189*AE189</f>
        <v>-1.76966999812896E-006</v>
      </c>
      <c r="AG189" s="0" t="n">
        <f aca="false">AG188+AF188</f>
        <v>0.00306025132918755</v>
      </c>
      <c r="AH189" s="0" t="n">
        <f aca="false">AC189*AE189</f>
        <v>-2.00660643388093E-005</v>
      </c>
      <c r="AI189" s="0" t="n">
        <f aca="false">AI188+AH188</f>
        <v>0.00400633844517333</v>
      </c>
      <c r="AJ189" s="6" t="n">
        <f aca="false">Y189/$P$5</f>
        <v>0.776</v>
      </c>
      <c r="AK189" s="0" t="n">
        <f aca="false">SQRT(AG189^2+AI189^2)</f>
        <v>0.00504141705625195</v>
      </c>
      <c r="AL189" s="0" t="n">
        <f aca="false">$W$5*(Y189/$V$5-Z189)</f>
        <v>0.0033395554883539</v>
      </c>
      <c r="AM189" s="0" t="n">
        <f aca="false">SQRT(AK189^2+AL189^2)</f>
        <v>0.00604719081845965</v>
      </c>
      <c r="AN189" s="2" t="n">
        <f aca="false">Y189</f>
        <v>776</v>
      </c>
      <c r="AO189" s="0" t="n">
        <f aca="false">AM189/Z189</f>
        <v>0.00510626047379931</v>
      </c>
    </row>
    <row r="190" customFormat="false" ht="12.75" hidden="false" customHeight="false" outlineLevel="0" collapsed="false">
      <c r="Y190" s="0" t="n">
        <f aca="false">Y189+$X$5</f>
        <v>780</v>
      </c>
      <c r="Z190" s="0" t="n">
        <f aca="false">(Y190/$V$5)^$O$5</f>
        <v>1.18461727690629</v>
      </c>
      <c r="AA190" s="0" t="n">
        <f aca="false">$Q$5*(Y190-$V$5)</f>
        <v>4.64955712731289</v>
      </c>
      <c r="AB190" s="0" t="n">
        <f aca="false">COS(AA190)</f>
        <v>-0.0627905195293132</v>
      </c>
      <c r="AC190" s="0" t="n">
        <f aca="false">SIN(AA190)</f>
        <v>-0.998026728428272</v>
      </c>
      <c r="AD190" s="0" t="n">
        <f aca="false">$T$5*(Z190-1)</f>
        <v>0.00783886296786674</v>
      </c>
      <c r="AE190" s="0" t="n">
        <f aca="false">2*$T$5*$U$5*Z190*$X$5/(Y190+Y191)</f>
        <v>2.00467883448192E-005</v>
      </c>
      <c r="AF190" s="0" t="n">
        <f aca="false">AB190*AE190</f>
        <v>-1.25874825506538E-006</v>
      </c>
      <c r="AG190" s="0" t="n">
        <f aca="false">AG189+AF189</f>
        <v>0.00305848165918943</v>
      </c>
      <c r="AH190" s="0" t="n">
        <f aca="false">AC190*AE190</f>
        <v>-2.00072305872739E-005</v>
      </c>
      <c r="AI190" s="0" t="n">
        <f aca="false">AI189+AH189</f>
        <v>0.00398627238083452</v>
      </c>
      <c r="AJ190" s="6" t="n">
        <f aca="false">Y190/$P$5</f>
        <v>0.78</v>
      </c>
      <c r="AK190" s="0" t="n">
        <f aca="false">SQRT(AG190^2+AI190^2)</f>
        <v>0.00502440817945778</v>
      </c>
      <c r="AL190" s="0" t="n">
        <f aca="false">$W$5*(Y190/$V$5-Z190)</f>
        <v>0.00335782517169439</v>
      </c>
      <c r="AM190" s="0" t="n">
        <f aca="false">SQRT(AK190^2+AL190^2)</f>
        <v>0.00604315045629899</v>
      </c>
      <c r="AN190" s="2" t="n">
        <f aca="false">Y190</f>
        <v>780</v>
      </c>
      <c r="AO190" s="0" t="n">
        <f aca="false">AM190/Z190</f>
        <v>0.0051013526259562</v>
      </c>
    </row>
    <row r="191" customFormat="false" ht="12.75" hidden="false" customHeight="false" outlineLevel="0" collapsed="false">
      <c r="Y191" s="0" t="n">
        <f aca="false">Y190+$X$5</f>
        <v>784</v>
      </c>
      <c r="Z191" s="0" t="n">
        <f aca="false">(Y191/$V$5)^$O$5</f>
        <v>1.18496293169976</v>
      </c>
      <c r="AA191" s="0" t="n">
        <f aca="false">$Q$5*(Y191-$V$5)</f>
        <v>4.67468986854161</v>
      </c>
      <c r="AB191" s="0" t="n">
        <f aca="false">COS(AA191)</f>
        <v>-0.0376901826699342</v>
      </c>
      <c r="AC191" s="0" t="n">
        <f aca="false">SIN(AA191)</f>
        <v>-0.999289472640589</v>
      </c>
      <c r="AD191" s="0" t="n">
        <f aca="false">$T$5*(Z191-1)</f>
        <v>0.00785353949546806</v>
      </c>
      <c r="AE191" s="0" t="n">
        <f aca="false">2*$T$5*$U$5*Z191*$X$5/(Y191+Y192)</f>
        <v>1.99505886710521E-005</v>
      </c>
      <c r="AF191" s="0" t="n">
        <f aca="false">AB191*AE191</f>
        <v>-7.51941331384671E-007</v>
      </c>
      <c r="AG191" s="0" t="n">
        <f aca="false">AG190+AF190</f>
        <v>0.00305722291093436</v>
      </c>
      <c r="AH191" s="0" t="n">
        <f aca="false">AC191*AE191</f>
        <v>-1.99364132319649E-005</v>
      </c>
      <c r="AI191" s="0" t="n">
        <f aca="false">AI190+AH190</f>
        <v>0.00396626515024724</v>
      </c>
      <c r="AJ191" s="6" t="n">
        <f aca="false">Y191/$P$5</f>
        <v>0.784</v>
      </c>
      <c r="AK191" s="0" t="n">
        <f aca="false">SQRT(AG191^2+AI191^2)</f>
        <v>0.00500778106242753</v>
      </c>
      <c r="AL191" s="0" t="n">
        <f aca="false">$W$5*(Y191/$V$5-Z191)</f>
        <v>0.00337609516221887</v>
      </c>
      <c r="AM191" s="0" t="n">
        <f aca="false">SQRT(AK191^2+AL191^2)</f>
        <v>0.00603952727567029</v>
      </c>
      <c r="AN191" s="2" t="n">
        <f aca="false">Y191</f>
        <v>784</v>
      </c>
      <c r="AO191" s="0" t="n">
        <f aca="false">AM191/Z191</f>
        <v>0.00509680692459041</v>
      </c>
    </row>
    <row r="192" customFormat="false" ht="12.75" hidden="false" customHeight="false" outlineLevel="0" collapsed="false">
      <c r="Y192" s="0" t="n">
        <f aca="false">Y191+$X$5</f>
        <v>788</v>
      </c>
      <c r="Z192" s="0" t="n">
        <f aca="false">(Y192/$V$5)^$O$5</f>
        <v>1.18530692751674</v>
      </c>
      <c r="AA192" s="0" t="n">
        <f aca="false">$Q$5*(Y192-$V$5)</f>
        <v>4.69982260977033</v>
      </c>
      <c r="AB192" s="0" t="n">
        <f aca="false">COS(AA192)</f>
        <v>-0.0125660398833529</v>
      </c>
      <c r="AC192" s="0" t="n">
        <f aca="false">SIN(AA192)</f>
        <v>-0.999921044203816</v>
      </c>
      <c r="AD192" s="0" t="n">
        <f aca="false">$T$5*(Z192-1)</f>
        <v>0.00786814558280733</v>
      </c>
      <c r="AE192" s="0" t="n">
        <f aca="false">2*$T$5*$U$5*Z192*$X$5/(Y192+Y193)</f>
        <v>1.98553353813188E-005</v>
      </c>
      <c r="AF192" s="0" t="n">
        <f aca="false">AB192*AE192</f>
        <v>-2.49502936299E-007</v>
      </c>
      <c r="AG192" s="0" t="n">
        <f aca="false">AG191+AF191</f>
        <v>0.00305647096960298</v>
      </c>
      <c r="AH192" s="0" t="n">
        <f aca="false">AC192*AE192</f>
        <v>-1.98537676875053E-005</v>
      </c>
      <c r="AI192" s="0" t="n">
        <f aca="false">AI191+AH191</f>
        <v>0.00394632873701528</v>
      </c>
      <c r="AJ192" s="6" t="n">
        <f aca="false">Y192/$P$5</f>
        <v>0.788</v>
      </c>
      <c r="AK192" s="0" t="n">
        <f aca="false">SQRT(AG192^2+AI192^2)</f>
        <v>0.00499154538080326</v>
      </c>
      <c r="AL192" s="0" t="n">
        <f aca="false">$W$5*(Y192/$V$5-Z192)</f>
        <v>0.0033943654568895</v>
      </c>
      <c r="AM192" s="0" t="n">
        <f aca="false">SQRT(AK192^2+AL192^2)</f>
        <v>0.00603632687514046</v>
      </c>
      <c r="AN192" s="2" t="n">
        <f aca="false">Y192</f>
        <v>788</v>
      </c>
      <c r="AO192" s="0" t="n">
        <f aca="false">AM192/Z192</f>
        <v>0.00509262768571409</v>
      </c>
    </row>
    <row r="193" customFormat="false" ht="12.75" hidden="false" customHeight="false" outlineLevel="0" collapsed="false">
      <c r="Y193" s="0" t="n">
        <f aca="false">Y192+$X$5</f>
        <v>792</v>
      </c>
      <c r="Z193" s="0" t="n">
        <f aca="false">(Y193/$V$5)^$O$5</f>
        <v>1.18564928068037</v>
      </c>
      <c r="AA193" s="0" t="n">
        <f aca="false">$Q$5*(Y193-$V$5)</f>
        <v>4.72495535099905</v>
      </c>
      <c r="AB193" s="0" t="n">
        <f aca="false">COS(AA193)</f>
        <v>0.0125660398833525</v>
      </c>
      <c r="AC193" s="0" t="n">
        <f aca="false">SIN(AA193)</f>
        <v>-0.999921044203816</v>
      </c>
      <c r="AD193" s="0" t="n">
        <f aca="false">$T$5*(Z193-1)</f>
        <v>0.00788268192296605</v>
      </c>
      <c r="AE193" s="0" t="n">
        <f aca="false">2*$T$5*$U$5*Z193*$X$5/(Y193+Y194)</f>
        <v>1.97610144446411E-005</v>
      </c>
      <c r="AF193" s="0" t="n">
        <f aca="false">AB193*AE193</f>
        <v>2.48317695646865E-007</v>
      </c>
      <c r="AG193" s="0" t="n">
        <f aca="false">AG192+AF192</f>
        <v>0.00305622146666668</v>
      </c>
      <c r="AH193" s="0" t="n">
        <f aca="false">AC193*AE193</f>
        <v>-1.97594541980122E-005</v>
      </c>
      <c r="AI193" s="0" t="n">
        <f aca="false">AI192+AH192</f>
        <v>0.00392647496932777</v>
      </c>
      <c r="AJ193" s="6" t="n">
        <f aca="false">Y193/$P$5</f>
        <v>0.792</v>
      </c>
      <c r="AK193" s="0" t="n">
        <f aca="false">SQRT(AG193^2+AI193^2)</f>
        <v>0.00497571053600104</v>
      </c>
      <c r="AL193" s="0" t="n">
        <f aca="false">$W$5*(Y193/$V$5-Z193)</f>
        <v>0.00341263605271369</v>
      </c>
      <c r="AM193" s="0" t="n">
        <f aca="false">SQRT(AK193^2+AL193^2)</f>
        <v>0.0060335545217022</v>
      </c>
      <c r="AN193" s="2" t="n">
        <f aca="false">Y193</f>
        <v>792</v>
      </c>
      <c r="AO193" s="0" t="n">
        <f aca="false">AM193/Z193</f>
        <v>0.00508881894504244</v>
      </c>
    </row>
    <row r="194" customFormat="false" ht="12.75" hidden="false" customHeight="false" outlineLevel="0" collapsed="false">
      <c r="Y194" s="0" t="n">
        <f aca="false">Y193+$X$5</f>
        <v>796</v>
      </c>
      <c r="Z194" s="0" t="n">
        <f aca="false">(Y194/$V$5)^$O$5</f>
        <v>1.18599000727173</v>
      </c>
      <c r="AA194" s="0" t="n">
        <f aca="false">$Q$5*(Y194-$V$5)</f>
        <v>4.75008809222777</v>
      </c>
      <c r="AB194" s="0" t="n">
        <f aca="false">COS(AA194)</f>
        <v>0.0376901826699347</v>
      </c>
      <c r="AC194" s="0" t="n">
        <f aca="false">SIN(AA194)</f>
        <v>-0.999289472640589</v>
      </c>
      <c r="AD194" s="0" t="n">
        <f aca="false">$T$5*(Z194-1)</f>
        <v>0.00789714919874849</v>
      </c>
      <c r="AE194" s="0" t="n">
        <f aca="false">2*$T$5*$U$5*Z194*$X$5/(Y194+Y195)</f>
        <v>1.96676121073495E-005</v>
      </c>
      <c r="AF194" s="0" t="n">
        <f aca="false">AB194*AE194</f>
        <v>7.4127589300742E-007</v>
      </c>
      <c r="AG194" s="0" t="n">
        <f aca="false">AG193+AF193</f>
        <v>0.00305646978436232</v>
      </c>
      <c r="AH194" s="0" t="n">
        <f aca="false">AC194*AE194</f>
        <v>-1.96536377308529E-005</v>
      </c>
      <c r="AI194" s="0" t="n">
        <f aca="false">AI193+AH193</f>
        <v>0.00390671551512976</v>
      </c>
      <c r="AJ194" s="6" t="n">
        <f aca="false">Y194/$P$5</f>
        <v>0.796</v>
      </c>
      <c r="AK194" s="0" t="n">
        <f aca="false">SQRT(AG194^2+AI194^2)</f>
        <v>0.00496028564287133</v>
      </c>
      <c r="AL194" s="0" t="n">
        <f aca="false">$W$5*(Y194/$V$5-Z194)</f>
        <v>0.00343090694674324</v>
      </c>
      <c r="AM194" s="0" t="n">
        <f aca="false">SQRT(AK194^2+AL194^2)</f>
        <v>0.0060312151458961</v>
      </c>
      <c r="AN194" s="2" t="n">
        <f aca="false">Y194</f>
        <v>796</v>
      </c>
      <c r="AO194" s="0" t="n">
        <f aca="false">AM194/Z194</f>
        <v>0.00508538445426736</v>
      </c>
    </row>
    <row r="195" customFormat="false" ht="12.75" hidden="false" customHeight="false" outlineLevel="0" collapsed="false">
      <c r="Y195" s="0" t="n">
        <f aca="false">Y194+$X$5</f>
        <v>800</v>
      </c>
      <c r="Z195" s="0" t="n">
        <f aca="false">(Y195/$V$5)^$O$5</f>
        <v>1.18632912313466</v>
      </c>
      <c r="AA195" s="0" t="n">
        <f aca="false">$Q$5*(Y195-$V$5)</f>
        <v>4.77522083345649</v>
      </c>
      <c r="AB195" s="0" t="n">
        <f aca="false">COS(AA195)</f>
        <v>0.0627905195293137</v>
      </c>
      <c r="AC195" s="0" t="n">
        <f aca="false">SIN(AA195)</f>
        <v>-0.998026728428272</v>
      </c>
      <c r="AD195" s="0" t="n">
        <f aca="false">$T$5*(Z195-1)</f>
        <v>0.00791154808288485</v>
      </c>
      <c r="AE195" s="0" t="n">
        <f aca="false">2*$T$5*$U$5*Z195*$X$5/(Y195+Y196)</f>
        <v>1.95751148862471E-005</v>
      </c>
      <c r="AF195" s="0" t="n">
        <f aca="false">AB195*AE195</f>
        <v>1.22913163355346E-006</v>
      </c>
      <c r="AG195" s="0" t="n">
        <f aca="false">AG194+AF194</f>
        <v>0.00305721106025533</v>
      </c>
      <c r="AH195" s="0" t="n">
        <f aca="false">AC195*AE195</f>
        <v>-1.95364878685288E-005</v>
      </c>
      <c r="AI195" s="0" t="n">
        <f aca="false">AI194+AH194</f>
        <v>0.00388706187739891</v>
      </c>
      <c r="AJ195" s="6" t="n">
        <f aca="false">Y195/$P$5</f>
        <v>0.8</v>
      </c>
      <c r="AK195" s="0" t="n">
        <f aca="false">SQRT(AG195^2+AI195^2)</f>
        <v>0.00494527951744646</v>
      </c>
      <c r="AL195" s="0" t="n">
        <f aca="false">$W$5*(Y195/$V$5-Z195)</f>
        <v>0.00344917813607344</v>
      </c>
      <c r="AM195" s="0" t="n">
        <f aca="false">SQRT(AK195^2+AL195^2)</f>
        <v>0.00602931333735795</v>
      </c>
      <c r="AN195" s="2" t="n">
        <f aca="false">Y195</f>
        <v>800</v>
      </c>
      <c r="AO195" s="0" t="n">
        <f aca="false">AM195/Z195</f>
        <v>0.00508232767769081</v>
      </c>
    </row>
    <row r="196" customFormat="false" ht="12.75" hidden="false" customHeight="false" outlineLevel="0" collapsed="false">
      <c r="Y196" s="0" t="n">
        <f aca="false">Y195+$X$5</f>
        <v>804</v>
      </c>
      <c r="Z196" s="0" t="n">
        <f aca="false">(Y196/$V$5)^$O$5</f>
        <v>1.1866666438804</v>
      </c>
      <c r="AA196" s="0" t="n">
        <f aca="false">$Q$5*(Y196-$V$5)</f>
        <v>4.8003535746852</v>
      </c>
      <c r="AB196" s="0" t="n">
        <f aca="false">COS(AA196)</f>
        <v>0.0878511965507429</v>
      </c>
      <c r="AC196" s="0" t="n">
        <f aca="false">SIN(AA196)</f>
        <v>-0.996133609143173</v>
      </c>
      <c r="AD196" s="0" t="n">
        <f aca="false">$T$5*(Z196-1)</f>
        <v>0.00792587923822946</v>
      </c>
      <c r="AE196" s="0" t="n">
        <f aca="false">2*$T$5*$U$5*Z196*$X$5/(Y196+Y197)</f>
        <v>1.94835095619748E-005</v>
      </c>
      <c r="AF196" s="0" t="n">
        <f aca="false">AB196*AE196</f>
        <v>1.71164962802733E-006</v>
      </c>
      <c r="AG196" s="0" t="n">
        <f aca="false">AG195+AF195</f>
        <v>0.00305844019188889</v>
      </c>
      <c r="AH196" s="0" t="n">
        <f aca="false">AC196*AE196</f>
        <v>-1.94081786987455E-005</v>
      </c>
      <c r="AI196" s="0" t="n">
        <f aca="false">AI195+AH195</f>
        <v>0.00386752538953038</v>
      </c>
      <c r="AJ196" s="6" t="n">
        <f aca="false">Y196/$P$5</f>
        <v>0.804</v>
      </c>
      <c r="AK196" s="0" t="n">
        <f aca="false">SQRT(AG196^2+AI196^2)</f>
        <v>0.00493070066481666</v>
      </c>
      <c r="AL196" s="0" t="n">
        <f aca="false">$W$5*(Y196/$V$5-Z196)</f>
        <v>0.00346744961784223</v>
      </c>
      <c r="AM196" s="0" t="n">
        <f aca="false">SQRT(AK196^2+AL196^2)</f>
        <v>0.00602785334080862</v>
      </c>
      <c r="AN196" s="2" t="n">
        <f aca="false">Y196</f>
        <v>804</v>
      </c>
      <c r="AO196" s="0" t="n">
        <f aca="false">AM196/Z196</f>
        <v>0.00507965178923168</v>
      </c>
    </row>
    <row r="197" customFormat="false" ht="12.75" hidden="false" customHeight="false" outlineLevel="0" collapsed="false">
      <c r="Y197" s="0" t="n">
        <f aca="false">Y196+$X$5</f>
        <v>808</v>
      </c>
      <c r="Z197" s="0" t="n">
        <f aca="false">(Y197/$V$5)^$O$5</f>
        <v>1.18700258489214</v>
      </c>
      <c r="AA197" s="0" t="n">
        <f aca="false">$Q$5*(Y197-$V$5)</f>
        <v>4.82548631591392</v>
      </c>
      <c r="AB197" s="0" t="n">
        <f aca="false">COS(AA197)</f>
        <v>0.112856384873482</v>
      </c>
      <c r="AC197" s="0" t="n">
        <f aca="false">SIN(AA197)</f>
        <v>-0.993611310520008</v>
      </c>
      <c r="AD197" s="0" t="n">
        <f aca="false">$T$5*(Z197-1)</f>
        <v>0.007940143317954</v>
      </c>
      <c r="AE197" s="0" t="n">
        <f aca="false">2*$T$5*$U$5*Z197*$X$5/(Y197+Y198)</f>
        <v>1.93927831725708E-005</v>
      </c>
      <c r="AF197" s="0" t="n">
        <f aca="false">AB197*AE197</f>
        <v>2.18859940149163E-006</v>
      </c>
      <c r="AG197" s="0" t="n">
        <f aca="false">AG196+AF196</f>
        <v>0.00306015184151691</v>
      </c>
      <c r="AH197" s="0" t="n">
        <f aca="false">AC197*AE197</f>
        <v>-1.92688887027284E-005</v>
      </c>
      <c r="AI197" s="0" t="n">
        <f aca="false">AI196+AH196</f>
        <v>0.00384811721083164</v>
      </c>
      <c r="AJ197" s="6" t="n">
        <f aca="false">Y197/$P$5</f>
        <v>0.808</v>
      </c>
      <c r="AK197" s="0" t="n">
        <f aca="false">SQRT(AG197^2+AI197^2)</f>
        <v>0.00491655726717771</v>
      </c>
      <c r="AL197" s="0" t="n">
        <f aca="false">$W$5*(Y197/$V$5-Z197)</f>
        <v>0.00348572138922935</v>
      </c>
      <c r="AM197" s="0" t="n">
        <f aca="false">SQRT(AK197^2+AL197^2)</f>
        <v>0.00602683905250248</v>
      </c>
      <c r="AN197" s="2" t="n">
        <f aca="false">Y197</f>
        <v>808</v>
      </c>
      <c r="AO197" s="0" t="n">
        <f aca="false">AM197/Z197</f>
        <v>0.0050773596698192</v>
      </c>
    </row>
    <row r="198" customFormat="false" ht="12.75" hidden="false" customHeight="false" outlineLevel="0" collapsed="false">
      <c r="Y198" s="0" t="n">
        <f aca="false">Y197+$X$5</f>
        <v>812</v>
      </c>
      <c r="Z198" s="0" t="n">
        <f aca="false">(Y198/$V$5)^$O$5</f>
        <v>1.18733696132948</v>
      </c>
      <c r="AA198" s="0" t="n">
        <f aca="false">$Q$5*(Y198-$V$5)</f>
        <v>4.85061905714264</v>
      </c>
      <c r="AB198" s="0" t="n">
        <f aca="false">COS(AA198)</f>
        <v>0.137790290684638</v>
      </c>
      <c r="AC198" s="0" t="n">
        <f aca="false">SIN(AA198)</f>
        <v>-0.990461425696651</v>
      </c>
      <c r="AD198" s="0" t="n">
        <f aca="false">$T$5*(Z198-1)</f>
        <v>0.00795434096573608</v>
      </c>
      <c r="AE198" s="0" t="n">
        <f aca="false">2*$T$5*$U$5*Z198*$X$5/(Y198+Y199)</f>
        <v>1.93029230072189E-005</v>
      </c>
      <c r="AF198" s="0" t="n">
        <f aca="false">AB198*AE198</f>
        <v>2.65975537222788E-006</v>
      </c>
      <c r="AG198" s="0" t="n">
        <f aca="false">AG197+AF197</f>
        <v>0.0030623404409184</v>
      </c>
      <c r="AH198" s="0" t="n">
        <f aca="false">AC198*AE198</f>
        <v>-1.91188006418427E-005</v>
      </c>
      <c r="AI198" s="0" t="n">
        <f aca="false">AI197+AH197</f>
        <v>0.00382884832212891</v>
      </c>
      <c r="AJ198" s="6" t="n">
        <f aca="false">Y198/$P$5</f>
        <v>0.812</v>
      </c>
      <c r="AK198" s="0" t="n">
        <f aca="false">SQRT(AG198^2+AI198^2)</f>
        <v>0.00490285717209401</v>
      </c>
      <c r="AL198" s="0" t="n">
        <f aca="false">$W$5*(Y198/$V$5-Z198)</f>
        <v>0.00350399344745554</v>
      </c>
      <c r="AM198" s="0" t="n">
        <f aca="false">SQRT(AK198^2+AL198^2)</f>
        <v>0.00602627401714899</v>
      </c>
      <c r="AN198" s="2" t="n">
        <f aca="false">Y198</f>
        <v>812</v>
      </c>
      <c r="AO198" s="0" t="n">
        <f aca="false">AM198/Z198</f>
        <v>0.00507545390518398</v>
      </c>
    </row>
    <row r="199" customFormat="false" ht="12.75" hidden="false" customHeight="false" outlineLevel="0" collapsed="false">
      <c r="Y199" s="0" t="n">
        <f aca="false">Y198+$X$5</f>
        <v>816</v>
      </c>
      <c r="Z199" s="0" t="n">
        <f aca="false">(Y199/$V$5)^$O$5</f>
        <v>1.18766978813275</v>
      </c>
      <c r="AA199" s="0" t="n">
        <f aca="false">$Q$5*(Y199-$V$5)</f>
        <v>4.87575179837136</v>
      </c>
      <c r="AB199" s="0" t="n">
        <f aca="false">COS(AA199)</f>
        <v>0.162637165194884</v>
      </c>
      <c r="AC199" s="0" t="n">
        <f aca="false">SIN(AA199)</f>
        <v>-0.986685944207868</v>
      </c>
      <c r="AD199" s="0" t="n">
        <f aca="false">$T$5*(Z199-1)</f>
        <v>0.00796847281594324</v>
      </c>
      <c r="AE199" s="0" t="n">
        <f aca="false">2*$T$5*$U$5*Z199*$X$5/(Y199+Y200)</f>
        <v>1.92139166001777E-005</v>
      </c>
      <c r="AF199" s="0" t="n">
        <f aca="false">AB199*AE199</f>
        <v>3.12489692814383E-006</v>
      </c>
      <c r="AG199" s="0" t="n">
        <f aca="false">AG198+AF198</f>
        <v>0.00306500019629063</v>
      </c>
      <c r="AH199" s="0" t="n">
        <f aca="false">AC199*AE199</f>
        <v>-1.89581014425776E-005</v>
      </c>
      <c r="AI199" s="0" t="n">
        <f aca="false">AI198+AH198</f>
        <v>0.00380972952148706</v>
      </c>
      <c r="AJ199" s="6" t="n">
        <f aca="false">Y199/$P$5</f>
        <v>0.816</v>
      </c>
      <c r="AK199" s="0" t="n">
        <f aca="false">SQRT(AG199^2+AI199^2)</f>
        <v>0.00488960788102192</v>
      </c>
      <c r="AL199" s="0" t="n">
        <f aca="false">$W$5*(Y199/$V$5-Z199)</f>
        <v>0.00352226578978173</v>
      </c>
      <c r="AM199" s="0" t="n">
        <f aca="false">SQRT(AK199^2+AL199^2)</f>
        <v>0.0060261614253203</v>
      </c>
      <c r="AN199" s="2" t="n">
        <f aca="false">Y199</f>
        <v>816</v>
      </c>
      <c r="AO199" s="0" t="n">
        <f aca="false">AM199/Z199</f>
        <v>0.00507393678405729</v>
      </c>
    </row>
    <row r="200" customFormat="false" ht="12.75" hidden="false" customHeight="false" outlineLevel="0" collapsed="false">
      <c r="Y200" s="0" t="n">
        <f aca="false">Y199+$X$5</f>
        <v>820</v>
      </c>
      <c r="Z200" s="0" t="n">
        <f aca="false">(Y200/$V$5)^$O$5</f>
        <v>1.18800108002725</v>
      </c>
      <c r="AA200" s="0" t="n">
        <f aca="false">$Q$5*(Y200-$V$5)</f>
        <v>4.90088453960008</v>
      </c>
      <c r="AB200" s="0" t="n">
        <f aca="false">COS(AA200)</f>
        <v>0.187381314585725</v>
      </c>
      <c r="AC200" s="0" t="n">
        <f aca="false">SIN(AA200)</f>
        <v>-0.982287250728689</v>
      </c>
      <c r="AD200" s="0" t="n">
        <f aca="false">$T$5*(Z200-1)</f>
        <v>0.00798253949381248</v>
      </c>
      <c r="AE200" s="0" t="n">
        <f aca="false">2*$T$5*$U$5*Z200*$X$5/(Y200+Y201)</f>
        <v>1.91257517248865E-005</v>
      </c>
      <c r="AF200" s="0" t="n">
        <f aca="false">AB200*AE200</f>
        <v>3.58380850064943E-006</v>
      </c>
      <c r="AG200" s="0" t="n">
        <f aca="false">AG199+AF199</f>
        <v>0.00306812509321878</v>
      </c>
      <c r="AH200" s="0" t="n">
        <f aca="false">AC200*AE200</f>
        <v>-1.87869820799582E-005</v>
      </c>
      <c r="AI200" s="0" t="n">
        <f aca="false">AI199+AH199</f>
        <v>0.00379077142004449</v>
      </c>
      <c r="AJ200" s="6" t="n">
        <f aca="false">Y200/$P$5</f>
        <v>0.82</v>
      </c>
      <c r="AK200" s="0" t="n">
        <f aca="false">SQRT(AG200^2+AI200^2)</f>
        <v>0.00487681653813887</v>
      </c>
      <c r="AL200" s="0" t="n">
        <f aca="false">$W$5*(Y200/$V$5-Z200)</f>
        <v>0.00354053841350829</v>
      </c>
      <c r="AM200" s="0" t="n">
        <f aca="false">SQRT(AK200^2+AL200^2)</f>
        <v>0.00602650411135615</v>
      </c>
      <c r="AN200" s="2" t="n">
        <f aca="false">Y200</f>
        <v>820</v>
      </c>
      <c r="AO200" s="0" t="n">
        <f aca="false">AM200/Z200</f>
        <v>0.00507281029678686</v>
      </c>
    </row>
    <row r="201" customFormat="false" ht="12.75" hidden="false" customHeight="false" outlineLevel="0" collapsed="false">
      <c r="Y201" s="0" t="n">
        <f aca="false">Y200+$X$5</f>
        <v>824</v>
      </c>
      <c r="Z201" s="0" t="n">
        <f aca="false">(Y201/$V$5)^$O$5</f>
        <v>1.18833085152736</v>
      </c>
      <c r="AA201" s="0" t="n">
        <f aca="false">$Q$5*(Y201-$V$5)</f>
        <v>4.9260172808288</v>
      </c>
      <c r="AB201" s="0" t="n">
        <f aca="false">COS(AA201)</f>
        <v>0.212007109922055</v>
      </c>
      <c r="AC201" s="0" t="n">
        <f aca="false">SIN(AA201)</f>
        <v>-0.977268123568194</v>
      </c>
      <c r="AD201" s="0" t="n">
        <f aca="false">$T$5*(Z201-1)</f>
        <v>0.00799654161562545</v>
      </c>
      <c r="AE201" s="0" t="n">
        <f aca="false">2*$T$5*$U$5*Z201*$X$5/(Y201+Y202)</f>
        <v>1.90384163882392E-005</v>
      </c>
      <c r="AF201" s="0" t="n">
        <f aca="false">AB201*AE201</f>
        <v>4.03627963596326E-006</v>
      </c>
      <c r="AG201" s="0" t="n">
        <f aca="false">AG200+AF200</f>
        <v>0.00307170890171943</v>
      </c>
      <c r="AH201" s="0" t="n">
        <f aca="false">AC201*AE201</f>
        <v>-1.86056374594444E-005</v>
      </c>
      <c r="AI201" s="0" t="n">
        <f aca="false">AI200+AH200</f>
        <v>0.00377198443796453</v>
      </c>
      <c r="AJ201" s="6" t="n">
        <f aca="false">Y201/$P$5</f>
        <v>0.824</v>
      </c>
      <c r="AK201" s="0" t="n">
        <f aca="false">SQRT(AG201^2+AI201^2)</f>
        <v>0.00486448991952383</v>
      </c>
      <c r="AL201" s="0" t="n">
        <f aca="false">$W$5*(Y201/$V$5-Z201)</f>
        <v>0.00355881131597423</v>
      </c>
      <c r="AM201" s="0" t="n">
        <f aca="false">SQRT(AK201^2+AL201^2)</f>
        <v>0.00602730455177562</v>
      </c>
      <c r="AN201" s="2" t="n">
        <f aca="false">Y201</f>
        <v>824</v>
      </c>
      <c r="AO201" s="0" t="n">
        <f aca="false">AM201/Z201</f>
        <v>0.00507207613437685</v>
      </c>
    </row>
    <row r="202" customFormat="false" ht="12.75" hidden="false" customHeight="false" outlineLevel="0" collapsed="false">
      <c r="Y202" s="0" t="n">
        <f aca="false">Y201+$X$5</f>
        <v>828</v>
      </c>
      <c r="Z202" s="0" t="n">
        <f aca="false">(Y202/$V$5)^$O$5</f>
        <v>1.18865911694056</v>
      </c>
      <c r="AA202" s="0" t="n">
        <f aca="false">$Q$5*(Y202-$V$5)</f>
        <v>4.95115002205751</v>
      </c>
      <c r="AB202" s="0" t="n">
        <f aca="false">COS(AA202)</f>
        <v>0.236498997023725</v>
      </c>
      <c r="AC202" s="0" t="n">
        <f aca="false">SIN(AA202)</f>
        <v>-0.971631732914674</v>
      </c>
      <c r="AD202" s="0" t="n">
        <f aca="false">$T$5*(Z202-1)</f>
        <v>0.00801047978887949</v>
      </c>
      <c r="AE202" s="0" t="n">
        <f aca="false">2*$T$5*$U$5*Z202*$X$5/(Y202+Y203)</f>
        <v>1.89518988250237E-005</v>
      </c>
      <c r="AF202" s="0" t="n">
        <f aca="false">AB202*AE202</f>
        <v>4.48210506381322E-006</v>
      </c>
      <c r="AG202" s="0" t="n">
        <f aca="false">AG201+AF201</f>
        <v>0.00307574518135539</v>
      </c>
      <c r="AH202" s="0" t="n">
        <f aca="false">AC202*AE202</f>
        <v>-1.84142662973814E-005</v>
      </c>
      <c r="AI202" s="0" t="n">
        <f aca="false">AI201+AH201</f>
        <v>0.00375337880050508</v>
      </c>
      <c r="AJ202" s="6" t="n">
        <f aca="false">Y202/$P$5</f>
        <v>0.828</v>
      </c>
      <c r="AK202" s="0" t="n">
        <f aca="false">SQRT(AG202^2+AI202^2)</f>
        <v>0.00485263442273492</v>
      </c>
      <c r="AL202" s="0" t="n">
        <f aca="false">$W$5*(Y202/$V$5-Z202)</f>
        <v>0.00357708449455651</v>
      </c>
      <c r="AM202" s="0" t="n">
        <f aca="false">SQRT(AK202^2+AL202^2)</f>
        <v>0.00602856486420346</v>
      </c>
      <c r="AN202" s="2" t="n">
        <f aca="false">Y202</f>
        <v>828</v>
      </c>
      <c r="AO202" s="0" t="n">
        <f aca="false">AM202/Z202</f>
        <v>0.00507173568795748</v>
      </c>
    </row>
    <row r="203" customFormat="false" ht="12.75" hidden="false" customHeight="false" outlineLevel="0" collapsed="false">
      <c r="Y203" s="0" t="n">
        <f aca="false">Y202+$X$5</f>
        <v>832</v>
      </c>
      <c r="Z203" s="0" t="n">
        <f aca="false">(Y203/$V$5)^$O$5</f>
        <v>1.18898589037141</v>
      </c>
      <c r="AA203" s="0" t="n">
        <f aca="false">$Q$5*(Y203-$V$5)</f>
        <v>4.97628276328623</v>
      </c>
      <c r="AB203" s="0" t="n">
        <f aca="false">COS(AA203)</f>
        <v>0.260841506289897</v>
      </c>
      <c r="AC203" s="0" t="n">
        <f aca="false">SIN(AA203)</f>
        <v>-0.965381638833274</v>
      </c>
      <c r="AD203" s="0" t="n">
        <f aca="false">$T$5*(Z203-1)</f>
        <v>0.00802435461245459</v>
      </c>
      <c r="AE203" s="0" t="n">
        <f aca="false">2*$T$5*$U$5*Z203*$X$5/(Y203+Y204)</f>
        <v>1.88661874925193E-005</v>
      </c>
      <c r="AF203" s="0" t="n">
        <f aca="false">AB203*AE203</f>
        <v>4.92108476349636E-006</v>
      </c>
      <c r="AG203" s="0" t="n">
        <f aca="false">AG202+AF202</f>
        <v>0.0030802272864192</v>
      </c>
      <c r="AH203" s="0" t="n">
        <f aca="false">AC203*AE203</f>
        <v>-1.82130710000641E-005</v>
      </c>
      <c r="AI203" s="0" t="n">
        <f aca="false">AI202+AH202</f>
        <v>0.0037349645342077</v>
      </c>
      <c r="AJ203" s="6" t="n">
        <f aca="false">Y203/$P$5</f>
        <v>0.832</v>
      </c>
      <c r="AK203" s="0" t="n">
        <f aca="false">SQRT(AG203^2+AI203^2)</f>
        <v>0.00484125605682975</v>
      </c>
      <c r="AL203" s="0" t="n">
        <f aca="false">$W$5*(Y203/$V$5-Z203)</f>
        <v>0.0035953579466693</v>
      </c>
      <c r="AM203" s="0" t="n">
        <f aca="false">SQRT(AK203^2+AL203^2)</f>
        <v>0.00603028680681681</v>
      </c>
      <c r="AN203" s="2" t="n">
        <f aca="false">Y203</f>
        <v>832</v>
      </c>
      <c r="AO203" s="0" t="n">
        <f aca="false">AM203/Z203</f>
        <v>0.00507179004868853</v>
      </c>
    </row>
    <row r="204" customFormat="false" ht="12.75" hidden="false" customHeight="false" outlineLevel="0" collapsed="false">
      <c r="Y204" s="0" t="n">
        <f aca="false">Y203+$X$5</f>
        <v>836</v>
      </c>
      <c r="Z204" s="0" t="n">
        <f aca="false">(Y204/$V$5)^$O$5</f>
        <v>1.18931118572534</v>
      </c>
      <c r="AA204" s="0" t="n">
        <f aca="false">$Q$5*(Y204-$V$5)</f>
        <v>5.00141550451495</v>
      </c>
      <c r="AB204" s="0" t="n">
        <f aca="false">COS(AA204)</f>
        <v>0.285019262469977</v>
      </c>
      <c r="AC204" s="0" t="n">
        <f aca="false">SIN(AA204)</f>
        <v>-0.958521789017376</v>
      </c>
      <c r="AD204" s="0" t="n">
        <f aca="false">$T$5*(Z204-1)</f>
        <v>0.00803816667677633</v>
      </c>
      <c r="AE204" s="0" t="n">
        <f aca="false">2*$T$5*$U$5*Z204*$X$5/(Y204+Y205)</f>
        <v>1.87812710652468E-005</v>
      </c>
      <c r="AF204" s="0" t="n">
        <f aca="false">AB204*AE204</f>
        <v>5.35302402726534E-006</v>
      </c>
      <c r="AG204" s="0" t="n">
        <f aca="false">AG203+AF203</f>
        <v>0.0030851483711827</v>
      </c>
      <c r="AH204" s="0" t="n">
        <f aca="false">AC204*AE204</f>
        <v>-1.80022575414806E-005</v>
      </c>
      <c r="AI204" s="0" t="n">
        <f aca="false">AI203+AH203</f>
        <v>0.00371675146320764</v>
      </c>
      <c r="AJ204" s="6" t="n">
        <f aca="false">Y204/$P$5</f>
        <v>0.836</v>
      </c>
      <c r="AK204" s="0" t="n">
        <f aca="false">SQRT(AG204^2+AI204^2)</f>
        <v>0.00483036043287324</v>
      </c>
      <c r="AL204" s="0" t="n">
        <f aca="false">$W$5*(Y204/$V$5-Z204)</f>
        <v>0.00361363166976327</v>
      </c>
      <c r="AM204" s="0" t="n">
        <f aca="false">SQRT(AK204^2+AL204^2)</f>
        <v>0.00603247177831637</v>
      </c>
      <c r="AN204" s="2" t="n">
        <f aca="false">Y204</f>
        <v>836</v>
      </c>
      <c r="AO204" s="0" t="n">
        <f aca="false">AM204/Z204</f>
        <v>0.00507224000809953</v>
      </c>
    </row>
    <row r="205" customFormat="false" ht="12.75" hidden="false" customHeight="false" outlineLevel="0" collapsed="false">
      <c r="Y205" s="0" t="n">
        <f aca="false">Y204+$X$5</f>
        <v>840</v>
      </c>
      <c r="Z205" s="0" t="n">
        <f aca="false">(Y205/$V$5)^$O$5</f>
        <v>1.18963501671241</v>
      </c>
      <c r="AA205" s="0" t="n">
        <f aca="false">$Q$5*(Y205-$V$5)</f>
        <v>5.02654824574367</v>
      </c>
      <c r="AB205" s="0" t="n">
        <f aca="false">COS(AA205)</f>
        <v>0.309016994374947</v>
      </c>
      <c r="AC205" s="0" t="n">
        <f aca="false">SIN(AA205)</f>
        <v>-0.951056516295154</v>
      </c>
      <c r="AD205" s="0" t="n">
        <f aca="false">$T$5*(Z205-1)</f>
        <v>0.00805191656397511</v>
      </c>
      <c r="AE205" s="0" t="n">
        <f aca="false">2*$T$5*$U$5*Z205*$X$5/(Y205+Y206)</f>
        <v>1.86971384298674E-005</v>
      </c>
      <c r="AF205" s="0" t="n">
        <f aca="false">AB205*AE205</f>
        <v>5.77773352100994E-006</v>
      </c>
      <c r="AG205" s="0" t="n">
        <f aca="false">AG204+AF204</f>
        <v>0.00309050139520996</v>
      </c>
      <c r="AH205" s="0" t="n">
        <f aca="false">AC205*AE205</f>
        <v>-1.77820353397979E-005</v>
      </c>
      <c r="AI205" s="0" t="n">
        <f aca="false">AI204+AH204</f>
        <v>0.00369874920566616</v>
      </c>
      <c r="AJ205" s="6" t="n">
        <f aca="false">Y205/$P$5</f>
        <v>0.84</v>
      </c>
      <c r="AK205" s="0" t="n">
        <f aca="false">SQRT(AG205^2+AI205^2)</f>
        <v>0.00481995275497704</v>
      </c>
      <c r="AL205" s="0" t="n">
        <f aca="false">$W$5*(Y205/$V$5-Z205)</f>
        <v>0.00363190566132489</v>
      </c>
      <c r="AM205" s="0" t="n">
        <f aca="false">SQRT(AK205^2+AL205^2)</f>
        <v>0.00603512081842398</v>
      </c>
      <c r="AN205" s="2" t="n">
        <f aca="false">Y205</f>
        <v>840</v>
      </c>
      <c r="AO205" s="0" t="n">
        <f aca="false">AM205/Z205</f>
        <v>0.00507308605886719</v>
      </c>
    </row>
    <row r="206" customFormat="false" ht="12.75" hidden="false" customHeight="false" outlineLevel="0" collapsed="false">
      <c r="Y206" s="0" t="n">
        <f aca="false">Y205+$X$5</f>
        <v>844</v>
      </c>
      <c r="Z206" s="0" t="n">
        <f aca="false">(Y206/$V$5)^$O$5</f>
        <v>1.18995739685099</v>
      </c>
      <c r="AA206" s="0" t="n">
        <f aca="false">$Q$5*(Y206-$V$5)</f>
        <v>5.05168098697239</v>
      </c>
      <c r="AB206" s="0" t="n">
        <f aca="false">COS(AA206)</f>
        <v>0.332819544522987</v>
      </c>
      <c r="AC206" s="0" t="n">
        <f aca="false">SIN(AA206)</f>
        <v>-0.942990535892864</v>
      </c>
      <c r="AD206" s="0" t="n">
        <f aca="false">$T$5*(Z206-1)</f>
        <v>0.00806560484804144</v>
      </c>
      <c r="AE206" s="0" t="n">
        <f aca="false">2*$T$5*$U$5*Z206*$X$5/(Y206+Y207)</f>
        <v>1.86137786802252E-005</v>
      </c>
      <c r="AF206" s="0" t="n">
        <f aca="false">AB206*AE206</f>
        <v>6.19502934220422E-006</v>
      </c>
      <c r="AG206" s="0" t="n">
        <f aca="false">AG205+AF205</f>
        <v>0.00309627912873097</v>
      </c>
      <c r="AH206" s="0" t="n">
        <f aca="false">AC206*AE206</f>
        <v>-1.75526171326567E-005</v>
      </c>
      <c r="AI206" s="0" t="n">
        <f aca="false">AI205+AH205</f>
        <v>0.00368096717032636</v>
      </c>
      <c r="AJ206" s="6" t="n">
        <f aca="false">Y206/$P$5</f>
        <v>0.844</v>
      </c>
      <c r="AK206" s="0" t="n">
        <f aca="false">SQRT(AG206^2+AI206^2)</f>
        <v>0.00481003781191328</v>
      </c>
      <c r="AL206" s="0" t="n">
        <f aca="false">$W$5*(Y206/$V$5-Z206)</f>
        <v>0.0036501799188758</v>
      </c>
      <c r="AM206" s="0" t="n">
        <f aca="false">SQRT(AK206^2+AL206^2)</f>
        <v>0.00603823460890678</v>
      </c>
      <c r="AN206" s="2" t="n">
        <f aca="false">Y206</f>
        <v>844</v>
      </c>
      <c r="AO206" s="0" t="n">
        <f aca="false">AM206/Z206</f>
        <v>0.00507432839602989</v>
      </c>
    </row>
    <row r="207" customFormat="false" ht="12.75" hidden="false" customHeight="false" outlineLevel="0" collapsed="false">
      <c r="Y207" s="0" t="n">
        <f aca="false">Y206+$X$5</f>
        <v>848</v>
      </c>
      <c r="Z207" s="0" t="n">
        <f aca="false">(Y207/$V$5)^$O$5</f>
        <v>1.19027833947129</v>
      </c>
      <c r="AA207" s="0" t="n">
        <f aca="false">$Q$5*(Y207-$V$5)</f>
        <v>5.07681372820111</v>
      </c>
      <c r="AB207" s="0" t="n">
        <f aca="false">COS(AA207)</f>
        <v>0.356411878713251</v>
      </c>
      <c r="AC207" s="0" t="n">
        <f aca="false">SIN(AA207)</f>
        <v>-0.934328942456612</v>
      </c>
      <c r="AD207" s="0" t="n">
        <f aca="false">$T$5*(Z207-1)</f>
        <v>0.00807923209497781</v>
      </c>
      <c r="AE207" s="0" t="n">
        <f aca="false">2*$T$5*$U$5*Z207*$X$5/(Y207+Y208)</f>
        <v>1.85311811125274E-005</v>
      </c>
      <c r="AF207" s="0" t="n">
        <f aca="false">AB207*AE207</f>
        <v>6.60473307509142E-006</v>
      </c>
      <c r="AG207" s="0" t="n">
        <f aca="false">AG206+AF206</f>
        <v>0.00310247415807318</v>
      </c>
      <c r="AH207" s="0" t="n">
        <f aca="false">AC207*AE207</f>
        <v>-1.73142188513397E-005</v>
      </c>
      <c r="AI207" s="0" t="n">
        <f aca="false">AI206+AH206</f>
        <v>0.0036634145531937</v>
      </c>
      <c r="AJ207" s="6" t="n">
        <f aca="false">Y207/$P$5</f>
        <v>0.848</v>
      </c>
      <c r="AK207" s="0" t="n">
        <f aca="false">SQRT(AG207^2+AI207^2)</f>
        <v>0.00480061996934389</v>
      </c>
      <c r="AL207" s="0" t="n">
        <f aca="false">$W$5*(Y207/$V$5-Z207)</f>
        <v>0.00366845443997211</v>
      </c>
      <c r="AM207" s="0" t="n">
        <f aca="false">SQRT(AK207^2+AL207^2)</f>
        <v>0.00604181347512602</v>
      </c>
      <c r="AN207" s="2" t="n">
        <f aca="false">Y207</f>
        <v>848</v>
      </c>
      <c r="AO207" s="0" t="n">
        <f aca="false">AM207/Z207</f>
        <v>0.00507596691863663</v>
      </c>
    </row>
    <row r="208" customFormat="false" ht="12.75" hidden="false" customHeight="false" outlineLevel="0" collapsed="false">
      <c r="Y208" s="0" t="n">
        <f aca="false">Y207+$X$5</f>
        <v>852</v>
      </c>
      <c r="Z208" s="0" t="n">
        <f aca="false">(Y208/$V$5)^$O$5</f>
        <v>1.19059785771892</v>
      </c>
      <c r="AA208" s="0" t="n">
        <f aca="false">$Q$5*(Y208-$V$5)</f>
        <v>5.10194646942983</v>
      </c>
      <c r="AB208" s="0" t="n">
        <f aca="false">COS(AA208)</f>
        <v>0.379779095521802</v>
      </c>
      <c r="AC208" s="0" t="n">
        <f aca="false">SIN(AA208)</f>
        <v>-0.925077206834458</v>
      </c>
      <c r="AD208" s="0" t="n">
        <f aca="false">$T$5*(Z208-1)</f>
        <v>0.00809279886294687</v>
      </c>
      <c r="AE208" s="0" t="n">
        <f aca="false">2*$T$5*$U$5*Z208*$X$5/(Y208+Y209)</f>
        <v>1.84493352206598E-005</v>
      </c>
      <c r="AF208" s="0" t="n">
        <f aca="false">AB208*AE208</f>
        <v>7.00667184308071E-006</v>
      </c>
      <c r="AG208" s="0" t="n">
        <f aca="false">AG207+AF207</f>
        <v>0.00310907889114827</v>
      </c>
      <c r="AH208" s="0" t="n">
        <f aca="false">AC208*AE208</f>
        <v>-1.70670594938806E-005</v>
      </c>
      <c r="AI208" s="0" t="n">
        <f aca="false">AI207+AH207</f>
        <v>0.00364610033434236</v>
      </c>
      <c r="AJ208" s="6" t="n">
        <f aca="false">Y208/$P$5</f>
        <v>0.852</v>
      </c>
      <c r="AK208" s="0" t="n">
        <f aca="false">SQRT(AG208^2+AI208^2)</f>
        <v>0.00479170316270481</v>
      </c>
      <c r="AL208" s="0" t="n">
        <f aca="false">$W$5*(Y208/$V$5-Z208)</f>
        <v>0.00368672922220381</v>
      </c>
      <c r="AM208" s="0" t="n">
        <f aca="false">SQRT(AK208^2+AL208^2)</f>
        <v>0.0060458573881069</v>
      </c>
      <c r="AN208" s="2" t="n">
        <f aca="false">Y208</f>
        <v>852</v>
      </c>
      <c r="AO208" s="0" t="n">
        <f aca="false">AM208/Z208</f>
        <v>0.0050780012318267</v>
      </c>
    </row>
    <row r="209" customFormat="false" ht="12.75" hidden="false" customHeight="false" outlineLevel="0" collapsed="false">
      <c r="Y209" s="0" t="n">
        <f aca="false">Y208+$X$5</f>
        <v>856</v>
      </c>
      <c r="Z209" s="0" t="n">
        <f aca="false">(Y209/$V$5)^$O$5</f>
        <v>1.19091596455822</v>
      </c>
      <c r="AA209" s="0" t="n">
        <f aca="false">$Q$5*(Y209-$V$5)</f>
        <v>5.12707921065854</v>
      </c>
      <c r="AB209" s="0" t="n">
        <f aca="false">COS(AA209)</f>
        <v>0.402906435713662</v>
      </c>
      <c r="AC209" s="0" t="n">
        <f aca="false">SIN(AA209)</f>
        <v>-0.915241172620918</v>
      </c>
      <c r="AD209" s="0" t="n">
        <f aca="false">$T$5*(Z209-1)</f>
        <v>0.00810630570241627</v>
      </c>
      <c r="AE209" s="0" t="n">
        <f aca="false">2*$T$5*$U$5*Z209*$X$5/(Y209+Y210)</f>
        <v>1.8368230691631E-005</v>
      </c>
      <c r="AF209" s="0" t="n">
        <f aca="false">AB209*AE209</f>
        <v>7.40067835833135E-006</v>
      </c>
      <c r="AG209" s="0" t="n">
        <f aca="false">AG208+AF208</f>
        <v>0.00311608556299135</v>
      </c>
      <c r="AH209" s="0" t="n">
        <f aca="false">AC209*AE209</f>
        <v>-1.68113609971799E-005</v>
      </c>
      <c r="AI209" s="0" t="n">
        <f aca="false">AI208+AH208</f>
        <v>0.00362903327484848</v>
      </c>
      <c r="AJ209" s="6" t="n">
        <f aca="false">Y209/$P$5</f>
        <v>0.856</v>
      </c>
      <c r="AK209" s="0" t="n">
        <f aca="false">SQRT(AG209^2+AI209^2)</f>
        <v>0.00478329089078227</v>
      </c>
      <c r="AL209" s="0" t="n">
        <f aca="false">$W$5*(Y209/$V$5-Z209)</f>
        <v>0.00370500426319409</v>
      </c>
      <c r="AM209" s="0" t="n">
        <f aca="false">SQRT(AK209^2+AL209^2)</f>
        <v>0.00605036596712356</v>
      </c>
      <c r="AN209" s="2" t="n">
        <f aca="false">Y209</f>
        <v>856</v>
      </c>
      <c r="AO209" s="0" t="n">
        <f aca="false">AM209/Z209</f>
        <v>0.00508043064933467</v>
      </c>
    </row>
    <row r="210" customFormat="false" ht="12.75" hidden="false" customHeight="false" outlineLevel="0" collapsed="false">
      <c r="Y210" s="0" t="n">
        <f aca="false">Y209+$X$5</f>
        <v>860</v>
      </c>
      <c r="Z210" s="0" t="n">
        <f aca="false">(Y210/$V$5)^$O$5</f>
        <v>1.19123267277567</v>
      </c>
      <c r="AA210" s="0" t="n">
        <f aca="false">$Q$5*(Y210-$V$5)</f>
        <v>5.15221195188726</v>
      </c>
      <c r="AB210" s="0" t="n">
        <f aca="false">COS(AA210)</f>
        <v>0.425779291565073</v>
      </c>
      <c r="AC210" s="0" t="n">
        <f aca="false">SIN(AA210)</f>
        <v>-0.90482705246602</v>
      </c>
      <c r="AD210" s="0" t="n">
        <f aca="false">$T$5*(Z210-1)</f>
        <v>0.00811975315630012</v>
      </c>
      <c r="AE210" s="0" t="n">
        <f aca="false">2*$T$5*$U$5*Z210*$X$5/(Y210+Y211)</f>
        <v>1.82878574011429E-005</v>
      </c>
      <c r="AF210" s="0" t="n">
        <f aca="false">AB210*AE210</f>
        <v>7.78659096850168E-006</v>
      </c>
      <c r="AG210" s="0" t="n">
        <f aca="false">AG209+AF209</f>
        <v>0.00312348624134968</v>
      </c>
      <c r="AH210" s="0" t="n">
        <f aca="false">AC210*AE210</f>
        <v>-1.6547348108195E-005</v>
      </c>
      <c r="AI210" s="0" t="n">
        <f aca="false">AI209+AH209</f>
        <v>0.0036122219138513</v>
      </c>
      <c r="AJ210" s="6" t="n">
        <f aca="false">Y210/$P$5</f>
        <v>0.86</v>
      </c>
      <c r="AK210" s="0" t="n">
        <f aca="false">SQRT(AG210^2+AI210^2)</f>
        <v>0.00477538621001572</v>
      </c>
      <c r="AL210" s="0" t="n">
        <f aca="false">$W$5*(Y210/$V$5-Z210)</f>
        <v>0.00372327956059875</v>
      </c>
      <c r="AM210" s="0" t="n">
        <f aca="false">SQRT(AK210^2+AL210^2)</f>
        <v>0.00605533848279192</v>
      </c>
      <c r="AN210" s="2" t="n">
        <f aca="false">Y210</f>
        <v>860</v>
      </c>
      <c r="AO210" s="0" t="n">
        <f aca="false">AM210/Z210</f>
        <v>0.00508325419641361</v>
      </c>
    </row>
    <row r="211" customFormat="false" ht="12.75" hidden="false" customHeight="false" outlineLevel="0" collapsed="false">
      <c r="Y211" s="0" t="n">
        <f aca="false">Y210+$X$5</f>
        <v>864</v>
      </c>
      <c r="Z211" s="0" t="n">
        <f aca="false">(Y211/$V$5)^$O$5</f>
        <v>1.19154799498308</v>
      </c>
      <c r="AA211" s="0" t="n">
        <f aca="false">$Q$5*(Y211-$V$5)</f>
        <v>5.17734469311598</v>
      </c>
      <c r="AB211" s="0" t="n">
        <f aca="false">COS(AA211)</f>
        <v>0.448383216090032</v>
      </c>
      <c r="AC211" s="0" t="n">
        <f aca="false">SIN(AA211)</f>
        <v>-0.893841424151264</v>
      </c>
      <c r="AD211" s="0" t="n">
        <f aca="false">$T$5*(Z211-1)</f>
        <v>0.0081331417600972</v>
      </c>
      <c r="AE211" s="0" t="n">
        <f aca="false">2*$T$5*$U$5*Z211*$X$5/(Y211+Y212)</f>
        <v>1.82082054092827E-005</v>
      </c>
      <c r="AF211" s="0" t="n">
        <f aca="false">AB211*AE211</f>
        <v>8.16425370064212E-006</v>
      </c>
      <c r="AG211" s="0" t="n">
        <f aca="false">AG210+AF210</f>
        <v>0.00313127283231818</v>
      </c>
      <c r="AH211" s="0" t="n">
        <f aca="false">AC211*AE211</f>
        <v>-1.6275248254272E-005</v>
      </c>
      <c r="AI211" s="0" t="n">
        <f aca="false">AI210+AH210</f>
        <v>0.00359567456574311</v>
      </c>
      <c r="AJ211" s="6" t="n">
        <f aca="false">Y211/$P$5</f>
        <v>0.864</v>
      </c>
      <c r="AK211" s="0" t="n">
        <f aca="false">SQRT(AG211^2+AI211^2)</f>
        <v>0.00476799172955929</v>
      </c>
      <c r="AL211" s="0" t="n">
        <f aca="false">$W$5*(Y211/$V$5-Z211)</f>
        <v>0.00374155511210564</v>
      </c>
      <c r="AM211" s="0" t="n">
        <f aca="false">SQRT(AK211^2+AL211^2)</f>
        <v>0.00606077386066084</v>
      </c>
      <c r="AN211" s="2" t="n">
        <f aca="false">Y211</f>
        <v>864</v>
      </c>
      <c r="AO211" s="0" t="n">
        <f aca="false">AM211/Z211</f>
        <v>0.00508647061316813</v>
      </c>
    </row>
    <row r="212" customFormat="false" ht="12.75" hidden="false" customHeight="false" outlineLevel="0" collapsed="false">
      <c r="Y212" s="0" t="n">
        <f aca="false">Y211+$X$5</f>
        <v>868</v>
      </c>
      <c r="Z212" s="0" t="n">
        <f aca="false">(Y212/$V$5)^$O$5</f>
        <v>1.19186194362081</v>
      </c>
      <c r="AA212" s="0" t="n">
        <f aca="false">$Q$5*(Y212-$V$5)</f>
        <v>5.2024774343447</v>
      </c>
      <c r="AB212" s="0" t="n">
        <f aca="false">COS(AA212)</f>
        <v>0.470703932165333</v>
      </c>
      <c r="AC212" s="0" t="n">
        <f aca="false">SIN(AA212)</f>
        <v>-0.882291226434953</v>
      </c>
      <c r="AD212" s="0" t="n">
        <f aca="false">$T$5*(Z212-1)</f>
        <v>0.00814647204202606</v>
      </c>
      <c r="AE212" s="0" t="n">
        <f aca="false">2*$T$5*$U$5*Z212*$X$5/(Y212+Y213)</f>
        <v>1.81292649563327E-005</v>
      </c>
      <c r="AF212" s="0" t="n">
        <f aca="false">AB212*AE212</f>
        <v>8.533516302213E-006</v>
      </c>
      <c r="AG212" s="0" t="n">
        <f aca="false">AG211+AF211</f>
        <v>0.00313943708601882</v>
      </c>
      <c r="AH212" s="0" t="n">
        <f aca="false">AC212*AE212</f>
        <v>-1.5995291412687E-005</v>
      </c>
      <c r="AI212" s="0" t="n">
        <f aca="false">AI211+AH211</f>
        <v>0.00357939931748884</v>
      </c>
      <c r="AJ212" s="6" t="n">
        <f aca="false">Y212/$P$5</f>
        <v>0.868</v>
      </c>
      <c r="AK212" s="0" t="n">
        <f aca="false">SQRT(AG212^2+AI212^2)</f>
        <v>0.00476110960713045</v>
      </c>
      <c r="AL212" s="0" t="n">
        <f aca="false">$W$5*(Y212/$V$5-Z212)</f>
        <v>0.00375983091543401</v>
      </c>
      <c r="AM212" s="0" t="n">
        <f aca="false">SQRT(AK212^2+AL212^2)</f>
        <v>0.00606667068529051</v>
      </c>
      <c r="AN212" s="2" t="n">
        <f aca="false">Y212</f>
        <v>868</v>
      </c>
      <c r="AO212" s="0" t="n">
        <f aca="false">AM212/Z212</f>
        <v>0.00509007835828731</v>
      </c>
    </row>
    <row r="213" customFormat="false" ht="12.75" hidden="false" customHeight="false" outlineLevel="0" collapsed="false">
      <c r="Y213" s="0" t="n">
        <f aca="false">Y212+$X$5</f>
        <v>872</v>
      </c>
      <c r="Z213" s="0" t="n">
        <f aca="false">(Y213/$V$5)^$O$5</f>
        <v>1.19217453096086</v>
      </c>
      <c r="AA213" s="0" t="n">
        <f aca="false">$Q$5*(Y213-$V$5)</f>
        <v>5.22761017557342</v>
      </c>
      <c r="AB213" s="0" t="n">
        <f aca="false">COS(AA213)</f>
        <v>0.492727341548291</v>
      </c>
      <c r="AC213" s="0" t="n">
        <f aca="false">SIN(AA213)</f>
        <v>-0.870183754669526</v>
      </c>
      <c r="AD213" s="0" t="n">
        <f aca="false">$T$5*(Z213-1)</f>
        <v>0.00815974452315701</v>
      </c>
      <c r="AE213" s="0" t="n">
        <f aca="false">2*$T$5*$U$5*Z213*$X$5/(Y213+Y214)</f>
        <v>1.80510264586936E-005</v>
      </c>
      <c r="AF213" s="0" t="n">
        <f aca="false">AB213*AE213</f>
        <v>8.89423427920998E-006</v>
      </c>
      <c r="AG213" s="0" t="n">
        <f aca="false">AG212+AF212</f>
        <v>0.00314797060232104</v>
      </c>
      <c r="AH213" s="0" t="n">
        <f aca="false">AC213*AE213</f>
        <v>-1.5707709979465E-005</v>
      </c>
      <c r="AI213" s="0" t="n">
        <f aca="false">AI212+AH212</f>
        <v>0.00356340402607615</v>
      </c>
      <c r="AJ213" s="6" t="n">
        <f aca="false">Y213/$P$5</f>
        <v>0.872</v>
      </c>
      <c r="AK213" s="0" t="n">
        <f aca="false">SQRT(AG213^2+AI213^2)</f>
        <v>0.00475474154567135</v>
      </c>
      <c r="AL213" s="0" t="n">
        <f aca="false">$W$5*(Y213/$V$5-Z213)</f>
        <v>0.00377810696833399</v>
      </c>
      <c r="AM213" s="0" t="n">
        <f aca="false">SQRT(AK213^2+AL213^2)</f>
        <v>0.00607302720480544</v>
      </c>
      <c r="AN213" s="2" t="n">
        <f aca="false">Y213</f>
        <v>872</v>
      </c>
      <c r="AO213" s="0" t="n">
        <f aca="false">AM213/Z213</f>
        <v>0.00509407561316609</v>
      </c>
    </row>
    <row r="214" customFormat="false" ht="12.75" hidden="false" customHeight="false" outlineLevel="0" collapsed="false">
      <c r="Y214" s="0" t="n">
        <f aca="false">Y213+$X$5</f>
        <v>876</v>
      </c>
      <c r="Z214" s="0" t="n">
        <f aca="false">(Y214/$V$5)^$O$5</f>
        <v>1.19248576910994</v>
      </c>
      <c r="AA214" s="0" t="n">
        <f aca="false">$Q$5*(Y214-$V$5)</f>
        <v>5.25274291680213</v>
      </c>
      <c r="AB214" s="0" t="n">
        <f aca="false">COS(AA214)</f>
        <v>0.514439533781506</v>
      </c>
      <c r="AC214" s="0" t="n">
        <f aca="false">SIN(AA214)</f>
        <v>-0.857526656193652</v>
      </c>
      <c r="AD214" s="0" t="n">
        <f aca="false">$T$5*(Z214-1)</f>
        <v>0.00817295971754109</v>
      </c>
      <c r="AE214" s="0" t="n">
        <f aca="false">2*$T$5*$U$5*Z214*$X$5/(Y214+Y215)</f>
        <v>1.79734805049186E-005</v>
      </c>
      <c r="AF214" s="0" t="n">
        <f aca="false">AB214*AE214</f>
        <v>9.24626893138132E-006</v>
      </c>
      <c r="AG214" s="0" t="n">
        <f aca="false">AG213+AF213</f>
        <v>0.00315686483660025</v>
      </c>
      <c r="AH214" s="0" t="n">
        <f aca="false">AC214*AE214</f>
        <v>-1.54127386375446E-005</v>
      </c>
      <c r="AI214" s="0" t="n">
        <f aca="false">AI213+AH213</f>
        <v>0.00354769631609668</v>
      </c>
      <c r="AJ214" s="6" t="n">
        <f aca="false">Y214/$P$5</f>
        <v>0.876</v>
      </c>
      <c r="AK214" s="0" t="n">
        <f aca="false">SQRT(AG214^2+AI214^2)</f>
        <v>0.00474888879084456</v>
      </c>
      <c r="AL214" s="0" t="n">
        <f aca="false">$W$5*(Y214/$V$5-Z214)</f>
        <v>0.00379638326858602</v>
      </c>
      <c r="AM214" s="0" t="n">
        <f aca="false">SQRT(AK214^2+AL214^2)</f>
        <v>0.00607984133590745</v>
      </c>
      <c r="AN214" s="2" t="n">
        <f aca="false">Y214</f>
        <v>876</v>
      </c>
      <c r="AO214" s="0" t="n">
        <f aca="false">AM214/Z214</f>
        <v>0.00509846028640275</v>
      </c>
    </row>
    <row r="215" customFormat="false" ht="12.75" hidden="false" customHeight="false" outlineLevel="0" collapsed="false">
      <c r="Y215" s="0" t="n">
        <f aca="false">Y214+$X$5</f>
        <v>880</v>
      </c>
      <c r="Z215" s="0" t="n">
        <f aca="false">(Y215/$V$5)^$O$5</f>
        <v>1.19279567001238</v>
      </c>
      <c r="AA215" s="0" t="n">
        <f aca="false">$Q$5*(Y215-$V$5)</f>
        <v>5.27787565803085</v>
      </c>
      <c r="AB215" s="0" t="n">
        <f aca="false">COS(AA215)</f>
        <v>0.535826794978997</v>
      </c>
      <c r="AC215" s="0" t="n">
        <f aca="false">SIN(AA215)</f>
        <v>-0.844327925502015</v>
      </c>
      <c r="AD215" s="0" t="n">
        <f aca="false">$T$5*(Z215-1)</f>
        <v>0.00818611813233626</v>
      </c>
      <c r="AE215" s="0" t="n">
        <f aca="false">2*$T$5*$U$5*Z215*$X$5/(Y215+Y216)</f>
        <v>1.78966178518543E-005</v>
      </c>
      <c r="AF215" s="0" t="n">
        <f aca="false">AB215*AE215</f>
        <v>9.589487384523E-006</v>
      </c>
      <c r="AG215" s="0" t="n">
        <f aca="false">AG214+AF214</f>
        <v>0.00316611110553163</v>
      </c>
      <c r="AH215" s="0" t="n">
        <f aca="false">AC215*AE215</f>
        <v>-1.51106142243585E-005</v>
      </c>
      <c r="AI215" s="0" t="n">
        <f aca="false">AI214+AH214</f>
        <v>0.00353228357745914</v>
      </c>
      <c r="AJ215" s="6" t="n">
        <f aca="false">Y215/$P$5</f>
        <v>0.88</v>
      </c>
      <c r="AK215" s="0" t="n">
        <f aca="false">SQRT(AG215^2+AI215^2)</f>
        <v>0.00474355212938134</v>
      </c>
      <c r="AL215" s="0" t="n">
        <f aca="false">$W$5*(Y215/$V$5-Z215)</f>
        <v>0.00381465981400029</v>
      </c>
      <c r="AM215" s="0" t="n">
        <f aca="false">SQRT(AK215^2+AL215^2)</f>
        <v>0.00608711066933295</v>
      </c>
      <c r="AN215" s="2" t="n">
        <f aca="false">Y215</f>
        <v>880</v>
      </c>
      <c r="AO215" s="0" t="n">
        <f aca="false">AM215/Z215</f>
        <v>0.0051032300186584</v>
      </c>
    </row>
    <row r="216" customFormat="false" ht="12.75" hidden="false" customHeight="false" outlineLevel="0" collapsed="false">
      <c r="Y216" s="0" t="n">
        <f aca="false">Y215+$X$5</f>
        <v>884</v>
      </c>
      <c r="Z216" s="0" t="n">
        <f aca="false">(Y216/$V$5)^$O$5</f>
        <v>1.19310424545311</v>
      </c>
      <c r="AA216" s="0" t="n">
        <f aca="false">$Q$5*(Y216-$V$5)</f>
        <v>5.30300839925957</v>
      </c>
      <c r="AB216" s="0" t="n">
        <f aca="false">COS(AA216)</f>
        <v>0.556875616488188</v>
      </c>
      <c r="AC216" s="0" t="n">
        <f aca="false">SIN(AA216)</f>
        <v>-0.830595899195812</v>
      </c>
      <c r="AD216" s="0" t="n">
        <f aca="false">$T$5*(Z216-1)</f>
        <v>0.00819922026793061</v>
      </c>
      <c r="AE216" s="0" t="n">
        <f aca="false">2*$T$5*$U$5*Z216*$X$5/(Y216+Y217)</f>
        <v>1.78204294208852E-005</v>
      </c>
      <c r="AF216" s="0" t="n">
        <f aca="false">AB216*AE216</f>
        <v>9.9237626198397E-006</v>
      </c>
      <c r="AG216" s="0" t="n">
        <f aca="false">AG215+AF215</f>
        <v>0.00317570059291615</v>
      </c>
      <c r="AH216" s="0" t="n">
        <f aca="false">AC216*AE216</f>
        <v>-1.48015755988957E-005</v>
      </c>
      <c r="AI216" s="0" t="n">
        <f aca="false">AI215+AH215</f>
        <v>0.00351717296323478</v>
      </c>
      <c r="AJ216" s="6" t="n">
        <f aca="false">Y216/$P$5</f>
        <v>0.884</v>
      </c>
      <c r="AK216" s="0" t="n">
        <f aca="false">SQRT(AG216^2+AI216^2)</f>
        <v>0.00473873188829646</v>
      </c>
      <c r="AL216" s="0" t="n">
        <f aca="false">$W$5*(Y216/$V$5-Z216)</f>
        <v>0.00383293660241625</v>
      </c>
      <c r="AM216" s="0" t="n">
        <f aca="false">SQRT(AK216^2+AL216^2)</f>
        <v>0.00609483247573713</v>
      </c>
      <c r="AN216" s="2" t="n">
        <f aca="false">Y216</f>
        <v>884</v>
      </c>
      <c r="AO216" s="0" t="n">
        <f aca="false">AM216/Z216</f>
        <v>0.00510838218786363</v>
      </c>
    </row>
    <row r="217" customFormat="false" ht="12.75" hidden="false" customHeight="false" outlineLevel="0" collapsed="false">
      <c r="Y217" s="0" t="n">
        <f aca="false">Y216+$X$5</f>
        <v>888</v>
      </c>
      <c r="Z217" s="0" t="n">
        <f aca="false">(Y217/$V$5)^$O$5</f>
        <v>1.19341150706042</v>
      </c>
      <c r="AA217" s="0" t="n">
        <f aca="false">$Q$5*(Y217-$V$5)</f>
        <v>5.32814114048829</v>
      </c>
      <c r="AB217" s="0" t="n">
        <f aca="false">COS(AA217)</f>
        <v>0.577572703422267</v>
      </c>
      <c r="AC217" s="0" t="n">
        <f aca="false">SIN(AA217)</f>
        <v>-0.816339250717184</v>
      </c>
      <c r="AD217" s="0" t="n">
        <f aca="false">$T$5*(Z217-1)</f>
        <v>0.00821226661806288</v>
      </c>
      <c r="AE217" s="0" t="n">
        <f aca="false">2*$T$5*$U$5*Z217*$X$5/(Y217+Y218)</f>
        <v>1.77449062942783E-005</v>
      </c>
      <c r="AF217" s="0" t="n">
        <f aca="false">AB217*AE217</f>
        <v>1.02489735003611E-005</v>
      </c>
      <c r="AG217" s="0" t="n">
        <f aca="false">AG216+AF216</f>
        <v>0.00318562435553599</v>
      </c>
      <c r="AH217" s="0" t="n">
        <f aca="false">AC217*AE217</f>
        <v>-1.44858635083178E-005</v>
      </c>
      <c r="AI217" s="0" t="n">
        <f aca="false">AI216+AH216</f>
        <v>0.00350237138763588</v>
      </c>
      <c r="AJ217" s="6" t="n">
        <f aca="false">Y217/$P$5</f>
        <v>0.888</v>
      </c>
      <c r="AK217" s="0" t="n">
        <f aca="false">SQRT(AG217^2+AI217^2)</f>
        <v>0.00473442793497954</v>
      </c>
      <c r="AL217" s="0" t="n">
        <f aca="false">$W$5*(Y217/$V$5-Z217)</f>
        <v>0.00385121363170202</v>
      </c>
      <c r="AM217" s="0" t="n">
        <f aca="false">SQRT(AK217^2+AL217^2)</f>
        <v>0.00610300371198659</v>
      </c>
      <c r="AN217" s="2" t="n">
        <f aca="false">Y217</f>
        <v>888</v>
      </c>
      <c r="AO217" s="0" t="n">
        <f aca="false">AM217/Z217</f>
        <v>0.00511391391475633</v>
      </c>
    </row>
    <row r="218" customFormat="false" ht="12.75" hidden="false" customHeight="false" outlineLevel="0" collapsed="false">
      <c r="Y218" s="0" t="n">
        <f aca="false">Y217+$X$5</f>
        <v>892</v>
      </c>
      <c r="Z218" s="0" t="n">
        <f aca="false">(Y218/$V$5)^$O$5</f>
        <v>1.19371746630879</v>
      </c>
      <c r="AA218" s="0" t="n">
        <f aca="false">$Q$5*(Y218-$V$5)</f>
        <v>5.35327388171701</v>
      </c>
      <c r="AB218" s="0" t="n">
        <f aca="false">COS(AA218)</f>
        <v>0.597904983057519</v>
      </c>
      <c r="AC218" s="0" t="n">
        <f aca="false">SIN(AA218)</f>
        <v>-0.801566984870877</v>
      </c>
      <c r="AD218" s="0" t="n">
        <f aca="false">$T$5*(Z218-1)</f>
        <v>0.0082252576699404</v>
      </c>
      <c r="AE218" s="0" t="n">
        <f aca="false">2*$T$5*$U$5*Z218*$X$5/(Y218+Y219)</f>
        <v>1.7670039711625E-005</v>
      </c>
      <c r="AF218" s="0" t="n">
        <f aca="false">AB218*AE218</f>
        <v>1.05650047944048E-005</v>
      </c>
      <c r="AG218" s="0" t="n">
        <f aca="false">AG217+AF217</f>
        <v>0.00319587332903635</v>
      </c>
      <c r="AH218" s="0" t="n">
        <f aca="false">AC218*AE218</f>
        <v>-1.41637204541959E-005</v>
      </c>
      <c r="AI218" s="0" t="n">
        <f aca="false">AI217+AH217</f>
        <v>0.00348788552412757</v>
      </c>
      <c r="AJ218" s="6" t="n">
        <f aca="false">Y218/$P$5</f>
        <v>0.892</v>
      </c>
      <c r="AK218" s="0" t="n">
        <f aca="false">SQRT(AG218^2+AI218^2)</f>
        <v>0.00473063967816875</v>
      </c>
      <c r="AL218" s="0" t="n">
        <f aca="false">$W$5*(Y218/$V$5-Z218)</f>
        <v>0.00386949089975395</v>
      </c>
      <c r="AM218" s="0" t="n">
        <f aca="false">SQRT(AK218^2+AL218^2)</f>
        <v>0.00611162102784058</v>
      </c>
      <c r="AN218" s="2" t="n">
        <f aca="false">Y218</f>
        <v>892</v>
      </c>
      <c r="AO218" s="0" t="n">
        <f aca="false">AM218/Z218</f>
        <v>0.00511982206873366</v>
      </c>
    </row>
    <row r="219" customFormat="false" ht="12.75" hidden="false" customHeight="false" outlineLevel="0" collapsed="false">
      <c r="Y219" s="0" t="n">
        <f aca="false">Y218+$X$5</f>
        <v>896</v>
      </c>
      <c r="Z219" s="0" t="n">
        <f aca="false">(Y219/$V$5)^$O$5</f>
        <v>1.19402213452161</v>
      </c>
      <c r="AA219" s="0" t="n">
        <f aca="false">$Q$5*(Y219-$V$5)</f>
        <v>5.37840662294573</v>
      </c>
      <c r="AB219" s="0" t="n">
        <f aca="false">COS(AA219)</f>
        <v>0.617859613090334</v>
      </c>
      <c r="AC219" s="0" t="n">
        <f aca="false">SIN(AA219)</f>
        <v>-0.786288432136619</v>
      </c>
      <c r="AD219" s="0" t="n">
        <f aca="false">$T$5*(Z219-1)</f>
        <v>0.00823819390435424</v>
      </c>
      <c r="AE219" s="0" t="n">
        <f aca="false">2*$T$5*$U$5*Z219*$X$5/(Y219+Y220)</f>
        <v>1.75958210663774E-005</v>
      </c>
      <c r="AF219" s="0" t="n">
        <f aca="false">AB219*AE219</f>
        <v>1.08717471960787E-005</v>
      </c>
      <c r="AG219" s="0" t="n">
        <f aca="false">AG218+AF218</f>
        <v>0.00320643833383076</v>
      </c>
      <c r="AH219" s="0" t="n">
        <f aca="false">AC219*AE219</f>
        <v>-1.38353905584384E-005</v>
      </c>
      <c r="AI219" s="0" t="n">
        <f aca="false">AI218+AH218</f>
        <v>0.00347372180367337</v>
      </c>
      <c r="AJ219" s="6" t="n">
        <f aca="false">Y219/$P$5</f>
        <v>0.896</v>
      </c>
      <c r="AK219" s="0" t="n">
        <f aca="false">SQRT(AG219^2+AI219^2)</f>
        <v>0.00472736606980834</v>
      </c>
      <c r="AL219" s="0" t="n">
        <f aca="false">$W$5*(Y219/$V$5-Z219)</f>
        <v>0.00388776840449609</v>
      </c>
      <c r="AM219" s="0" t="n">
        <f aca="false">SQRT(AK219^2+AL219^2)</f>
        <v>0.00612068077300011</v>
      </c>
      <c r="AN219" s="2" t="n">
        <f aca="false">Y219</f>
        <v>896</v>
      </c>
      <c r="AO219" s="0" t="n">
        <f aca="false">AM219/Z219</f>
        <v>0.00512610327400037</v>
      </c>
    </row>
    <row r="220" customFormat="false" ht="12.75" hidden="false" customHeight="false" outlineLevel="0" collapsed="false">
      <c r="Y220" s="0" t="n">
        <f aca="false">Y219+$X$5</f>
        <v>900</v>
      </c>
      <c r="Z220" s="0" t="n">
        <f aca="false">(Y220/$V$5)^$O$5</f>
        <v>1.19432552287377</v>
      </c>
      <c r="AA220" s="0" t="n">
        <f aca="false">$Q$5*(Y220-$V$5)</f>
        <v>5.40353936417445</v>
      </c>
      <c r="AB220" s="0" t="n">
        <f aca="false">COS(AA220)</f>
        <v>0.63742398974869</v>
      </c>
      <c r="AC220" s="0" t="n">
        <f aca="false">SIN(AA220)</f>
        <v>-0.770513242775789</v>
      </c>
      <c r="AD220" s="0" t="n">
        <f aca="false">$T$5*(Z220-1)</f>
        <v>0.00825107579579194</v>
      </c>
      <c r="AE220" s="0" t="n">
        <f aca="false">2*$T$5*$U$5*Z220*$X$5/(Y220+Y221)</f>
        <v>1.75222419024756E-005</v>
      </c>
      <c r="AF220" s="0" t="n">
        <f aca="false">AB220*AE220</f>
        <v>1.11690973428176E-005</v>
      </c>
      <c r="AG220" s="0" t="n">
        <f aca="false">AG219+AF219</f>
        <v>0.00321731008102684</v>
      </c>
      <c r="AH220" s="0" t="n">
        <f aca="false">AC220*AE220</f>
        <v>-1.35011194289783E-005</v>
      </c>
      <c r="AI220" s="0" t="n">
        <f aca="false">AI219+AH219</f>
        <v>0.00345988641311493</v>
      </c>
      <c r="AJ220" s="6" t="n">
        <f aca="false">Y220/$P$5</f>
        <v>0.9</v>
      </c>
      <c r="AK220" s="0" t="n">
        <f aca="false">SQRT(AG220^2+AI220^2)</f>
        <v>0.0047246056077872</v>
      </c>
      <c r="AL220" s="0" t="n">
        <f aca="false">$W$5*(Y220/$V$5-Z220)</f>
        <v>0.0039060461438797</v>
      </c>
      <c r="AM220" s="0" t="n">
        <f aca="false">SQRT(AK220^2+AL220^2)</f>
        <v>0.00613017900450319</v>
      </c>
      <c r="AN220" s="2" t="n">
        <f aca="false">Y220</f>
        <v>900</v>
      </c>
      <c r="AO220" s="0" t="n">
        <f aca="false">AM220/Z220</f>
        <v>0.00513275391599508</v>
      </c>
    </row>
    <row r="221" customFormat="false" ht="12.75" hidden="false" customHeight="false" outlineLevel="0" collapsed="false">
      <c r="Y221" s="0" t="n">
        <f aca="false">Y220+$X$5</f>
        <v>904</v>
      </c>
      <c r="Z221" s="0" t="n">
        <f aca="false">(Y221/$V$5)^$O$5</f>
        <v>1.19462764239432</v>
      </c>
      <c r="AA221" s="0" t="n">
        <f aca="false">$Q$5*(Y221-$V$5)</f>
        <v>5.42867210540316</v>
      </c>
      <c r="AB221" s="0" t="n">
        <f aca="false">COS(AA221)</f>
        <v>0.656585755752957</v>
      </c>
      <c r="AC221" s="0" t="n">
        <f aca="false">SIN(AA221)</f>
        <v>-0.754251380736103</v>
      </c>
      <c r="AD221" s="0" t="n">
        <f aca="false">$T$5*(Z221-1)</f>
        <v>0.00826390381254776</v>
      </c>
      <c r="AE221" s="0" t="n">
        <f aca="false">2*$T$5*$U$5*Z221*$X$5/(Y221+Y222)</f>
        <v>1.74492939110633E-005</v>
      </c>
      <c r="AF221" s="0" t="n">
        <f aca="false">AB221*AE221</f>
        <v>1.1456957829951E-005</v>
      </c>
      <c r="AG221" s="0" t="n">
        <f aca="false">AG220+AF220</f>
        <v>0.00322847917836965</v>
      </c>
      <c r="AH221" s="0" t="n">
        <f aca="false">AC221*AE221</f>
        <v>-1.31611540252896E-005</v>
      </c>
      <c r="AI221" s="0" t="n">
        <f aca="false">AI220+AH220</f>
        <v>0.00344638529368595</v>
      </c>
      <c r="AJ221" s="6" t="n">
        <f aca="false">Y221/$P$5</f>
        <v>0.904</v>
      </c>
      <c r="AK221" s="0" t="n">
        <f aca="false">SQRT(AG221^2+AI221^2)</f>
        <v>0.00472235633955139</v>
      </c>
      <c r="AL221" s="0" t="n">
        <f aca="false">$W$5*(Y221/$V$5-Z221)</f>
        <v>0.00392432411588278</v>
      </c>
      <c r="AM221" s="0" t="n">
        <f aca="false">SQRT(AK221^2+AL221^2)</f>
        <v>0.00614011149444376</v>
      </c>
      <c r="AN221" s="2" t="n">
        <f aca="false">Y221</f>
        <v>904</v>
      </c>
      <c r="AO221" s="0" t="n">
        <f aca="false">AM221/Z221</f>
        <v>0.00513977014807517</v>
      </c>
    </row>
    <row r="222" customFormat="false" ht="12.75" hidden="false" customHeight="false" outlineLevel="0" collapsed="false">
      <c r="Y222" s="0" t="n">
        <f aca="false">Y221+$X$5</f>
        <v>908</v>
      </c>
      <c r="Z222" s="0" t="n">
        <f aca="false">(Y222/$V$5)^$O$5</f>
        <v>1.19492850396901</v>
      </c>
      <c r="AA222" s="0" t="n">
        <f aca="false">$Q$5*(Y222-$V$5)</f>
        <v>5.45380484663188</v>
      </c>
      <c r="AB222" s="0" t="n">
        <f aca="false">COS(AA222)</f>
        <v>0.675332808121024</v>
      </c>
      <c r="AC222" s="0" t="n">
        <f aca="false">SIN(AA222)</f>
        <v>-0.737513117358174</v>
      </c>
      <c r="AD222" s="0" t="n">
        <f aca="false">$T$5*(Z222-1)</f>
        <v>0.00827667841683052</v>
      </c>
      <c r="AE222" s="0" t="n">
        <f aca="false">2*$T$5*$U$5*Z222*$X$5/(Y222+Y223)</f>
        <v>1.73769689272901E-005</v>
      </c>
      <c r="AF222" s="0" t="n">
        <f aca="false">AB222*AE222</f>
        <v>1.17352372222986E-005</v>
      </c>
      <c r="AG222" s="0" t="n">
        <f aca="false">AG221+AF221</f>
        <v>0.0032399361361996</v>
      </c>
      <c r="AH222" s="0" t="n">
        <f aca="false">AC222*AE222</f>
        <v>-1.28157425238019E-005</v>
      </c>
      <c r="AI222" s="0" t="n">
        <f aca="false">AI221+AH221</f>
        <v>0.00343322413966066</v>
      </c>
      <c r="AJ222" s="6" t="n">
        <f aca="false">Y222/$P$5</f>
        <v>0.908</v>
      </c>
      <c r="AK222" s="0" t="n">
        <f aca="false">SQRT(AG222^2+AI222^2)</f>
        <v>0.00472061586657935</v>
      </c>
      <c r="AL222" s="0" t="n">
        <f aca="false">$W$5*(Y222/$V$5-Z222)</f>
        <v>0.00394260231850962</v>
      </c>
      <c r="AM222" s="0" t="n">
        <f aca="false">SQRT(AK222^2+AL222^2)</f>
        <v>0.0061504737379911</v>
      </c>
      <c r="AN222" s="2" t="n">
        <f aca="false">Y222</f>
        <v>908</v>
      </c>
      <c r="AO222" s="0" t="n">
        <f aca="false">AM222/Z222</f>
        <v>0.00514714789844081</v>
      </c>
    </row>
    <row r="223" customFormat="false" ht="12.75" hidden="false" customHeight="false" outlineLevel="0" collapsed="false">
      <c r="Y223" s="0" t="n">
        <f aca="false">Y222+$X$5</f>
        <v>912</v>
      </c>
      <c r="Z223" s="0" t="n">
        <f aca="false">(Y223/$V$5)^$O$5</f>
        <v>1.19522811834271</v>
      </c>
      <c r="AA223" s="0" t="n">
        <f aca="false">$Q$5*(Y223-$V$5)</f>
        <v>5.4789375878606</v>
      </c>
      <c r="AB223" s="0" t="n">
        <f aca="false">COS(AA223)</f>
        <v>0.693653305812805</v>
      </c>
      <c r="AC223" s="0" t="n">
        <f aca="false">SIN(AA223)</f>
        <v>-0.720309024887907</v>
      </c>
      <c r="AD223" s="0" t="n">
        <f aca="false">$T$5*(Z223-1)</f>
        <v>0.00828940006486904</v>
      </c>
      <c r="AE223" s="0" t="n">
        <f aca="false">2*$T$5*$U$5*Z223*$X$5/(Y223+Y224)</f>
        <v>1.73052589271959E-005</v>
      </c>
      <c r="AF223" s="0" t="n">
        <f aca="false">AB223*AE223</f>
        <v>1.2003850062796E-005</v>
      </c>
      <c r="AG223" s="0" t="n">
        <f aca="false">AG222+AF222</f>
        <v>0.0032516713734219</v>
      </c>
      <c r="AH223" s="0" t="n">
        <f aca="false">AC223*AE223</f>
        <v>-1.24651341832812E-005</v>
      </c>
      <c r="AI223" s="0" t="n">
        <f aca="false">AI222+AH222</f>
        <v>0.00342040839713686</v>
      </c>
      <c r="AJ223" s="6" t="n">
        <f aca="false">Y223/$P$5</f>
        <v>0.912</v>
      </c>
      <c r="AK223" s="0" t="n">
        <f aca="false">SQRT(AG223^2+AI223^2)</f>
        <v>0.0047193813497042</v>
      </c>
      <c r="AL223" s="0" t="n">
        <f aca="false">$W$5*(Y223/$V$5-Z223)</f>
        <v>0.00396088074979031</v>
      </c>
      <c r="AM223" s="0" t="n">
        <f aca="false">SQRT(AK223^2+AL223^2)</f>
        <v>0.00616126096168595</v>
      </c>
      <c r="AN223" s="2" t="n">
        <f aca="false">Y223</f>
        <v>912</v>
      </c>
      <c r="AO223" s="0" t="n">
        <f aca="false">AM223/Z223</f>
        <v>0.00515488287727794</v>
      </c>
    </row>
    <row r="224" customFormat="false" ht="12.75" hidden="false" customHeight="false" outlineLevel="0" collapsed="false">
      <c r="Y224" s="0" t="n">
        <f aca="false">Y223+$X$5</f>
        <v>916</v>
      </c>
      <c r="Z224" s="0" t="n">
        <f aca="false">(Y224/$V$5)^$O$5</f>
        <v>1.19552649612191</v>
      </c>
      <c r="AA224" s="0" t="n">
        <f aca="false">$Q$5*(Y224-$V$5)</f>
        <v>5.50407032908932</v>
      </c>
      <c r="AB224" s="0" t="n">
        <f aca="false">COS(AA224)</f>
        <v>0.711535677209286</v>
      </c>
      <c r="AC224" s="0" t="n">
        <f aca="false">SIN(AA224)</f>
        <v>-0.702649969798849</v>
      </c>
      <c r="AD224" s="0" t="n">
        <f aca="false">$T$5*(Z224-1)</f>
        <v>0.0083020692070154</v>
      </c>
      <c r="AE224" s="0" t="n">
        <f aca="false">2*$T$5*$U$5*Z224*$X$5/(Y224+Y225)</f>
        <v>1.72341560246765E-005</v>
      </c>
      <c r="AF224" s="0" t="n">
        <f aca="false">AB224*AE224</f>
        <v>1.22627168781486E-005</v>
      </c>
      <c r="AG224" s="0" t="n">
        <f aca="false">AG223+AF223</f>
        <v>0.0032636752234847</v>
      </c>
      <c r="AH224" s="0" t="n">
        <f aca="false">AC224*AE224</f>
        <v>-1.21095792102476E-005</v>
      </c>
      <c r="AI224" s="0" t="n">
        <f aca="false">AI223+AH223</f>
        <v>0.00340794326295358</v>
      </c>
      <c r="AJ224" s="6" t="n">
        <f aca="false">Y224/$P$5</f>
        <v>0.916</v>
      </c>
      <c r="AK224" s="0" t="n">
        <f aca="false">SQRT(AG224^2+AI224^2)</f>
        <v>0.00471864951526373</v>
      </c>
      <c r="AL224" s="0" t="n">
        <f aca="false">$W$5*(Y224/$V$5-Z224)</f>
        <v>0.00397915940778033</v>
      </c>
      <c r="AM224" s="0" t="n">
        <f aca="false">SQRT(AK224^2+AL224^2)</f>
        <v>0.00617246813198945</v>
      </c>
      <c r="AN224" s="2" t="n">
        <f aca="false">Y224</f>
        <v>916</v>
      </c>
      <c r="AO224" s="0" t="n">
        <f aca="false">AM224/Z224</f>
        <v>0.00516297058409993</v>
      </c>
    </row>
    <row r="225" customFormat="false" ht="12.75" hidden="false" customHeight="false" outlineLevel="0" collapsed="false">
      <c r="Y225" s="0" t="n">
        <f aca="false">Y224+$X$5</f>
        <v>920</v>
      </c>
      <c r="Z225" s="0" t="n">
        <f aca="false">(Y225/$V$5)^$O$5</f>
        <v>1.19582364777706</v>
      </c>
      <c r="AA225" s="0" t="n">
        <f aca="false">$Q$5*(Y225-$V$5)</f>
        <v>5.52920307031804</v>
      </c>
      <c r="AB225" s="0" t="n">
        <f aca="false">COS(AA225)</f>
        <v>0.728968627421412</v>
      </c>
      <c r="AC225" s="0" t="n">
        <f aca="false">SIN(AA225)</f>
        <v>-0.684547105928688</v>
      </c>
      <c r="AD225" s="0" t="n">
        <f aca="false">$T$5*(Z225-1)</f>
        <v>0.00831468628784587</v>
      </c>
      <c r="AE225" s="0" t="n">
        <f aca="false">2*$T$5*$U$5*Z225*$X$5/(Y225+Y226)</f>
        <v>1.71636524685273E-005</v>
      </c>
      <c r="AF225" s="0" t="n">
        <f aca="false">AB225*AE225</f>
        <v>1.25117641815204E-005</v>
      </c>
      <c r="AG225" s="0" t="n">
        <f aca="false">AG224+AF224</f>
        <v>0.00327593794036285</v>
      </c>
      <c r="AH225" s="0" t="n">
        <f aca="false">AC225*AE225</f>
        <v>-1.17493286244961E-005</v>
      </c>
      <c r="AI225" s="0" t="n">
        <f aca="false">AI224+AH224</f>
        <v>0.00339583368374333</v>
      </c>
      <c r="AJ225" s="6" t="n">
        <f aca="false">Y225/$P$5</f>
        <v>0.92</v>
      </c>
      <c r="AK225" s="0" t="n">
        <f aca="false">SQRT(AG225^2+AI225^2)</f>
        <v>0.00471841666205461</v>
      </c>
      <c r="AL225" s="0" t="n">
        <f aca="false">$W$5*(Y225/$V$5-Z225)</f>
        <v>0.0039974382905601</v>
      </c>
      <c r="AM225" s="0" t="n">
        <f aca="false">SQRT(AK225^2+AL225^2)</f>
        <v>0.00618408996406024</v>
      </c>
      <c r="AN225" s="2" t="n">
        <f aca="false">Y225</f>
        <v>920</v>
      </c>
      <c r="AO225" s="0" t="n">
        <f aca="false">AM225/Z225</f>
        <v>0.00517140631526728</v>
      </c>
    </row>
    <row r="226" customFormat="false" ht="12.75" hidden="false" customHeight="false" outlineLevel="0" collapsed="false">
      <c r="Y226" s="0" t="n">
        <f aca="false">Y225+$X$5</f>
        <v>924</v>
      </c>
      <c r="Z226" s="0" t="n">
        <f aca="false">(Y226/$V$5)^$O$5</f>
        <v>1.19611958364492</v>
      </c>
      <c r="AA226" s="0" t="n">
        <f aca="false">$Q$5*(Y226-$V$5)</f>
        <v>5.55433581154675</v>
      </c>
      <c r="AB226" s="0" t="n">
        <f aca="false">COS(AA226)</f>
        <v>0.745941145424182</v>
      </c>
      <c r="AC226" s="0" t="n">
        <f aca="false">SIN(AA226)</f>
        <v>-0.666011867434252</v>
      </c>
      <c r="AD226" s="0" t="n">
        <f aca="false">$T$5*(Z226-1)</f>
        <v>0.00832725174625975</v>
      </c>
      <c r="AE226" s="0" t="n">
        <f aca="false">2*$T$5*$U$5*Z226*$X$5/(Y226+Y227)</f>
        <v>1.70937406395633E-005</v>
      </c>
      <c r="AF226" s="0" t="n">
        <f aca="false">AB226*AE226</f>
        <v>1.27509244722597E-005</v>
      </c>
      <c r="AG226" s="0" t="n">
        <f aca="false">AG225+AF225</f>
        <v>0.00328844970454437</v>
      </c>
      <c r="AH226" s="0" t="n">
        <f aca="false">AC226*AE226</f>
        <v>-1.13846341247923E-005</v>
      </c>
      <c r="AI226" s="0" t="n">
        <f aca="false">AI225+AH225</f>
        <v>0.00338408435511884</v>
      </c>
      <c r="AJ226" s="6" t="n">
        <f aca="false">Y226/$P$5</f>
        <v>0.924</v>
      </c>
      <c r="AK226" s="0" t="n">
        <f aca="false">SQRT(AG226^2+AI226^2)</f>
        <v>0.00471867866906383</v>
      </c>
      <c r="AL226" s="0" t="n">
        <f aca="false">$W$5*(Y226/$V$5-Z226)</f>
        <v>0.00401571739623453</v>
      </c>
      <c r="AM226" s="0" t="n">
        <f aca="false">SQRT(AK226^2+AL226^2)</f>
        <v>0.00619612093073551</v>
      </c>
      <c r="AN226" s="2" t="n">
        <f aca="false">Y226</f>
        <v>924</v>
      </c>
      <c r="AO226" s="0" t="n">
        <f aca="false">AM226/Z226</f>
        <v>0.00518018517166498</v>
      </c>
    </row>
    <row r="227" customFormat="false" ht="12.75" hidden="false" customHeight="false" outlineLevel="0" collapsed="false">
      <c r="Y227" s="0" t="n">
        <f aca="false">Y226+$X$5</f>
        <v>928</v>
      </c>
      <c r="Z227" s="0" t="n">
        <f aca="false">(Y227/$V$5)^$O$5</f>
        <v>1.19641431393082</v>
      </c>
      <c r="AA227" s="0" t="n">
        <f aca="false">$Q$5*(Y227-$V$5)</f>
        <v>5.57946855277547</v>
      </c>
      <c r="AB227" s="0" t="n">
        <f aca="false">COS(AA227)</f>
        <v>0.762442511011448</v>
      </c>
      <c r="AC227" s="0" t="n">
        <f aca="false">SIN(AA227)</f>
        <v>-0.647055961569444</v>
      </c>
      <c r="AD227" s="0" t="n">
        <f aca="false">$T$5*(Z227-1)</f>
        <v>0.00833976601557606</v>
      </c>
      <c r="AE227" s="0" t="n">
        <f aca="false">2*$T$5*$U$5*Z227*$X$5/(Y227+Y228)</f>
        <v>1.7024413047812E-005</v>
      </c>
      <c r="AF227" s="0" t="n">
        <f aca="false">AB227*AE227</f>
        <v>1.29801362326698E-005</v>
      </c>
      <c r="AG227" s="0" t="n">
        <f aca="false">AG226+AF226</f>
        <v>0.00330120062901663</v>
      </c>
      <c r="AH227" s="0" t="n">
        <f aca="false">AC227*AE227</f>
        <v>-1.10157479548074E-005</v>
      </c>
      <c r="AI227" s="0" t="n">
        <f aca="false">AI226+AH226</f>
        <v>0.00337269972099405</v>
      </c>
      <c r="AJ227" s="6" t="n">
        <f aca="false">Y227/$P$5</f>
        <v>0.928</v>
      </c>
      <c r="AK227" s="0" t="n">
        <f aca="false">SQRT(AG227^2+AI227^2)</f>
        <v>0.00471943100394667</v>
      </c>
      <c r="AL227" s="0" t="n">
        <f aca="false">$W$5*(Y227/$V$5-Z227)</f>
        <v>0.00403399672293265</v>
      </c>
      <c r="AM227" s="0" t="n">
        <f aca="false">SQRT(AK227^2+AL227^2)</f>
        <v>0.00620855527169119</v>
      </c>
      <c r="AN227" s="2" t="n">
        <f aca="false">Y227</f>
        <v>928</v>
      </c>
      <c r="AO227" s="0" t="n">
        <f aca="false">AM227/Z227</f>
        <v>0.00518930206651655</v>
      </c>
    </row>
    <row r="228" customFormat="false" ht="12.75" hidden="false" customHeight="false" outlineLevel="0" collapsed="false">
      <c r="Y228" s="0" t="n">
        <f aca="false">Y227+$X$5</f>
        <v>932</v>
      </c>
      <c r="Z228" s="0" t="n">
        <f aca="false">(Y228/$V$5)^$O$5</f>
        <v>1.19670784871089</v>
      </c>
      <c r="AA228" s="0" t="n">
        <f aca="false">$Q$5*(Y228-$V$5)</f>
        <v>5.60460129400419</v>
      </c>
      <c r="AB228" s="0" t="n">
        <f aca="false">COS(AA228)</f>
        <v>0.778462301567024</v>
      </c>
      <c r="AC228" s="0" t="n">
        <f aca="false">SIN(AA228)</f>
        <v>-0.6276913612907</v>
      </c>
      <c r="AD228" s="0" t="n">
        <f aca="false">$T$5*(Z228-1)</f>
        <v>0.00835222952362823</v>
      </c>
      <c r="AE228" s="0" t="n">
        <f aca="false">2*$T$5*$U$5*Z228*$X$5/(Y228+Y229)</f>
        <v>1.69556623297784E-005</v>
      </c>
      <c r="AF228" s="0" t="n">
        <f aca="false">AB228*AE228</f>
        <v>1.31993439218326E-005</v>
      </c>
      <c r="AG228" s="0" t="n">
        <f aca="false">AG227+AF227</f>
        <v>0.0033141807652493</v>
      </c>
      <c r="AH228" s="0" t="n">
        <f aca="false">AC228*AE228</f>
        <v>-1.0642922769364E-005</v>
      </c>
      <c r="AI228" s="0" t="n">
        <f aca="false">AI227+AH227</f>
        <v>0.00336168397303924</v>
      </c>
      <c r="AJ228" s="6" t="n">
        <f aca="false">Y228/$P$5</f>
        <v>0.932</v>
      </c>
      <c r="AK228" s="0" t="n">
        <f aca="false">SQRT(AG228^2+AI228^2)</f>
        <v>0.00472066873221764</v>
      </c>
      <c r="AL228" s="0" t="n">
        <f aca="false">$W$5*(Y228/$V$5-Z228)</f>
        <v>0.00405227626880717</v>
      </c>
      <c r="AM228" s="0" t="n">
        <f aca="false">SQRT(AK228^2+AL228^2)</f>
        <v>0.00622138700275711</v>
      </c>
      <c r="AN228" s="2" t="n">
        <f aca="false">Y228</f>
        <v>932</v>
      </c>
      <c r="AO228" s="0" t="n">
        <f aca="false">AM228/Z228</f>
        <v>0.00519875173331473</v>
      </c>
    </row>
    <row r="229" customFormat="false" ht="12.75" hidden="false" customHeight="false" outlineLevel="0" collapsed="false">
      <c r="Y229" s="0" t="n">
        <f aca="false">Y228+$X$5</f>
        <v>936</v>
      </c>
      <c r="Z229" s="0" t="n">
        <f aca="false">(Y229/$V$5)^$O$5</f>
        <v>1.19700019793426</v>
      </c>
      <c r="AA229" s="0" t="n">
        <f aca="false">$Q$5*(Y229-$V$5)</f>
        <v>5.62973403523291</v>
      </c>
      <c r="AB229" s="0" t="n">
        <f aca="false">COS(AA229)</f>
        <v>0.793990398647836</v>
      </c>
      <c r="AC229" s="0" t="n">
        <f aca="false">SIN(AA229)</f>
        <v>-0.607930297694605</v>
      </c>
      <c r="AD229" s="0" t="n">
        <f aca="false">$T$5*(Z229-1)</f>
        <v>0.00836464269285668</v>
      </c>
      <c r="AE229" s="0" t="n">
        <f aca="false">2*$T$5*$U$5*Z229*$X$5/(Y229+Y230)</f>
        <v>1.68874812457788E-005</v>
      </c>
      <c r="AF229" s="0" t="n">
        <f aca="false">AB229*AE229</f>
        <v>1.34084979664937E-005</v>
      </c>
      <c r="AG229" s="0" t="n">
        <f aca="false">AG228+AF228</f>
        <v>0.00332738010917113</v>
      </c>
      <c r="AH229" s="0" t="n">
        <f aca="false">AC229*AE229</f>
        <v>-1.02664115010584E-005</v>
      </c>
      <c r="AI229" s="0" t="n">
        <f aca="false">AI228+AH228</f>
        <v>0.00335104105026987</v>
      </c>
      <c r="AJ229" s="6" t="n">
        <f aca="false">Y229/$P$5</f>
        <v>0.936</v>
      </c>
      <c r="AK229" s="0" t="n">
        <f aca="false">SQRT(AG229^2+AI229^2)</f>
        <v>0.00472238652711757</v>
      </c>
      <c r="AL229" s="0" t="n">
        <f aca="false">$W$5*(Y229/$V$5-Z229)</f>
        <v>0.00407055603203408</v>
      </c>
      <c r="AM229" s="0" t="n">
        <f aca="false">SQRT(AK229^2+AL229^2)</f>
        <v>0.00623460992536265</v>
      </c>
      <c r="AN229" s="2" t="n">
        <f aca="false">Y229</f>
        <v>936</v>
      </c>
      <c r="AO229" s="0" t="n">
        <f aca="false">AM229/Z229</f>
        <v>0.00520852873384826</v>
      </c>
    </row>
    <row r="230" customFormat="false" ht="12.75" hidden="false" customHeight="false" outlineLevel="0" collapsed="false">
      <c r="Y230" s="0" t="n">
        <f aca="false">Y229+$X$5</f>
        <v>940</v>
      </c>
      <c r="Z230" s="0" t="n">
        <f aca="false">(Y230/$V$5)^$O$5</f>
        <v>1.19729137142517</v>
      </c>
      <c r="AA230" s="0" t="n">
        <f aca="false">$Q$5*(Y230-$V$5)</f>
        <v>5.65486677646163</v>
      </c>
      <c r="AB230" s="0" t="n">
        <f aca="false">COS(AA230)</f>
        <v>0.809016994374947</v>
      </c>
      <c r="AC230" s="0" t="n">
        <f aca="false">SIN(AA230)</f>
        <v>-0.587785252292473</v>
      </c>
      <c r="AD230" s="0" t="n">
        <f aca="false">$T$5*(Z230-1)</f>
        <v>0.00837700594039956</v>
      </c>
      <c r="AE230" s="0" t="n">
        <f aca="false">2*$T$5*$U$5*Z230*$X$5/(Y230+Y231)</f>
        <v>1.68198626773422E-005</v>
      </c>
      <c r="AF230" s="0" t="n">
        <f aca="false">AB230*AE230</f>
        <v>1.36075547490228E-005</v>
      </c>
      <c r="AG230" s="0" t="n">
        <f aca="false">AG229+AF229</f>
        <v>0.00334078860713763</v>
      </c>
      <c r="AH230" s="0" t="n">
        <f aca="false">AC230*AE230</f>
        <v>-9.88646722732635E-006</v>
      </c>
      <c r="AI230" s="0" t="n">
        <f aca="false">AI229+AH229</f>
        <v>0.00334077463876882</v>
      </c>
      <c r="AJ230" s="6" t="n">
        <f aca="false">Y230/$P$5</f>
        <v>0.94</v>
      </c>
      <c r="AK230" s="0" t="n">
        <f aca="false">SQRT(AG230^2+AI230^2)</f>
        <v>0.00472457868011757</v>
      </c>
      <c r="AL230" s="0" t="n">
        <f aca="false">$W$5*(Y230/$V$5-Z230)</f>
        <v>0.00408883601081225</v>
      </c>
      <c r="AM230" s="0" t="n">
        <f aca="false">SQRT(AK230^2+AL230^2)</f>
        <v>0.00624821763608923</v>
      </c>
      <c r="AN230" s="2" t="n">
        <f aca="false">Y230</f>
        <v>940</v>
      </c>
      <c r="AO230" s="0" t="n">
        <f aca="false">AM230/Z230</f>
        <v>0.0052186274663049</v>
      </c>
    </row>
    <row r="231" customFormat="false" ht="12.75" hidden="false" customHeight="false" outlineLevel="0" collapsed="false">
      <c r="Y231" s="0" t="n">
        <f aca="false">Y230+$X$5</f>
        <v>944</v>
      </c>
      <c r="Z231" s="0" t="n">
        <f aca="false">(Y231/$V$5)^$O$5</f>
        <v>1.19758137888507</v>
      </c>
      <c r="AA231" s="0" t="n">
        <f aca="false">$Q$5*(Y231-$V$5)</f>
        <v>5.67999951769035</v>
      </c>
      <c r="AB231" s="0" t="n">
        <f aca="false">COS(AA231)</f>
        <v>0.823532597628428</v>
      </c>
      <c r="AC231" s="0" t="n">
        <f aca="false">SIN(AA231)</f>
        <v>-0.567268949126757</v>
      </c>
      <c r="AD231" s="0" t="n">
        <f aca="false">$T$5*(Z231-1)</f>
        <v>0.00838931967818151</v>
      </c>
      <c r="AE231" s="0" t="n">
        <f aca="false">2*$T$5*$U$5*Z231*$X$5/(Y231+Y232)</f>
        <v>1.67527996246771E-005</v>
      </c>
      <c r="AF231" s="0" t="n">
        <f aca="false">AB231*AE231</f>
        <v>1.37964765924589E-005</v>
      </c>
      <c r="AG231" s="0" t="n">
        <f aca="false">AG230+AF230</f>
        <v>0.00335439616188665</v>
      </c>
      <c r="AH231" s="0" t="n">
        <f aca="false">AC231*AE231</f>
        <v>-9.5033430380217E-006</v>
      </c>
      <c r="AI231" s="0" t="n">
        <f aca="false">AI230+AH230</f>
        <v>0.00333088817154149</v>
      </c>
      <c r="AJ231" s="6" t="n">
        <f aca="false">Y231/$P$5</f>
        <v>0.944</v>
      </c>
      <c r="AK231" s="0" t="n">
        <f aca="false">SQRT(AG231^2+AI231^2)</f>
        <v>0.00472723911201823</v>
      </c>
      <c r="AL231" s="0" t="n">
        <f aca="false">$W$5*(Y231/$V$5-Z231)</f>
        <v>0.0041071162033631</v>
      </c>
      <c r="AM231" s="0" t="n">
        <f aca="false">SQRT(AK231^2+AL231^2)</f>
        <v>0.00626220353630594</v>
      </c>
      <c r="AN231" s="2" t="n">
        <f aca="false">Y231</f>
        <v>944</v>
      </c>
      <c r="AO231" s="0" t="n">
        <f aca="false">AM231/Z231</f>
        <v>0.00522904217343122</v>
      </c>
    </row>
    <row r="232" customFormat="false" ht="12.75" hidden="false" customHeight="false" outlineLevel="0" collapsed="false">
      <c r="Y232" s="0" t="n">
        <f aca="false">Y231+$X$5</f>
        <v>948</v>
      </c>
      <c r="Z232" s="0" t="n">
        <f aca="false">(Y232/$V$5)^$O$5</f>
        <v>1.19787022989469</v>
      </c>
      <c r="AA232" s="0" t="n">
        <f aca="false">$Q$5*(Y232-$V$5)</f>
        <v>5.70513225891907</v>
      </c>
      <c r="AB232" s="0" t="n">
        <f aca="false">COS(AA232)</f>
        <v>0.837528040042142</v>
      </c>
      <c r="AC232" s="0" t="n">
        <f aca="false">SIN(AA232)</f>
        <v>-0.546394346734269</v>
      </c>
      <c r="AD232" s="0" t="n">
        <f aca="false">$T$5*(Z232-1)</f>
        <v>0.00840158431300061</v>
      </c>
      <c r="AE232" s="0" t="n">
        <f aca="false">2*$T$5*$U$5*Z232*$X$5/(Y232+Y233)</f>
        <v>1.66862852042011E-005</v>
      </c>
      <c r="AF232" s="0" t="n">
        <f aca="false">AB232*AE232</f>
        <v>1.39752317426588E-005</v>
      </c>
      <c r="AG232" s="0" t="n">
        <f aca="false">AG231+AF231</f>
        <v>0.00336819263847911</v>
      </c>
      <c r="AH232" s="0" t="n">
        <f aca="false">AC232*AE232</f>
        <v>-9.11729190357118E-006</v>
      </c>
      <c r="AI232" s="0" t="n">
        <f aca="false">AI231+AH231</f>
        <v>0.00332138482850347</v>
      </c>
      <c r="AJ232" s="6" t="n">
        <f aca="false">Y232/$P$5</f>
        <v>0.948</v>
      </c>
      <c r="AK232" s="0" t="n">
        <f aca="false">SQRT(AG232^2+AI232^2)</f>
        <v>0.00473036138460032</v>
      </c>
      <c r="AL232" s="0" t="n">
        <f aca="false">$W$5*(Y232/$V$5-Z232)</f>
        <v>0.00412539660793015</v>
      </c>
      <c r="AM232" s="0" t="n">
        <f aca="false">SQRT(AK232^2+AL232^2)</f>
        <v>0.00627656084186551</v>
      </c>
      <c r="AN232" s="2" t="n">
        <f aca="false">Y232</f>
        <v>948</v>
      </c>
      <c r="AO232" s="0" t="n">
        <f aca="false">AM232/Z232</f>
        <v>0.00523976695072996</v>
      </c>
    </row>
    <row r="233" customFormat="false" ht="12.75" hidden="false" customHeight="false" outlineLevel="0" collapsed="false">
      <c r="Y233" s="0" t="n">
        <f aca="false">Y232+$X$5</f>
        <v>952</v>
      </c>
      <c r="Z233" s="0" t="n">
        <f aca="false">(Y233/$V$5)^$O$5</f>
        <v>1.19815793391602</v>
      </c>
      <c r="AA233" s="0" t="n">
        <f aca="false">$Q$5*(Y233-$V$5)</f>
        <v>5.73026500014778</v>
      </c>
      <c r="AB233" s="0" t="n">
        <f aca="false">COS(AA233)</f>
        <v>0.850994481794692</v>
      </c>
      <c r="AC233" s="0" t="n">
        <f aca="false">SIN(AA233)</f>
        <v>-0.525174629961295</v>
      </c>
      <c r="AD233" s="0" t="n">
        <f aca="false">$T$5*(Z233-1)</f>
        <v>0.00841380024661351</v>
      </c>
      <c r="AE233" s="0" t="n">
        <f aca="false">2*$T$5*$U$5*Z233*$X$5/(Y233+Y234)</f>
        <v>1.6620312646133E-005</v>
      </c>
      <c r="AF233" s="0" t="n">
        <f aca="false">AB233*AE233</f>
        <v>1.41437943475617E-005</v>
      </c>
      <c r="AG233" s="0" t="n">
        <f aca="false">AG232+AF232</f>
        <v>0.00338216787022177</v>
      </c>
      <c r="AH233" s="0" t="n">
        <f aca="false">AC233*AE233</f>
        <v>-8.72856654377393E-006</v>
      </c>
      <c r="AI233" s="0" t="n">
        <f aca="false">AI232+AH232</f>
        <v>0.0033122675365999</v>
      </c>
      <c r="AJ233" s="6" t="n">
        <f aca="false">Y233/$P$5</f>
        <v>0.952</v>
      </c>
      <c r="AK233" s="0" t="n">
        <f aca="false">SQRT(AG233^2+AI233^2)</f>
        <v>0.00473393871278178</v>
      </c>
      <c r="AL233" s="0" t="n">
        <f aca="false">$W$5*(Y233/$V$5-Z233)</f>
        <v>0.0041436772227787</v>
      </c>
      <c r="AM233" s="0" t="n">
        <f aca="false">SQRT(AK233^2+AL233^2)</f>
        <v>0.0062912825928382</v>
      </c>
      <c r="AN233" s="2" t="n">
        <f aca="false">Y233</f>
        <v>952</v>
      </c>
      <c r="AO233" s="0" t="n">
        <f aca="false">AM233/Z233</f>
        <v>0.00525079575467651</v>
      </c>
    </row>
    <row r="234" customFormat="false" ht="12.75" hidden="false" customHeight="false" outlineLevel="0" collapsed="false">
      <c r="Y234" s="0" t="n">
        <f aca="false">Y233+$X$5</f>
        <v>956</v>
      </c>
      <c r="Z234" s="0" t="n">
        <f aca="false">(Y234/$V$5)^$O$5</f>
        <v>1.19844450029426</v>
      </c>
      <c r="AA234" s="0" t="n">
        <f aca="false">$Q$5*(Y234-$V$5)</f>
        <v>5.7553977413765</v>
      </c>
      <c r="AB234" s="0" t="n">
        <f aca="false">COS(AA234)</f>
        <v>0.863923417192835</v>
      </c>
      <c r="AC234" s="0" t="n">
        <f aca="false">SIN(AA234)</f>
        <v>-0.503623201635761</v>
      </c>
      <c r="AD234" s="0" t="n">
        <f aca="false">$T$5*(Z234-1)</f>
        <v>0.00842596787581872</v>
      </c>
      <c r="AE234" s="0" t="n">
        <f aca="false">2*$T$5*$U$5*Z234*$X$5/(Y234+Y235)</f>
        <v>1.65548752921435E-005</v>
      </c>
      <c r="AF234" s="0" t="n">
        <f aca="false">AB234*AE234</f>
        <v>1.43021444335898E-005</v>
      </c>
      <c r="AG234" s="0" t="n">
        <f aca="false">AG233+AF233</f>
        <v>0.00339631166456933</v>
      </c>
      <c r="AH234" s="0" t="n">
        <f aca="false">AC234*AE234</f>
        <v>-8.33741929731005E-006</v>
      </c>
      <c r="AI234" s="0" t="n">
        <f aca="false">AI233+AH233</f>
        <v>0.00330353897005612</v>
      </c>
      <c r="AJ234" s="6" t="n">
        <f aca="false">Y234/$P$5</f>
        <v>0.956</v>
      </c>
      <c r="AK234" s="0" t="n">
        <f aca="false">SQRT(AG234^2+AI234^2)</f>
        <v>0.00473796397723422</v>
      </c>
      <c r="AL234" s="0" t="n">
        <f aca="false">$W$5*(Y234/$V$5-Z234)</f>
        <v>0.00416195804619545</v>
      </c>
      <c r="AM234" s="0" t="n">
        <f aca="false">SQRT(AK234^2+AL234^2)</f>
        <v>0.00630636166326196</v>
      </c>
      <c r="AN234" s="2" t="n">
        <f aca="false">Y234</f>
        <v>956</v>
      </c>
      <c r="AO234" s="0" t="n">
        <f aca="false">AM234/Z234</f>
        <v>0.00526212241093643</v>
      </c>
    </row>
    <row r="235" customFormat="false" ht="12.75" hidden="false" customHeight="false" outlineLevel="0" collapsed="false">
      <c r="Y235" s="0" t="n">
        <f aca="false">Y234+$X$5</f>
        <v>960</v>
      </c>
      <c r="Z235" s="0" t="n">
        <f aca="false">(Y235/$V$5)^$O$5</f>
        <v>1.1987299382598</v>
      </c>
      <c r="AA235" s="0" t="n">
        <f aca="false">$Q$5*(Y235-$V$5)</f>
        <v>5.78053048260522</v>
      </c>
      <c r="AB235" s="0" t="n">
        <f aca="false">COS(AA235)</f>
        <v>0.876306680043864</v>
      </c>
      <c r="AC235" s="0" t="n">
        <f aca="false">SIN(AA235)</f>
        <v>-0.481753674101715</v>
      </c>
      <c r="AD235" s="0" t="n">
        <f aca="false">$T$5*(Z235-1)</f>
        <v>0.00843808759253836</v>
      </c>
      <c r="AE235" s="0" t="n">
        <f aca="false">2*$T$5*$U$5*Z235*$X$5/(Y235+Y236)</f>
        <v>1.6489966593065E-005</v>
      </c>
      <c r="AF235" s="0" t="n">
        <f aca="false">AB235*AE235</f>
        <v>1.4450267879203E-005</v>
      </c>
      <c r="AG235" s="0" t="n">
        <f aca="false">AG234+AF234</f>
        <v>0.00341061380900292</v>
      </c>
      <c r="AH235" s="0" t="n">
        <f aca="false">AC235*AE235</f>
        <v>-7.94410199202362E-006</v>
      </c>
      <c r="AI235" s="0" t="n">
        <f aca="false">AI234+AH234</f>
        <v>0.00329520155075881</v>
      </c>
      <c r="AJ235" s="6" t="n">
        <f aca="false">Y235/$P$5</f>
        <v>0.96</v>
      </c>
      <c r="AK235" s="0" t="n">
        <f aca="false">SQRT(AG235^2+AI235^2)</f>
        <v>0.00474242973741147</v>
      </c>
      <c r="AL235" s="0" t="n">
        <f aca="false">$W$5*(Y235/$V$5-Z235)</f>
        <v>0.00418023907648818</v>
      </c>
      <c r="AM235" s="0" t="n">
        <f aca="false">SQRT(AK235^2+AL235^2)</f>
        <v>0.0063217907708879</v>
      </c>
      <c r="AN235" s="2" t="n">
        <f aca="false">Y235</f>
        <v>960</v>
      </c>
      <c r="AO235" s="0" t="n">
        <f aca="false">AM235/Z235</f>
        <v>0.00527374062256697</v>
      </c>
    </row>
    <row r="236" customFormat="false" ht="12.75" hidden="false" customHeight="false" outlineLevel="0" collapsed="false">
      <c r="Y236" s="0" t="n">
        <f aca="false">Y235+$X$5</f>
        <v>964</v>
      </c>
      <c r="Z236" s="0" t="n">
        <f aca="false">(Y236/$V$5)^$O$5</f>
        <v>1.19901425693003</v>
      </c>
      <c r="AA236" s="0" t="n">
        <f aca="false">$Q$5*(Y236-$V$5)</f>
        <v>5.80566322383394</v>
      </c>
      <c r="AB236" s="0" t="n">
        <f aca="false">COS(AA236)</f>
        <v>0.888136448813545</v>
      </c>
      <c r="AC236" s="0" t="n">
        <f aca="false">SIN(AA236)</f>
        <v>-0.459579860621488</v>
      </c>
      <c r="AD236" s="0" t="n">
        <f aca="false">$T$5*(Z236-1)</f>
        <v>0.00845015978389801</v>
      </c>
      <c r="AE236" s="0" t="n">
        <f aca="false">2*$T$5*$U$5*Z236*$X$5/(Y236+Y237)</f>
        <v>1.64255801066574E-005</v>
      </c>
      <c r="AF236" s="0" t="n">
        <f aca="false">AB236*AE236</f>
        <v>1.45881563856291E-005</v>
      </c>
      <c r="AG236" s="0" t="n">
        <f aca="false">AG235+AF235</f>
        <v>0.00342506407688212</v>
      </c>
      <c r="AH236" s="0" t="n">
        <f aca="false">AC236*AE236</f>
        <v>-7.54886581604468E-006</v>
      </c>
      <c r="AI236" s="0" t="n">
        <f aca="false">AI235+AH235</f>
        <v>0.00328725744876679</v>
      </c>
      <c r="AJ236" s="6" t="n">
        <f aca="false">Y236/$P$5</f>
        <v>0.964</v>
      </c>
      <c r="AK236" s="0" t="n">
        <f aca="false">SQRT(AG236^2+AI236^2)</f>
        <v>0.00474732824494169</v>
      </c>
      <c r="AL236" s="0" t="n">
        <f aca="false">$W$5*(Y236/$V$5-Z236)</f>
        <v>0.00419852031198536</v>
      </c>
      <c r="AM236" s="0" t="n">
        <f aca="false">SQRT(AK236^2+AL236^2)</f>
        <v>0.006337562486901</v>
      </c>
      <c r="AN236" s="2" t="n">
        <f aca="false">Y236</f>
        <v>964</v>
      </c>
      <c r="AO236" s="0" t="n">
        <f aca="false">AM236/Z236</f>
        <v>0.0052856439781857</v>
      </c>
    </row>
    <row r="237" customFormat="false" ht="12.75" hidden="false" customHeight="false" outlineLevel="0" collapsed="false">
      <c r="Y237" s="0" t="n">
        <f aca="false">Y236+$X$5</f>
        <v>968</v>
      </c>
      <c r="Z237" s="0" t="n">
        <f aca="false">(Y237/$V$5)^$O$5</f>
        <v>1.19929746531123</v>
      </c>
      <c r="AA237" s="0" t="n">
        <f aca="false">$Q$5*(Y237-$V$5)</f>
        <v>5.83079596506266</v>
      </c>
      <c r="AB237" s="0" t="n">
        <f aca="false">COS(AA237)</f>
        <v>0.899405251566371</v>
      </c>
      <c r="AC237" s="0" t="n">
        <f aca="false">SIN(AA237)</f>
        <v>-0.437115766650933</v>
      </c>
      <c r="AD237" s="0" t="n">
        <f aca="false">$T$5*(Z237-1)</f>
        <v>0.00846218483230511</v>
      </c>
      <c r="AE237" s="0" t="n">
        <f aca="false">2*$T$5*$U$5*Z237*$X$5/(Y237+Y238)</f>
        <v>1.6361709495428E-005</v>
      </c>
      <c r="AF237" s="0" t="n">
        <f aca="false">AB237*AE237</f>
        <v>1.47158074447913E-005</v>
      </c>
      <c r="AG237" s="0" t="n">
        <f aca="false">AG236+AF236</f>
        <v>0.00343965223326775</v>
      </c>
      <c r="AH237" s="0" t="n">
        <f aca="false">AC237*AE237</f>
        <v>-7.15196118981384E-006</v>
      </c>
      <c r="AI237" s="0" t="n">
        <f aca="false">AI236+AH236</f>
        <v>0.00327970858295074</v>
      </c>
      <c r="AJ237" s="6" t="n">
        <f aca="false">Y237/$P$5</f>
        <v>0.968</v>
      </c>
      <c r="AK237" s="0" t="n">
        <f aca="false">SQRT(AG237^2+AI237^2)</f>
        <v>0.00475265145733459</v>
      </c>
      <c r="AL237" s="0" t="n">
        <f aca="false">$W$5*(Y237/$V$5-Z237)</f>
        <v>0.00421680175103582</v>
      </c>
      <c r="AM237" s="0" t="n">
        <f aca="false">SQRT(AK237^2+AL237^2)</f>
        <v>0.00635366924559686</v>
      </c>
      <c r="AN237" s="2" t="n">
        <f aca="false">Y237</f>
        <v>968</v>
      </c>
      <c r="AO237" s="0" t="n">
        <f aca="false">AM237/Z237</f>
        <v>0.00529782596009076</v>
      </c>
    </row>
    <row r="238" customFormat="false" ht="12.75" hidden="false" customHeight="false" outlineLevel="0" collapsed="false">
      <c r="Y238" s="0" t="n">
        <f aca="false">Y237+$X$5</f>
        <v>972</v>
      </c>
      <c r="Z238" s="0" t="n">
        <f aca="false">(Y238/$V$5)^$O$5</f>
        <v>1.19957957230037</v>
      </c>
      <c r="AA238" s="0" t="n">
        <f aca="false">$Q$5*(Y238-$V$5)</f>
        <v>5.85592870629137</v>
      </c>
      <c r="AB238" s="0" t="n">
        <f aca="false">COS(AA238)</f>
        <v>0.910105970684996</v>
      </c>
      <c r="AC238" s="0" t="n">
        <f aca="false">SIN(AA238)</f>
        <v>-0.414375580993284</v>
      </c>
      <c r="AD238" s="0" t="n">
        <f aca="false">$T$5*(Z238-1)</f>
        <v>0.00847416311552564</v>
      </c>
      <c r="AE238" s="0" t="n">
        <f aca="false">2*$T$5*$U$5*Z238*$X$5/(Y238+Y239)</f>
        <v>1.62983485245058E-005</v>
      </c>
      <c r="AF238" s="0" t="n">
        <f aca="false">AB238*AE238</f>
        <v>1.48332243044577E-005</v>
      </c>
      <c r="AG238" s="0" t="n">
        <f aca="false">AG237+AF237</f>
        <v>0.00345436804071254</v>
      </c>
      <c r="AH238" s="0" t="n">
        <f aca="false">AC238*AE238</f>
        <v>-6.75363763907312E-006</v>
      </c>
      <c r="AI238" s="0" t="n">
        <f aca="false">AI237+AH237</f>
        <v>0.00327255662176093</v>
      </c>
      <c r="AJ238" s="6" t="n">
        <f aca="false">Y238/$P$5</f>
        <v>0.972</v>
      </c>
      <c r="AK238" s="0" t="n">
        <f aca="false">SQRT(AG238^2+AI238^2)</f>
        <v>0.00475839105195522</v>
      </c>
      <c r="AL238" s="0" t="n">
        <f aca="false">$W$5*(Y238/$V$5-Z238)</f>
        <v>0.00423508339200847</v>
      </c>
      <c r="AM238" s="0" t="n">
        <f aca="false">SQRT(AK238^2+AL238^2)</f>
        <v>0.00637010335399619</v>
      </c>
      <c r="AN238" s="2" t="n">
        <f aca="false">Y238</f>
        <v>972</v>
      </c>
      <c r="AO238" s="0" t="n">
        <f aca="false">AM238/Z238</f>
        <v>0.00531027995231743</v>
      </c>
    </row>
    <row r="239" customFormat="false" ht="12.75" hidden="false" customHeight="false" outlineLevel="0" collapsed="false">
      <c r="Y239" s="0" t="n">
        <f aca="false">Y238+$X$5</f>
        <v>976</v>
      </c>
      <c r="Z239" s="0" t="n">
        <f aca="false">(Y239/$V$5)^$O$5</f>
        <v>1.19986058668689</v>
      </c>
      <c r="AA239" s="0" t="n">
        <f aca="false">$Q$5*(Y239-$V$5)</f>
        <v>5.88106144752009</v>
      </c>
      <c r="AB239" s="0" t="n">
        <f aca="false">COS(AA239)</f>
        <v>0.92023184736587</v>
      </c>
      <c r="AC239" s="0" t="n">
        <f aca="false">SIN(AA239)</f>
        <v>-0.391373666837203</v>
      </c>
      <c r="AD239" s="0" t="n">
        <f aca="false">$T$5*(Z239-1)</f>
        <v>0.00848609500675932</v>
      </c>
      <c r="AE239" s="0" t="n">
        <f aca="false">2*$T$5*$U$5*Z239*$X$5/(Y239+Y240)</f>
        <v>1.62354910595665E-005</v>
      </c>
      <c r="AF239" s="0" t="n">
        <f aca="false">AB239*AE239</f>
        <v>1.49404159306369E-005</v>
      </c>
      <c r="AG239" s="0" t="n">
        <f aca="false">AG238+AF238</f>
        <v>0.003469201265017</v>
      </c>
      <c r="AH239" s="0" t="n">
        <f aca="false">AC239*AE239</f>
        <v>-6.35414366888515E-006</v>
      </c>
      <c r="AI239" s="0" t="n">
        <f aca="false">AI238+AH238</f>
        <v>0.00326580298412186</v>
      </c>
      <c r="AJ239" s="6" t="n">
        <f aca="false">Y239/$P$5</f>
        <v>0.976</v>
      </c>
      <c r="AK239" s="0" t="n">
        <f aca="false">SQRT(AG239^2+AI239^2)</f>
        <v>0.00476453844021588</v>
      </c>
      <c r="AL239" s="0" t="n">
        <f aca="false">$W$5*(Y239/$V$5-Z239)</f>
        <v>0.00425336523329189</v>
      </c>
      <c r="AM239" s="0" t="n">
        <f aca="false">SQRT(AK239^2+AL239^2)</f>
        <v>0.00638685700137955</v>
      </c>
      <c r="AN239" s="2" t="n">
        <f aca="false">Y239</f>
        <v>976</v>
      </c>
      <c r="AO239" s="0" t="n">
        <f aca="false">AM239/Z239</f>
        <v>0.00532299924861707</v>
      </c>
    </row>
    <row r="240" customFormat="false" ht="12.75" hidden="false" customHeight="false" outlineLevel="0" collapsed="false">
      <c r="Y240" s="0" t="n">
        <f aca="false">Y239+$X$5</f>
        <v>980</v>
      </c>
      <c r="Z240" s="0" t="n">
        <f aca="false">(Y240/$V$5)^$O$5</f>
        <v>1.2001405171544</v>
      </c>
      <c r="AA240" s="0" t="n">
        <f aca="false">$Q$5*(Y240-$V$5)</f>
        <v>5.90619418874881</v>
      </c>
      <c r="AB240" s="0" t="n">
        <f aca="false">COS(AA240)</f>
        <v>0.929776485888252</v>
      </c>
      <c r="AC240" s="0" t="n">
        <f aca="false">SIN(AA240)</f>
        <v>-0.368124552684678</v>
      </c>
      <c r="AD240" s="0" t="n">
        <f aca="false">$T$5*(Z240-1)</f>
        <v>0.00849798087471322</v>
      </c>
      <c r="AE240" s="0" t="n">
        <f aca="false">2*$T$5*$U$5*Z240*$X$5/(Y240+Y241)</f>
        <v>1.61731310648083E-005</v>
      </c>
      <c r="AF240" s="0" t="n">
        <f aca="false">AB240*AE240</f>
        <v>1.50373969672475E-005</v>
      </c>
      <c r="AG240" s="0" t="n">
        <f aca="false">AG239+AF239</f>
        <v>0.00348414168094764</v>
      </c>
      <c r="AH240" s="0" t="n">
        <f aca="false">AC240*AE240</f>
        <v>-5.95372663874321E-006</v>
      </c>
      <c r="AI240" s="0" t="n">
        <f aca="false">AI239+AH239</f>
        <v>0.00325944884045297</v>
      </c>
      <c r="AJ240" s="6" t="n">
        <f aca="false">Y240/$P$5</f>
        <v>0.98</v>
      </c>
      <c r="AK240" s="0" t="n">
        <f aca="false">SQRT(AG240^2+AI240^2)</f>
        <v>0.00477108478193868</v>
      </c>
      <c r="AL240" s="0" t="n">
        <f aca="false">$W$5*(Y240/$V$5-Z240)</f>
        <v>0.0042716472732941</v>
      </c>
      <c r="AM240" s="0" t="n">
        <f aca="false">SQRT(AK240^2+AL240^2)</f>
        <v>0.00640392226872623</v>
      </c>
      <c r="AN240" s="2" t="n">
        <f aca="false">Y240</f>
        <v>980</v>
      </c>
      <c r="AO240" s="0" t="n">
        <f aca="false">AM240/Z240</f>
        <v>0.00533597706034483</v>
      </c>
    </row>
    <row r="241" customFormat="false" ht="12.75" hidden="false" customHeight="false" outlineLevel="0" collapsed="false">
      <c r="Y241" s="0" t="n">
        <f aca="false">Y240+$X$5</f>
        <v>984</v>
      </c>
      <c r="Z241" s="0" t="n">
        <f aca="false">(Y241/$V$5)^$O$5</f>
        <v>1.2004193722824</v>
      </c>
      <c r="AA241" s="0" t="n">
        <f aca="false">$Q$5*(Y241-$V$5)</f>
        <v>5.93132692997753</v>
      </c>
      <c r="AB241" s="0" t="n">
        <f aca="false">COS(AA241)</f>
        <v>0.938733857653874</v>
      </c>
      <c r="AC241" s="0" t="n">
        <f aca="false">SIN(AA241)</f>
        <v>-0.344642923174517</v>
      </c>
      <c r="AD241" s="0" t="n">
        <f aca="false">$T$5*(Z241-1)</f>
        <v>0.00850982108367393</v>
      </c>
      <c r="AE241" s="0" t="n">
        <f aca="false">2*$T$5*$U$5*Z241*$X$5/(Y241+Y242)</f>
        <v>1.61112626009759E-005</v>
      </c>
      <c r="AF241" s="0" t="n">
        <f aca="false">AB241*AE241</f>
        <v>1.51241876930887E-005</v>
      </c>
      <c r="AG241" s="0" t="n">
        <f aca="false">AG240+AF240</f>
        <v>0.00349917907791488</v>
      </c>
      <c r="AH241" s="0" t="n">
        <f aca="false">AC241*AE241</f>
        <v>-5.55263263883261E-006</v>
      </c>
      <c r="AI241" s="0" t="n">
        <f aca="false">AI240+AH240</f>
        <v>0.00325349511381423</v>
      </c>
      <c r="AJ241" s="6" t="n">
        <f aca="false">Y241/$P$5</f>
        <v>0.984</v>
      </c>
      <c r="AK241" s="0" t="n">
        <f aca="false">SQRT(AG241^2+AI241^2)</f>
        <v>0.00477802099984191</v>
      </c>
      <c r="AL241" s="0" t="n">
        <f aca="false">$W$5*(Y241/$V$5-Z241)</f>
        <v>0.00428992951044218</v>
      </c>
      <c r="AM241" s="0" t="n">
        <f aca="false">SQRT(AK241^2+AL241^2)</f>
        <v>0.00642129113804171</v>
      </c>
      <c r="AN241" s="2" t="n">
        <f aca="false">Y241</f>
        <v>984</v>
      </c>
      <c r="AO241" s="0" t="n">
        <f aca="false">AM241/Z241</f>
        <v>0.00534920652424383</v>
      </c>
    </row>
    <row r="242" customFormat="false" ht="12.75" hidden="false" customHeight="false" outlineLevel="0" collapsed="false">
      <c r="Y242" s="0" t="n">
        <f aca="false">Y241+$X$5</f>
        <v>988</v>
      </c>
      <c r="Z242" s="0" t="n">
        <f aca="false">(Y242/$V$5)^$O$5</f>
        <v>1.20069716054797</v>
      </c>
      <c r="AA242" s="0" t="n">
        <f aca="false">$Q$5*(Y242-$V$5)</f>
        <v>5.95645967120625</v>
      </c>
      <c r="AB242" s="0" t="n">
        <f aca="false">COS(AA242)</f>
        <v>0.947098304994745</v>
      </c>
      <c r="AC242" s="0" t="n">
        <f aca="false">SIN(AA242)</f>
        <v>-0.320943609807209</v>
      </c>
      <c r="AD242" s="0" t="n">
        <f aca="false">$T$5*(Z242-1)</f>
        <v>0.00852161599357834</v>
      </c>
      <c r="AE242" s="0" t="n">
        <f aca="false">2*$T$5*$U$5*Z242*$X$5/(Y242+Y243)</f>
        <v>1.6049879823433E-005</v>
      </c>
      <c r="AF242" s="0" t="n">
        <f aca="false">AB242*AE242</f>
        <v>1.52008139761427E-005</v>
      </c>
      <c r="AG242" s="0" t="n">
        <f aca="false">AG241+AF241</f>
        <v>0.00351430326560797</v>
      </c>
      <c r="AH242" s="0" t="n">
        <f aca="false">AC242*AE242</f>
        <v>-5.15110636750448E-006</v>
      </c>
      <c r="AI242" s="0" t="n">
        <f aca="false">AI241+AH241</f>
        <v>0.0032479424811754</v>
      </c>
      <c r="AJ242" s="6" t="n">
        <f aca="false">Y242/$P$5</f>
        <v>0.988</v>
      </c>
      <c r="AK242" s="0" t="n">
        <f aca="false">SQRT(AG242^2+AI242^2)</f>
        <v>0.00478533779410468</v>
      </c>
      <c r="AL242" s="0" t="n">
        <f aca="false">$W$5*(Y242/$V$5-Z242)</f>
        <v>0.00430821194318199</v>
      </c>
      <c r="AM242" s="0" t="n">
        <f aca="false">SQRT(AK242^2+AL242^2)</f>
        <v>0.00643895550155944</v>
      </c>
      <c r="AN242" s="2" t="n">
        <f aca="false">Y242</f>
        <v>988</v>
      </c>
      <c r="AO242" s="0" t="n">
        <f aca="false">AM242/Z242</f>
        <v>0.00536268071011414</v>
      </c>
    </row>
    <row r="243" customFormat="false" ht="12.75" hidden="false" customHeight="false" outlineLevel="0" collapsed="false">
      <c r="Y243" s="0" t="n">
        <f aca="false">Y242+$X$5</f>
        <v>992</v>
      </c>
      <c r="Z243" s="0" t="n">
        <f aca="false">(Y243/$V$5)^$O$5</f>
        <v>1.20097389032737</v>
      </c>
      <c r="AA243" s="0" t="n">
        <f aca="false">$Q$5*(Y243-$V$5)</f>
        <v>5.98159241243497</v>
      </c>
      <c r="AB243" s="0" t="n">
        <f aca="false">COS(AA243)</f>
        <v>0.954864544746643</v>
      </c>
      <c r="AC243" s="0" t="n">
        <f aca="false">SIN(AA243)</f>
        <v>-0.297041581577035</v>
      </c>
      <c r="AD243" s="0" t="n">
        <f aca="false">$T$5*(Z243-1)</f>
        <v>0.00853336596008286</v>
      </c>
      <c r="AE243" s="0" t="n">
        <f aca="false">2*$T$5*$U$5*Z243*$X$5/(Y243+Y244)</f>
        <v>1.59889769802795E-005</v>
      </c>
      <c r="AF243" s="0" t="n">
        <f aca="false">AB243*AE243</f>
        <v>1.52673072252391E-005</v>
      </c>
      <c r="AG243" s="0" t="n">
        <f aca="false">AG242+AF242</f>
        <v>0.00352950407958411</v>
      </c>
      <c r="AH243" s="0" t="n">
        <f aca="false">AC243*AE243</f>
        <v>-4.74939101002101E-006</v>
      </c>
      <c r="AI243" s="0" t="n">
        <f aca="false">AI242+AH242</f>
        <v>0.00324279137480789</v>
      </c>
      <c r="AJ243" s="6" t="n">
        <f aca="false">Y243/$P$5</f>
        <v>0.992</v>
      </c>
      <c r="AK243" s="0" t="n">
        <f aca="false">SQRT(AG243^2+AI243^2)</f>
        <v>0.00479302565696548</v>
      </c>
      <c r="AL243" s="0" t="n">
        <f aca="false">$W$5*(Y243/$V$5-Z243)</f>
        <v>0.00432649456997789</v>
      </c>
      <c r="AM243" s="0" t="n">
        <f aca="false">SQRT(AK243^2+AL243^2)</f>
        <v>0.0064569071708038</v>
      </c>
      <c r="AN243" s="2" t="n">
        <f aca="false">Y243</f>
        <v>992</v>
      </c>
      <c r="AO243" s="0" t="n">
        <f aca="false">AM243/Z243</f>
        <v>0.00537639262835575</v>
      </c>
    </row>
    <row r="244" customFormat="false" ht="12.75" hidden="false" customHeight="false" outlineLevel="0" collapsed="false">
      <c r="Y244" s="0" t="n">
        <f aca="false">Y243+$X$5</f>
        <v>996</v>
      </c>
      <c r="Z244" s="0" t="n">
        <f aca="false">(Y244/$V$5)^$O$5</f>
        <v>1.20124956989763</v>
      </c>
      <c r="AA244" s="0" t="n">
        <f aca="false">$Q$5*(Y244-$V$5)</f>
        <v>6.00672515366369</v>
      </c>
      <c r="AB244" s="0" t="n">
        <f aca="false">COS(AA244)</f>
        <v>0.962027671586086</v>
      </c>
      <c r="AC244" s="0" t="n">
        <f aca="false">SIN(AA244)</f>
        <v>-0.272951935517325</v>
      </c>
      <c r="AD244" s="0" t="n">
        <f aca="false">$T$5*(Z244-1)</f>
        <v>0.00854507133463141</v>
      </c>
      <c r="AE244" s="0" t="n">
        <f aca="false">2*$T$5*$U$5*Z244*$X$5/(Y244+Y245)</f>
        <v>1.59285484105146E-005</v>
      </c>
      <c r="AF244" s="0" t="n">
        <f aca="false">AB244*AE244</f>
        <v>1.53237043391136E-005</v>
      </c>
      <c r="AG244" s="0" t="n">
        <f aca="false">AG243+AF243</f>
        <v>0.00354477138680935</v>
      </c>
      <c r="AH244" s="0" t="n">
        <f aca="false">AC244*AE244</f>
        <v>-4.34772811863136E-006</v>
      </c>
      <c r="AI244" s="0" t="n">
        <f aca="false">AI243+AH243</f>
        <v>0.00323804198379787</v>
      </c>
      <c r="AJ244" s="6" t="n">
        <f aca="false">Y244/$P$5</f>
        <v>0.996</v>
      </c>
      <c r="AK244" s="0" t="n">
        <f aca="false">SQRT(AG244^2+AI244^2)</f>
        <v>0.00480107488731221</v>
      </c>
      <c r="AL244" s="0" t="n">
        <f aca="false">$W$5*(Y244/$V$5-Z244)</f>
        <v>0.00434477738931242</v>
      </c>
      <c r="AM244" s="0" t="n">
        <f aca="false">SQRT(AK244^2+AL244^2)</f>
        <v>0.00647513788550178</v>
      </c>
      <c r="AN244" s="2" t="n">
        <f aca="false">Y244</f>
        <v>996</v>
      </c>
      <c r="AO244" s="0" t="n">
        <f aca="false">AM244/Z244</f>
        <v>0.00539033523737584</v>
      </c>
    </row>
    <row r="245" customFormat="false" ht="12.75" hidden="false" customHeight="false" outlineLevel="0" collapsed="false">
      <c r="Y245" s="0" t="n">
        <f aca="false">Y244+$X$5</f>
        <v>1000</v>
      </c>
      <c r="Z245" s="0" t="n">
        <f aca="false">(Y245/$V$5)^$O$5</f>
        <v>1.20152420743816</v>
      </c>
      <c r="AA245" s="0" t="n">
        <f aca="false">$Q$5*(Y245-$V$5)</f>
        <v>6.0318578948924</v>
      </c>
      <c r="AB245" s="0" t="n">
        <f aca="false">COS(AA245)</f>
        <v>0.968583161128631</v>
      </c>
      <c r="AC245" s="0" t="n">
        <f aca="false">SIN(AA245)</f>
        <v>-0.248689887164855</v>
      </c>
      <c r="AD245" s="0" t="n">
        <f aca="false">$T$5*(Z245-1)</f>
        <v>0.00855673246452195</v>
      </c>
      <c r="AE245" s="0" t="n">
        <f aca="false">2*$T$5*$U$5*Z245*$X$5/(Y245+Y246)</f>
        <v>1.58685885422433E-005</v>
      </c>
      <c r="AF245" s="0" t="n">
        <f aca="false">AB245*AE245</f>
        <v>1.53700476528956E-005</v>
      </c>
      <c r="AG245" s="0" t="n">
        <f aca="false">AG244+AF244</f>
        <v>0.00356009509114847</v>
      </c>
      <c r="AH245" s="0" t="n">
        <f aca="false">AC245*AE245</f>
        <v>-3.94635749403598E-006</v>
      </c>
      <c r="AI245" s="0" t="n">
        <f aca="false">AI244+AH244</f>
        <v>0.00323369425567924</v>
      </c>
      <c r="AJ245" s="6" t="n">
        <f aca="false">Y245/$P$5</f>
        <v>1</v>
      </c>
      <c r="AK245" s="0" t="n">
        <f aca="false">SQRT(AG245^2+AI245^2)</f>
        <v>0.00480947560522271</v>
      </c>
      <c r="AL245" s="0" t="n">
        <f aca="false">$W$5*(Y245/$V$5-Z245)</f>
        <v>0.00436306039968602</v>
      </c>
      <c r="AM245" s="0" t="n">
        <f aca="false">SQRT(AK245^2+AL245^2)</f>
        <v>0.00649363932233233</v>
      </c>
      <c r="AN245" s="2" t="n">
        <f aca="false">Y245</f>
        <v>1000</v>
      </c>
      <c r="AO245" s="0" t="n">
        <f aca="false">AM245/Z245</f>
        <v>0.00540450145085116</v>
      </c>
    </row>
    <row r="246" customFormat="false" ht="12.75" hidden="false" customHeight="false" outlineLevel="0" collapsed="false">
      <c r="Y246" s="0" t="n">
        <f aca="false">Y245+$X$5</f>
        <v>1004</v>
      </c>
      <c r="Z246" s="0" t="n">
        <f aca="false">(Y246/$V$5)^$O$5</f>
        <v>1.20179781103225</v>
      </c>
      <c r="AA246" s="0" t="n">
        <f aca="false">$Q$5*(Y246-$V$5)</f>
        <v>6.05699063612112</v>
      </c>
      <c r="AB246" s="0" t="n">
        <f aca="false">COS(AA246)</f>
        <v>0.974526872786577</v>
      </c>
      <c r="AC246" s="0" t="n">
        <f aca="false">SIN(AA246)</f>
        <v>-0.224270760949381</v>
      </c>
      <c r="AD246" s="0" t="n">
        <f aca="false">$T$5*(Z246-1)</f>
        <v>0.00856834969297179</v>
      </c>
      <c r="AE246" s="0" t="n">
        <f aca="false">2*$T$5*$U$5*Z246*$X$5/(Y246+Y247)</f>
        <v>1.58090918909249E-005</v>
      </c>
      <c r="AF246" s="0" t="n">
        <f aca="false">AB246*AE246</f>
        <v>1.54063848820587E-005</v>
      </c>
      <c r="AG246" s="0" t="n">
        <f aca="false">AG245+AF245</f>
        <v>0.00357546513880136</v>
      </c>
      <c r="AH246" s="0" t="n">
        <f aca="false">AC246*AE246</f>
        <v>-3.54551706829641E-006</v>
      </c>
      <c r="AI246" s="0" t="n">
        <f aca="false">AI245+AH245</f>
        <v>0.0032297478981852</v>
      </c>
      <c r="AJ246" s="6" t="n">
        <f aca="false">Y246/$P$5</f>
        <v>1.004</v>
      </c>
      <c r="AK246" s="0" t="n">
        <f aca="false">SQRT(AG246^2+AI246^2)</f>
        <v>0.00481821776641691</v>
      </c>
      <c r="AL246" s="0" t="n">
        <f aca="false">$W$5*(Y246/$V$5-Z246)</f>
        <v>0.00438134359961675</v>
      </c>
      <c r="AM246" s="0" t="n">
        <f aca="false">SQRT(AK246^2+AL246^2)</f>
        <v>0.00651240310350321</v>
      </c>
      <c r="AN246" s="2" t="n">
        <f aca="false">Y246</f>
        <v>1004</v>
      </c>
      <c r="AO246" s="0" t="n">
        <f aca="false">AM246/Z246</f>
        <v>0.0054188841448376</v>
      </c>
    </row>
    <row r="247" customFormat="false" ht="12.75" hidden="false" customHeight="false" outlineLevel="0" collapsed="false">
      <c r="Y247" s="0" t="n">
        <f aca="false">Y246+$X$5</f>
        <v>1008</v>
      </c>
      <c r="Z247" s="0" t="n">
        <f aca="false">(Y247/$V$5)^$O$5</f>
        <v>1.2020703886686</v>
      </c>
      <c r="AA247" s="0" t="n">
        <f aca="false">$Q$5*(Y247-$V$5)</f>
        <v>6.08212337734984</v>
      </c>
      <c r="AB247" s="0" t="n">
        <f aca="false">COS(AA247)</f>
        <v>0.979855052384247</v>
      </c>
      <c r="AC247" s="0" t="n">
        <f aca="false">SIN(AA247)</f>
        <v>-0.199709980514407</v>
      </c>
      <c r="AD247" s="0" t="n">
        <f aca="false">$T$5*(Z247-1)</f>
        <v>0.00857992335918154</v>
      </c>
      <c r="AE247" s="0" t="n">
        <f aca="false">2*$T$5*$U$5*Z247*$X$5/(Y247+Y248)</f>
        <v>1.5750053057663E-005</v>
      </c>
      <c r="AF247" s="0" t="n">
        <f aca="false">AB247*AE247</f>
        <v>1.54327690638711E-005</v>
      </c>
      <c r="AG247" s="0" t="n">
        <f aca="false">AG246+AF246</f>
        <v>0.00359087152368342</v>
      </c>
      <c r="AH247" s="0" t="n">
        <f aca="false">AC247*AE247</f>
        <v>-3.14544278924677E-006</v>
      </c>
      <c r="AI247" s="0" t="n">
        <f aca="false">AI246+AH246</f>
        <v>0.00322620238111691</v>
      </c>
      <c r="AJ247" s="6" t="n">
        <f aca="false">Y247/$P$5</f>
        <v>1.008</v>
      </c>
      <c r="AK247" s="0" t="n">
        <f aca="false">SQRT(AG247^2+AI247^2)</f>
        <v>0.00482729117658391</v>
      </c>
      <c r="AL247" s="0" t="n">
        <f aca="false">$W$5*(Y247/$V$5-Z247)</f>
        <v>0.00439962698764001</v>
      </c>
      <c r="AM247" s="0" t="n">
        <f aca="false">SQRT(AK247^2+AL247^2)</f>
        <v>0.00653142080514609</v>
      </c>
      <c r="AN247" s="2" t="n">
        <f aca="false">Y247</f>
        <v>1008</v>
      </c>
      <c r="AO247" s="0" t="n">
        <f aca="false">AM247/Z247</f>
        <v>0.0054334761647196</v>
      </c>
    </row>
    <row r="248" customFormat="false" ht="12.75" hidden="false" customHeight="false" outlineLevel="0" collapsed="false">
      <c r="Y248" s="0" t="n">
        <f aca="false">Y247+$X$5</f>
        <v>1012</v>
      </c>
      <c r="Z248" s="0" t="n">
        <f aca="false">(Y248/$V$5)^$O$5</f>
        <v>1.20234194824279</v>
      </c>
      <c r="AA248" s="0" t="n">
        <f aca="false">$Q$5*(Y248-$V$5)</f>
        <v>6.10725611857856</v>
      </c>
      <c r="AB248" s="0" t="n">
        <f aca="false">COS(AA248)</f>
        <v>0.984564334529205</v>
      </c>
      <c r="AC248" s="0" t="n">
        <f aca="false">SIN(AA248)</f>
        <v>-0.175023058975276</v>
      </c>
      <c r="AD248" s="0" t="n">
        <f aca="false">$T$5*(Z248-1)</f>
        <v>0.00859145379839786</v>
      </c>
      <c r="AE248" s="0" t="n">
        <f aca="false">2*$T$5*$U$5*Z248*$X$5/(Y248+Y249)</f>
        <v>1.56914667275358E-005</v>
      </c>
      <c r="AF248" s="0" t="n">
        <f aca="false">AB248*AE248</f>
        <v>1.54492584963834E-005</v>
      </c>
      <c r="AG248" s="0" t="n">
        <f aca="false">AG247+AF247</f>
        <v>0.00360630429274729</v>
      </c>
      <c r="AH248" s="0" t="n">
        <f aca="false">AC248*AE248</f>
        <v>-2.74636850646207E-006</v>
      </c>
      <c r="AI248" s="0" t="n">
        <f aca="false">AI247+AH247</f>
        <v>0.00322305693832766</v>
      </c>
      <c r="AJ248" s="6" t="n">
        <f aca="false">Y248/$P$5</f>
        <v>1.012</v>
      </c>
      <c r="AK248" s="0" t="n">
        <f aca="false">SQRT(AG248^2+AI248^2)</f>
        <v>0.00483668550554919</v>
      </c>
      <c r="AL248" s="0" t="n">
        <f aca="false">$W$5*(Y248/$V$5-Z248)</f>
        <v>0.00441791056230828</v>
      </c>
      <c r="AM248" s="0" t="n">
        <f aca="false">SQRT(AK248^2+AL248^2)</f>
        <v>0.00655068396552182</v>
      </c>
      <c r="AN248" s="2" t="n">
        <f aca="false">Y248</f>
        <v>1012</v>
      </c>
      <c r="AO248" s="0" t="n">
        <f aca="false">AM248/Z248</f>
        <v>0.00544827033199297</v>
      </c>
    </row>
    <row r="249" customFormat="false" ht="12.75" hidden="false" customHeight="false" outlineLevel="0" collapsed="false">
      <c r="Y249" s="0" t="n">
        <f aca="false">Y248+$X$5</f>
        <v>1016</v>
      </c>
      <c r="Z249" s="0" t="n">
        <f aca="false">(Y249/$V$5)^$O$5</f>
        <v>1.20261249755871</v>
      </c>
      <c r="AA249" s="0" t="n">
        <f aca="false">$Q$5*(Y249-$V$5)</f>
        <v>6.13238885980728</v>
      </c>
      <c r="AB249" s="0" t="n">
        <f aca="false">COS(AA249)</f>
        <v>0.988651744737914</v>
      </c>
      <c r="AC249" s="0" t="n">
        <f aca="false">SIN(AA249)</f>
        <v>-0.150225589120757</v>
      </c>
      <c r="AD249" s="0" t="n">
        <f aca="false">$T$5*(Z249-1)</f>
        <v>0.00860294134197497</v>
      </c>
      <c r="AE249" s="0" t="n">
        <f aca="false">2*$T$5*$U$5*Z249*$X$5/(Y249+Y250)</f>
        <v>1.56333276679645E-005</v>
      </c>
      <c r="AF249" s="0" t="n">
        <f aca="false">AB249*AE249</f>
        <v>1.54559166749926E-005</v>
      </c>
      <c r="AG249" s="0" t="n">
        <f aca="false">AG248+AF248</f>
        <v>0.00362175355124368</v>
      </c>
      <c r="AH249" s="0" t="n">
        <f aca="false">AC249*AE249</f>
        <v>-2.34852585883779E-006</v>
      </c>
      <c r="AI249" s="0" t="n">
        <f aca="false">AI248+AH248</f>
        <v>0.0032203105698212</v>
      </c>
      <c r="AJ249" s="6" t="n">
        <f aca="false">Y249/$P$5</f>
        <v>1.016</v>
      </c>
      <c r="AK249" s="0" t="n">
        <f aca="false">SQRT(AG249^2+AI249^2)</f>
        <v>0.00484639030124982</v>
      </c>
      <c r="AL249" s="0" t="n">
        <f aca="false">$W$5*(Y249/$V$5-Z249)</f>
        <v>0.00443619432219084</v>
      </c>
      <c r="AM249" s="0" t="n">
        <f aca="false">SQRT(AK249^2+AL249^2)</f>
        <v>0.00657018409302864</v>
      </c>
      <c r="AN249" s="2" t="n">
        <f aca="false">Y249</f>
        <v>1016</v>
      </c>
      <c r="AO249" s="0" t="n">
        <f aca="false">AM249/Z249</f>
        <v>0.00546325945087552</v>
      </c>
    </row>
    <row r="250" customFormat="false" ht="12.75" hidden="false" customHeight="false" outlineLevel="0" collapsed="false">
      <c r="Y250" s="0" t="n">
        <f aca="false">Y249+$X$5</f>
        <v>1020</v>
      </c>
      <c r="Z250" s="0" t="n">
        <f aca="false">(Y250/$V$5)^$O$5</f>
        <v>1.20288204433001</v>
      </c>
      <c r="AA250" s="0" t="n">
        <f aca="false">$Q$5*(Y250-$V$5)</f>
        <v>6.157521601036</v>
      </c>
      <c r="AB250" s="0" t="n">
        <f aca="false">COS(AA250)</f>
        <v>0.992114701314478</v>
      </c>
      <c r="AC250" s="0" t="n">
        <f aca="false">SIN(AA250)</f>
        <v>-0.125333233564304</v>
      </c>
      <c r="AD250" s="0" t="n">
        <f aca="false">$T$5*(Z250-1)</f>
        <v>0.00861438631743496</v>
      </c>
      <c r="AE250" s="0" t="n">
        <f aca="false">2*$T$5*$U$5*Z250*$X$5/(Y250+Y251)</f>
        <v>1.5575630727121E-005</v>
      </c>
      <c r="AF250" s="0" t="n">
        <f aca="false">AB250*AE250</f>
        <v>1.54528122266222E-005</v>
      </c>
      <c r="AG250" s="0" t="n">
        <f aca="false">AG249+AF249</f>
        <v>0.00363720946791867</v>
      </c>
      <c r="AH250" s="0" t="n">
        <f aca="false">AC250*AE250</f>
        <v>-1.9521441638336E-006</v>
      </c>
      <c r="AI250" s="0" t="n">
        <f aca="false">AI249+AH249</f>
        <v>0.00321796204396236</v>
      </c>
      <c r="AJ250" s="6" t="n">
        <f aca="false">Y250/$P$5</f>
        <v>1.02</v>
      </c>
      <c r="AK250" s="0" t="n">
        <f aca="false">SQRT(AG250^2+AI250^2)</f>
        <v>0.00485639500348763</v>
      </c>
      <c r="AL250" s="0" t="n">
        <f aca="false">$W$5*(Y250/$V$5-Z250)</f>
        <v>0.00445447826587352</v>
      </c>
      <c r="AM250" s="0" t="n">
        <f aca="false">SQRT(AK250^2+AL250^2)</f>
        <v>0.00658991267400708</v>
      </c>
      <c r="AN250" s="2" t="n">
        <f aca="false">Y250</f>
        <v>1020</v>
      </c>
      <c r="AO250" s="0" t="n">
        <f aca="false">AM250/Z250</f>
        <v>0.0054784363147407</v>
      </c>
    </row>
    <row r="251" customFormat="false" ht="12.75" hidden="false" customHeight="false" outlineLevel="0" collapsed="false">
      <c r="Y251" s="0" t="n">
        <f aca="false">Y250+$X$5</f>
        <v>1024</v>
      </c>
      <c r="Z251" s="0" t="n">
        <f aca="false">(Y251/$V$5)^$O$5</f>
        <v>1.20315059618149</v>
      </c>
      <c r="AA251" s="0" t="n">
        <f aca="false">$Q$5*(Y251-$V$5)</f>
        <v>6.18265434226471</v>
      </c>
      <c r="AB251" s="0" t="n">
        <f aca="false">COS(AA251)</f>
        <v>0.9949510169813</v>
      </c>
      <c r="AC251" s="0" t="n">
        <f aca="false">SIN(AA251)</f>
        <v>-0.100361714851215</v>
      </c>
      <c r="AD251" s="0" t="n">
        <f aca="false">$T$5*(Z251-1)</f>
        <v>0.0086257890485269</v>
      </c>
      <c r="AE251" s="0" t="n">
        <f aca="false">2*$T$5*$U$5*Z251*$X$5/(Y251+Y252)</f>
        <v>1.55183708323715E-005</v>
      </c>
      <c r="AF251" s="0" t="n">
        <f aca="false">AB251*AE251</f>
        <v>1.54400188415609E-005</v>
      </c>
      <c r="AG251" s="0" t="n">
        <f aca="false">AG250+AF250</f>
        <v>0.00365266228014529</v>
      </c>
      <c r="AH251" s="0" t="n">
        <f aca="false">AC251*AE251</f>
        <v>-1.55745030843388E-006</v>
      </c>
      <c r="AI251" s="0" t="n">
        <f aca="false">AI250+AH250</f>
        <v>0.00321600989979853</v>
      </c>
      <c r="AJ251" s="6" t="n">
        <f aca="false">Y251/$P$5</f>
        <v>1.024</v>
      </c>
      <c r="AK251" s="0" t="n">
        <f aca="false">SQRT(AG251^2+AI251^2)</f>
        <v>0.0048666889574328</v>
      </c>
      <c r="AL251" s="0" t="n">
        <f aca="false">$W$5*(Y251/$V$5-Z251)</f>
        <v>0.00447276239195844</v>
      </c>
      <c r="AM251" s="0" t="n">
        <f aca="false">SQRT(AK251^2+AL251^2)</f>
        <v>0.00660986118033625</v>
      </c>
      <c r="AN251" s="2" t="n">
        <f aca="false">Y251</f>
        <v>1024</v>
      </c>
      <c r="AO251" s="0" t="n">
        <f aca="false">AM251/Z251</f>
        <v>0.00549379371237014</v>
      </c>
    </row>
    <row r="252" customFormat="false" ht="12.75" hidden="false" customHeight="false" outlineLevel="0" collapsed="false">
      <c r="Y252" s="0" t="n">
        <f aca="false">Y251+$X$5</f>
        <v>1028</v>
      </c>
      <c r="Z252" s="0" t="n">
        <f aca="false">(Y252/$V$5)^$O$5</f>
        <v>1.20341816065043</v>
      </c>
      <c r="AA252" s="0" t="n">
        <f aca="false">$Q$5*(Y252-$V$5)</f>
        <v>6.20778708349343</v>
      </c>
      <c r="AB252" s="0" t="n">
        <f aca="false">COS(AA252)</f>
        <v>0.997158900260614</v>
      </c>
      <c r="AC252" s="0" t="n">
        <f aca="false">SIN(AA252)</f>
        <v>-0.0753268055279327</v>
      </c>
      <c r="AD252" s="0" t="n">
        <f aca="false">$T$5*(Z252-1)</f>
        <v>0.00863714985528492</v>
      </c>
      <c r="AE252" s="0" t="n">
        <f aca="false">2*$T$5*$U$5*Z252*$X$5/(Y252+Y253)</f>
        <v>1.5461542988756E-005</v>
      </c>
      <c r="AF252" s="0" t="n">
        <f aca="false">AB252*AE252</f>
        <v>1.54176152030002E-005</v>
      </c>
      <c r="AG252" s="0" t="n">
        <f aca="false">AG251+AF251</f>
        <v>0.00366810229898685</v>
      </c>
      <c r="AH252" s="0" t="n">
        <f aca="false">AC252*AE252</f>
        <v>-1.1646686418758E-006</v>
      </c>
      <c r="AI252" s="0" t="n">
        <f aca="false">AI251+AH251</f>
        <v>0.00321445244949009</v>
      </c>
      <c r="AJ252" s="6" t="n">
        <f aca="false">Y252/$P$5</f>
        <v>1.028</v>
      </c>
      <c r="AK252" s="0" t="n">
        <f aca="false">SQRT(AG252^2+AI252^2)</f>
        <v>0.00487726142685273</v>
      </c>
      <c r="AL252" s="0" t="n">
        <f aca="false">$W$5*(Y252/$V$5-Z252)</f>
        <v>0.00449104669906377</v>
      </c>
      <c r="AM252" s="0" t="n">
        <f aca="false">SQRT(AK252^2+AL252^2)</f>
        <v>0.00663002107681695</v>
      </c>
      <c r="AN252" s="2" t="n">
        <f aca="false">Y252</f>
        <v>1028</v>
      </c>
      <c r="AO252" s="0" t="n">
        <f aca="false">AM252/Z252</f>
        <v>0.00550932443402175</v>
      </c>
    </row>
    <row r="253" customFormat="false" ht="12.75" hidden="false" customHeight="false" outlineLevel="0" collapsed="false">
      <c r="Y253" s="0" t="n">
        <f aca="false">Y252+$X$5</f>
        <v>1032</v>
      </c>
      <c r="Z253" s="0" t="n">
        <f aca="false">(Y253/$V$5)^$O$5</f>
        <v>1.20368474518799</v>
      </c>
      <c r="AA253" s="0" t="n">
        <f aca="false">$Q$5*(Y253-$V$5)</f>
        <v>6.23291982472215</v>
      </c>
      <c r="AB253" s="0" t="n">
        <f aca="false">COS(AA253)</f>
        <v>0.998736956606018</v>
      </c>
      <c r="AC253" s="0" t="n">
        <f aca="false">SIN(AA253)</f>
        <v>-0.0502443181797693</v>
      </c>
      <c r="AD253" s="0" t="n">
        <f aca="false">$T$5*(Z253-1)</f>
        <v>0.00864846905408503</v>
      </c>
      <c r="AE253" s="0" t="n">
        <f aca="false">2*$T$5*$U$5*Z253*$X$5/(Y253+Y254)</f>
        <v>1.54051422775037E-005</v>
      </c>
      <c r="AF253" s="0" t="n">
        <f aca="false">AB253*AE253</f>
        <v>1.53856849143168E-005</v>
      </c>
      <c r="AG253" s="0" t="n">
        <f aca="false">AG252+AF252</f>
        <v>0.00368351991418985</v>
      </c>
      <c r="AH253" s="0" t="n">
        <f aca="false">AC253*AE253</f>
        <v>-7.74020870195514E-007</v>
      </c>
      <c r="AI253" s="0" t="n">
        <f aca="false">AI252+AH252</f>
        <v>0.00321328778084822</v>
      </c>
      <c r="AJ253" s="6" t="n">
        <f aca="false">Y253/$P$5</f>
        <v>1.032</v>
      </c>
      <c r="AK253" s="0" t="n">
        <f aca="false">SQRT(AG253^2+AI253^2)</f>
        <v>0.00488810160704354</v>
      </c>
      <c r="AL253" s="0" t="n">
        <f aca="false">$W$5*(Y253/$V$5-Z253)</f>
        <v>0.00450933118582344</v>
      </c>
      <c r="AM253" s="0" t="n">
        <f aca="false">SQRT(AK253^2+AL253^2)</f>
        <v>0.00665038382833815</v>
      </c>
      <c r="AN253" s="2" t="n">
        <f aca="false">Y253</f>
        <v>1032</v>
      </c>
      <c r="AO253" s="0" t="n">
        <f aca="false">AM253/Z253</f>
        <v>0.00552502127731087</v>
      </c>
    </row>
    <row r="254" customFormat="false" ht="12.75" hidden="false" customHeight="false" outlineLevel="0" collapsed="false">
      <c r="Y254" s="0" t="n">
        <f aca="false">Y253+$X$5</f>
        <v>1036</v>
      </c>
      <c r="Z254" s="0" t="n">
        <f aca="false">(Y254/$V$5)^$O$5</f>
        <v>1.20395035716045</v>
      </c>
      <c r="AA254" s="0" t="n">
        <f aca="false">$Q$5*(Y254-$V$5)</f>
        <v>6.25805256595087</v>
      </c>
      <c r="AB254" s="0" t="n">
        <f aca="false">COS(AA254)</f>
        <v>0.9996841892833</v>
      </c>
      <c r="AC254" s="0" t="n">
        <f aca="false">SIN(AA254)</f>
        <v>-0.0251300954433371</v>
      </c>
      <c r="AD254" s="0" t="n">
        <f aca="false">$T$5*(Z254-1)</f>
        <v>0.00865974695770097</v>
      </c>
      <c r="AE254" s="0" t="n">
        <f aca="false">2*$T$5*$U$5*Z254*$X$5/(Y254+Y255)</f>
        <v>1.53491638545812E-005</v>
      </c>
      <c r="AF254" s="0" t="n">
        <f aca="false">AB254*AE254</f>
        <v>1.53443164241435E-005</v>
      </c>
      <c r="AG254" s="0" t="n">
        <f aca="false">AG253+AF253</f>
        <v>0.00369890559910417</v>
      </c>
      <c r="AH254" s="0" t="n">
        <f aca="false">AC254*AE254</f>
        <v>-3.85725952641044E-007</v>
      </c>
      <c r="AI254" s="0" t="n">
        <f aca="false">AI253+AH253</f>
        <v>0.00321251375997802</v>
      </c>
      <c r="AJ254" s="6" t="n">
        <f aca="false">Y254/$P$5</f>
        <v>1.036</v>
      </c>
      <c r="AK254" s="0" t="n">
        <f aca="false">SQRT(AG254^2+AI254^2)</f>
        <v>0.00489919863744391</v>
      </c>
      <c r="AL254" s="0" t="n">
        <f aca="false">$W$5*(Y254/$V$5-Z254)</f>
        <v>0.00452761585088699</v>
      </c>
      <c r="AM254" s="0" t="n">
        <f aca="false">SQRT(AK254^2+AL254^2)</f>
        <v>0.00667094090682382</v>
      </c>
      <c r="AN254" s="2" t="n">
        <f aca="false">Y254</f>
        <v>1036</v>
      </c>
      <c r="AO254" s="0" t="n">
        <f aca="false">AM254/Z254</f>
        <v>0.00554087705290224</v>
      </c>
    </row>
    <row r="255" customFormat="false" ht="12.75" hidden="false" customHeight="false" outlineLevel="0" collapsed="false">
      <c r="Y255" s="0" t="n">
        <f aca="false">Y254+$X$5</f>
        <v>1040</v>
      </c>
      <c r="Z255" s="0" t="n">
        <f aca="false">(Y255/$V$5)^$O$5</f>
        <v>1.20421500385058</v>
      </c>
      <c r="AA255" s="0" t="n">
        <f aca="false">$Q$5*(Y255-$V$5)</f>
        <v>6.28318530717959</v>
      </c>
      <c r="AB255" s="0" t="n">
        <f aca="false">COS(AA255)</f>
        <v>1</v>
      </c>
      <c r="AC255" s="0" t="n">
        <f aca="false">SIN(AA255)</f>
        <v>-2.44929359829471E-016</v>
      </c>
      <c r="AD255" s="0" t="n">
        <f aca="false">$T$5*(Z255-1)</f>
        <v>0.00867098387535892</v>
      </c>
      <c r="AE255" s="0" t="n">
        <f aca="false">2*$T$5*$U$5*Z255*$X$5/(Y255+Y256)</f>
        <v>1.52936029492744E-005</v>
      </c>
      <c r="AF255" s="0" t="n">
        <f aca="false">AB255*AE255</f>
        <v>1.52936029492744E-005</v>
      </c>
      <c r="AG255" s="0" t="n">
        <f aca="false">AG254+AF254</f>
        <v>0.00371424991552831</v>
      </c>
      <c r="AH255" s="0" t="n">
        <f aca="false">AC255*AE255</f>
        <v>-3.74585237985188E-021</v>
      </c>
      <c r="AI255" s="0" t="n">
        <f aca="false">AI254+AH254</f>
        <v>0.00321212803402538</v>
      </c>
      <c r="AJ255" s="6" t="n">
        <f aca="false">Y255/$P$5</f>
        <v>1.04</v>
      </c>
      <c r="AK255" s="0" t="n">
        <f aca="false">SQRT(AG255^2+AI255^2)</f>
        <v>0.00491054161391326</v>
      </c>
      <c r="AL255" s="0" t="n">
        <f aca="false">$W$5*(Y255/$V$5-Z255)</f>
        <v>0.00454590069291922</v>
      </c>
      <c r="AM255" s="0" t="n">
        <f aca="false">SQRT(AK255^2+AL255^2)</f>
        <v>0.00669168379795828</v>
      </c>
      <c r="AN255" s="2" t="n">
        <f aca="false">Y255</f>
        <v>1040</v>
      </c>
      <c r="AO255" s="0" t="n">
        <f aca="false">AM255/Z255</f>
        <v>0.00555688459001177</v>
      </c>
    </row>
    <row r="256" customFormat="false" ht="12.75" hidden="false" customHeight="false" outlineLevel="0" collapsed="false">
      <c r="Y256" s="0" t="n">
        <f aca="false">Y255+$X$5</f>
        <v>1044</v>
      </c>
      <c r="Z256" s="0" t="n">
        <f aca="false">(Y256/$V$5)^$O$5</f>
        <v>1.20447869245885</v>
      </c>
      <c r="AA256" s="0" t="n">
        <f aca="false">$Q$5*(Y256-$V$5)</f>
        <v>6.30831804840831</v>
      </c>
      <c r="AB256" s="0" t="n">
        <f aca="false">COS(AA256)</f>
        <v>0.9996841892833</v>
      </c>
      <c r="AC256" s="0" t="n">
        <f aca="false">SIN(AA256)</f>
        <v>0.0251300954433374</v>
      </c>
      <c r="AD256" s="0" t="n">
        <f aca="false">$T$5*(Z256-1)</f>
        <v>0.00868218011279124</v>
      </c>
      <c r="AE256" s="0" t="n">
        <f aca="false">2*$T$5*$U$5*Z256*$X$5/(Y256+Y257)</f>
        <v>1.5238454862803E-005</v>
      </c>
      <c r="AF256" s="0" t="n">
        <f aca="false">AB256*AE256</f>
        <v>1.52336423954514E-005</v>
      </c>
      <c r="AG256" s="0" t="n">
        <f aca="false">AG255+AF255</f>
        <v>0.00372954351847759</v>
      </c>
      <c r="AH256" s="0" t="n">
        <f aca="false">AC256*AE256</f>
        <v>3.82943825111229E-007</v>
      </c>
      <c r="AI256" s="0" t="n">
        <f aca="false">AI255+AH255</f>
        <v>0.00321212803402538</v>
      </c>
      <c r="AJ256" s="6" t="n">
        <f aca="false">Y256/$P$5</f>
        <v>1.044</v>
      </c>
      <c r="AK256" s="0" t="n">
        <f aca="false">SQRT(AG256^2+AI256^2)</f>
        <v>0.00492211960065884</v>
      </c>
      <c r="AL256" s="0" t="n">
        <f aca="false">$W$5*(Y256/$V$5-Z256)</f>
        <v>0.00456418571060007</v>
      </c>
      <c r="AM256" s="0" t="n">
        <f aca="false">SQRT(AK256^2+AL256^2)</f>
        <v>0.0067126040076885</v>
      </c>
      <c r="AN256" s="2" t="n">
        <f aca="false">Y256</f>
        <v>1044</v>
      </c>
      <c r="AO256" s="0" t="n">
        <f aca="false">AM256/Z256</f>
        <v>0.00557303674171708</v>
      </c>
    </row>
    <row r="257" customFormat="false" ht="12.75" hidden="false" customHeight="false" outlineLevel="0" collapsed="false">
      <c r="Y257" s="0" t="n">
        <f aca="false">Y256+$X$5</f>
        <v>1048</v>
      </c>
      <c r="Z257" s="0" t="n">
        <f aca="false">(Y257/$V$5)^$O$5</f>
        <v>1.20474143010466</v>
      </c>
      <c r="AA257" s="0" t="n">
        <f aca="false">$Q$5*(Y257-$V$5)</f>
        <v>6.33345078963702</v>
      </c>
      <c r="AB257" s="0" t="n">
        <f aca="false">COS(AA257)</f>
        <v>0.998736956606018</v>
      </c>
      <c r="AC257" s="0" t="n">
        <f aca="false">SIN(AA257)</f>
        <v>0.0502443181797697</v>
      </c>
      <c r="AD257" s="0" t="n">
        <f aca="false">$T$5*(Z257-1)</f>
        <v>0.00869333597228911</v>
      </c>
      <c r="AE257" s="0" t="n">
        <f aca="false">2*$T$5*$U$5*Z257*$X$5/(Y257+Y258)</f>
        <v>1.51837149669657E-005</v>
      </c>
      <c r="AF257" s="0" t="n">
        <f aca="false">AB257*AE257</f>
        <v>1.51645372760805E-005</v>
      </c>
      <c r="AG257" s="0" t="n">
        <f aca="false">AG256+AF256</f>
        <v>0.00374477716087304</v>
      </c>
      <c r="AH257" s="0" t="n">
        <f aca="false">AC257*AE257</f>
        <v>7.62895405951155E-007</v>
      </c>
      <c r="AI257" s="0" t="n">
        <f aca="false">AI256+AH256</f>
        <v>0.00321251097785049</v>
      </c>
      <c r="AJ257" s="6" t="n">
        <f aca="false">Y257/$P$5</f>
        <v>1.048</v>
      </c>
      <c r="AK257" s="0" t="n">
        <f aca="false">SQRT(AG257^2+AI257^2)</f>
        <v>0.00493392164179836</v>
      </c>
      <c r="AL257" s="0" t="n">
        <f aca="false">$W$5*(Y257/$V$5-Z257)</f>
        <v>0.00458247090262428</v>
      </c>
      <c r="AM257" s="0" t="n">
        <f aca="false">SQRT(AK257^2+AL257^2)</f>
        <v>0.00673369306850293</v>
      </c>
      <c r="AN257" s="2" t="n">
        <f aca="false">Y257</f>
        <v>1048</v>
      </c>
      <c r="AO257" s="0" t="n">
        <f aca="false">AM257/Z257</f>
        <v>0.00558932639007687</v>
      </c>
    </row>
    <row r="258" customFormat="false" ht="12.75" hidden="false" customHeight="false" outlineLevel="0" collapsed="false">
      <c r="Y258" s="0" t="n">
        <f aca="false">Y257+$X$5</f>
        <v>1052</v>
      </c>
      <c r="Z258" s="0" t="n">
        <f aca="false">(Y258/$V$5)^$O$5</f>
        <v>1.20500322382763</v>
      </c>
      <c r="AA258" s="0" t="n">
        <f aca="false">$Q$5*(Y258-$V$5)</f>
        <v>6.35858353086574</v>
      </c>
      <c r="AB258" s="0" t="n">
        <f aca="false">COS(AA258)</f>
        <v>0.997158900260614</v>
      </c>
      <c r="AC258" s="0" t="n">
        <f aca="false">SIN(AA258)</f>
        <v>0.0753268055279331</v>
      </c>
      <c r="AD258" s="0" t="n">
        <f aca="false">$T$5*(Z258-1)</f>
        <v>0.00870445175275426</v>
      </c>
      <c r="AE258" s="0" t="n">
        <f aca="false">2*$T$5*$U$5*Z258*$X$5/(Y258+Y259)</f>
        <v>1.51293787028161E-005</v>
      </c>
      <c r="AF258" s="0" t="n">
        <f aca="false">AB258*AE258</f>
        <v>1.50863946289265E-005</v>
      </c>
      <c r="AG258" s="0" t="n">
        <f aca="false">AG257+AF257</f>
        <v>0.00375994169814912</v>
      </c>
      <c r="AH258" s="0" t="n">
        <f aca="false">AC258*AE258</f>
        <v>1.13964776730548E-006</v>
      </c>
      <c r="AI258" s="0" t="n">
        <f aca="false">AI257+AH257</f>
        <v>0.00321327387325644</v>
      </c>
      <c r="AJ258" s="6" t="n">
        <f aca="false">Y258/$P$5</f>
        <v>1.052</v>
      </c>
      <c r="AK258" s="0" t="n">
        <f aca="false">SQRT(AG258^2+AI258^2)</f>
        <v>0.00494593677254703</v>
      </c>
      <c r="AL258" s="0" t="n">
        <f aca="false">$W$5*(Y258/$V$5-Z258)</f>
        <v>0.00460075626770128</v>
      </c>
      <c r="AM258" s="0" t="n">
        <f aca="false">SQRT(AK258^2+AL258^2)</f>
        <v>0.00675494254548664</v>
      </c>
      <c r="AN258" s="2" t="n">
        <f aca="false">Y258</f>
        <v>1052</v>
      </c>
      <c r="AO258" s="0" t="n">
        <f aca="false">AM258/Z258</f>
        <v>0.00560574645105923</v>
      </c>
    </row>
    <row r="259" customFormat="false" ht="12.75" hidden="false" customHeight="false" outlineLevel="0" collapsed="false">
      <c r="Y259" s="0" t="n">
        <f aca="false">Y258+$X$5</f>
        <v>1056</v>
      </c>
      <c r="Z259" s="0" t="n">
        <f aca="false">(Y259/$V$5)^$O$5</f>
        <v>1.2052640805887</v>
      </c>
      <c r="AA259" s="0" t="n">
        <f aca="false">$Q$5*(Y259-$V$5)</f>
        <v>6.38371627209446</v>
      </c>
      <c r="AB259" s="0" t="n">
        <f aca="false">COS(AA259)</f>
        <v>0.9949510169813</v>
      </c>
      <c r="AC259" s="0" t="n">
        <f aca="false">SIN(AA259)</f>
        <v>0.100361714851215</v>
      </c>
      <c r="AD259" s="0" t="n">
        <f aca="false">$T$5*(Z259-1)</f>
        <v>0.0087155277497497</v>
      </c>
      <c r="AE259" s="0" t="n">
        <f aca="false">2*$T$5*$U$5*Z259*$X$5/(Y259+Y260)</f>
        <v>1.50754415793689E-005</v>
      </c>
      <c r="AF259" s="0" t="n">
        <f aca="false">AB259*AE259</f>
        <v>1.49993259308352E-005</v>
      </c>
      <c r="AG259" s="0" t="n">
        <f aca="false">AG258+AF258</f>
        <v>0.00377502809277805</v>
      </c>
      <c r="AH259" s="0" t="n">
        <f aca="false">AC259*AE259</f>
        <v>1.51299716904476E-006</v>
      </c>
      <c r="AI259" s="0" t="n">
        <f aca="false">AI258+AH258</f>
        <v>0.00321441352102375</v>
      </c>
      <c r="AJ259" s="6" t="n">
        <f aca="false">Y259/$P$5</f>
        <v>1.056</v>
      </c>
      <c r="AK259" s="0" t="n">
        <f aca="false">SQRT(AG259^2+AI259^2)</f>
        <v>0.00495815403002002</v>
      </c>
      <c r="AL259" s="0" t="n">
        <f aca="false">$W$5*(Y259/$V$5-Z259)</f>
        <v>0.00461904180455488</v>
      </c>
      <c r="AM259" s="0" t="n">
        <f aca="false">SQRT(AK259^2+AL259^2)</f>
        <v>0.00677634404215351</v>
      </c>
      <c r="AN259" s="2" t="n">
        <f aca="false">Y259</f>
        <v>1056</v>
      </c>
      <c r="AO259" s="0" t="n">
        <f aca="false">AM259/Z259</f>
        <v>0.00562228987927994</v>
      </c>
    </row>
    <row r="260" customFormat="false" ht="12.75" hidden="false" customHeight="false" outlineLevel="0" collapsed="false">
      <c r="Y260" s="0" t="n">
        <f aca="false">Y259+$X$5</f>
        <v>1060</v>
      </c>
      <c r="Z260" s="0" t="n">
        <f aca="false">(Y260/$V$5)^$O$5</f>
        <v>1.20552400727139</v>
      </c>
      <c r="AA260" s="0" t="n">
        <f aca="false">$Q$5*(Y260-$V$5)</f>
        <v>6.40884901332318</v>
      </c>
      <c r="AB260" s="0" t="n">
        <f aca="false">COS(AA260)</f>
        <v>0.992114701314478</v>
      </c>
      <c r="AC260" s="0" t="n">
        <f aca="false">SIN(AA260)</f>
        <v>0.125333233564304</v>
      </c>
      <c r="AD260" s="0" t="n">
        <f aca="false">$T$5*(Z260-1)</f>
        <v>0.00872656425554945</v>
      </c>
      <c r="AE260" s="0" t="n">
        <f aca="false">2*$T$5*$U$5*Z260*$X$5/(Y260+Y261)</f>
        <v>1.50218991723341E-005</v>
      </c>
      <c r="AF260" s="0" t="n">
        <f aca="false">AB260*AE260</f>
        <v>1.49034470105364E-005</v>
      </c>
      <c r="AG260" s="0" t="n">
        <f aca="false">AG259+AF259</f>
        <v>0.00379002741870888</v>
      </c>
      <c r="AH260" s="0" t="n">
        <f aca="false">AC260*AE260</f>
        <v>1.88274319754557E-006</v>
      </c>
      <c r="AI260" s="0" t="n">
        <f aca="false">AI259+AH259</f>
        <v>0.00321592651819279</v>
      </c>
      <c r="AJ260" s="6" t="n">
        <f aca="false">Y260/$P$5</f>
        <v>1.06</v>
      </c>
      <c r="AK260" s="0" t="n">
        <f aca="false">SQRT(AG260^2+AI260^2)</f>
        <v>0.0049705624636434</v>
      </c>
      <c r="AL260" s="0" t="n">
        <f aca="false">$W$5*(Y260/$V$5-Z260)</f>
        <v>0.0046373275119231</v>
      </c>
      <c r="AM260" s="0" t="n">
        <f aca="false">SQRT(AK260^2+AL260^2)</f>
        <v>0.00679788920605651</v>
      </c>
      <c r="AN260" s="2" t="n">
        <f aca="false">Y260</f>
        <v>1060</v>
      </c>
      <c r="AO260" s="0" t="n">
        <f aca="false">AM260/Z260</f>
        <v>0.00563894967255192</v>
      </c>
    </row>
    <row r="261" customFormat="false" ht="12.75" hidden="false" customHeight="false" outlineLevel="0" collapsed="false">
      <c r="Y261" s="0" t="n">
        <f aca="false">Y260+$X$5</f>
        <v>1064</v>
      </c>
      <c r="Z261" s="0" t="n">
        <f aca="false">(Y261/$V$5)^$O$5</f>
        <v>1.20578301068289</v>
      </c>
      <c r="AA261" s="0" t="n">
        <f aca="false">$Q$5*(Y261-$V$5)</f>
        <v>6.4339817545519</v>
      </c>
      <c r="AB261" s="0" t="n">
        <f aca="false">COS(AA261)</f>
        <v>0.988651744737914</v>
      </c>
      <c r="AC261" s="0" t="n">
        <f aca="false">SIN(AA261)</f>
        <v>0.150225589120757</v>
      </c>
      <c r="AD261" s="0" t="n">
        <f aca="false">$T$5*(Z261-1)</f>
        <v>0.00873756155918746</v>
      </c>
      <c r="AE261" s="0" t="n">
        <f aca="false">2*$T$5*$U$5*Z261*$X$5/(Y261+Y262)</f>
        <v>1.49687471228804E-005</v>
      </c>
      <c r="AF261" s="0" t="n">
        <f aca="false">AB261*AE261</f>
        <v>1.47988779595763E-005</v>
      </c>
      <c r="AG261" s="0" t="n">
        <f aca="false">AG260+AF260</f>
        <v>0.00380493086571942</v>
      </c>
      <c r="AH261" s="0" t="n">
        <f aca="false">AC261*AE261</f>
        <v>2.24868885493434E-006</v>
      </c>
      <c r="AI261" s="0" t="n">
        <f aca="false">AI260+AH260</f>
        <v>0.00321780926139034</v>
      </c>
      <c r="AJ261" s="6" t="n">
        <f aca="false">Y261/$P$5</f>
        <v>1.064</v>
      </c>
      <c r="AK261" s="0" t="n">
        <f aca="false">SQRT(AG261^2+AI261^2)</f>
        <v>0.00498315114516846</v>
      </c>
      <c r="AL261" s="0" t="n">
        <f aca="false">$W$5*(Y261/$V$5-Z261)</f>
        <v>0.00465561338855796</v>
      </c>
      <c r="AM261" s="0" t="n">
        <f aca="false">SQRT(AK261^2+AL261^2)</f>
        <v>0.0068195697341778</v>
      </c>
      <c r="AN261" s="2" t="n">
        <f aca="false">Y261</f>
        <v>1064</v>
      </c>
      <c r="AO261" s="0" t="n">
        <f aca="false">AM261/Z261</f>
        <v>0.00565571887624751</v>
      </c>
    </row>
    <row r="262" customFormat="false" ht="12.75" hidden="false" customHeight="false" outlineLevel="0" collapsed="false">
      <c r="Y262" s="0" t="n">
        <f aca="false">Y261+$X$5</f>
        <v>1068</v>
      </c>
      <c r="Z262" s="0" t="n">
        <f aca="false">(Y262/$V$5)^$O$5</f>
        <v>1.20604109755522</v>
      </c>
      <c r="AA262" s="0" t="n">
        <f aca="false">$Q$5*(Y262-$V$5)</f>
        <v>6.45911449578062</v>
      </c>
      <c r="AB262" s="0" t="n">
        <f aca="false">COS(AA262)</f>
        <v>0.984564334529205</v>
      </c>
      <c r="AC262" s="0" t="n">
        <f aca="false">SIN(AA262)</f>
        <v>0.175023058975276</v>
      </c>
      <c r="AD262" s="0" t="n">
        <f aca="false">$T$5*(Z262-1)</f>
        <v>0.00874851994650546</v>
      </c>
      <c r="AE262" s="0" t="n">
        <f aca="false">2*$T$5*$U$5*Z262*$X$5/(Y262+Y263)</f>
        <v>1.49159811364254E-005</v>
      </c>
      <c r="AF262" s="0" t="n">
        <f aca="false">AB262*AE262</f>
        <v>1.46857430414348E-005</v>
      </c>
      <c r="AG262" s="0" t="n">
        <f aca="false">AG261+AF261</f>
        <v>0.00381972974367899</v>
      </c>
      <c r="AH262" s="0" t="n">
        <f aca="false">AC262*AE262</f>
        <v>2.61064064611469E-006</v>
      </c>
      <c r="AI262" s="0" t="n">
        <f aca="false">AI261+AH261</f>
        <v>0.00322005795024527</v>
      </c>
      <c r="AJ262" s="6" t="n">
        <f aca="false">Y262/$P$5</f>
        <v>1.068</v>
      </c>
      <c r="AK262" s="0" t="n">
        <f aca="false">SQRT(AG262^2+AI262^2)</f>
        <v>0.00499590917828615</v>
      </c>
      <c r="AL262" s="0" t="n">
        <f aca="false">$W$5*(Y262/$V$5-Z262)</f>
        <v>0.00467389943322525</v>
      </c>
      <c r="AM262" s="0" t="n">
        <f aca="false">SQRT(AK262^2+AL262^2)</f>
        <v>0.00684137737810063</v>
      </c>
      <c r="AN262" s="2" t="n">
        <f aca="false">Y262</f>
        <v>1068</v>
      </c>
      <c r="AO262" s="0" t="n">
        <f aca="false">AM262/Z262</f>
        <v>0.00567259058747575</v>
      </c>
    </row>
    <row r="263" customFormat="false" ht="12.75" hidden="false" customHeight="false" outlineLevel="0" collapsed="false">
      <c r="Y263" s="0" t="n">
        <f aca="false">Y262+$X$5</f>
        <v>1072</v>
      </c>
      <c r="Z263" s="0" t="n">
        <f aca="false">(Y263/$V$5)^$O$5</f>
        <v>1.2062982745463</v>
      </c>
      <c r="AA263" s="0" t="n">
        <f aca="false">$Q$5*(Y263-$V$5)</f>
        <v>6.48424723700933</v>
      </c>
      <c r="AB263" s="0" t="n">
        <f aca="false">COS(AA263)</f>
        <v>0.979855052384247</v>
      </c>
      <c r="AC263" s="0" t="n">
        <f aca="false">SIN(AA263)</f>
        <v>0.199709980514408</v>
      </c>
      <c r="AD263" s="0" t="n">
        <f aca="false">$T$5*(Z263-1)</f>
        <v>0.00875943970020015</v>
      </c>
      <c r="AE263" s="0" t="n">
        <f aca="false">2*$T$5*$U$5*Z263*$X$5/(Y263+Y264)</f>
        <v>1.4863596981453E-005</v>
      </c>
      <c r="AF263" s="0" t="n">
        <f aca="false">AB263*AE263</f>
        <v>1.45641705988799E-005</v>
      </c>
      <c r="AG263" s="0" t="n">
        <f aca="false">AG262+AF262</f>
        <v>0.00383441548672043</v>
      </c>
      <c r="AH263" s="0" t="n">
        <f aca="false">AC263*AE263</f>
        <v>2.96840866353998E-006</v>
      </c>
      <c r="AI263" s="0" t="n">
        <f aca="false">AI262+AH262</f>
        <v>0.00322266859089139</v>
      </c>
      <c r="AJ263" s="6" t="n">
        <f aca="false">Y263/$P$5</f>
        <v>1.072</v>
      </c>
      <c r="AK263" s="0" t="n">
        <f aca="false">SQRT(AG263^2+AI263^2)</f>
        <v>0.00500882570784005</v>
      </c>
      <c r="AL263" s="0" t="n">
        <f aca="false">$W$5*(Y263/$V$5-Z263)</f>
        <v>0.00469218564470436</v>
      </c>
      <c r="AM263" s="0" t="n">
        <f aca="false">SQRT(AK263^2+AL263^2)</f>
        <v>0.00686330394896576</v>
      </c>
      <c r="AN263" s="2" t="n">
        <f aca="false">Y263</f>
        <v>1072</v>
      </c>
      <c r="AO263" s="0" t="n">
        <f aca="false">AM263/Z263</f>
        <v>0.005689557959077</v>
      </c>
    </row>
    <row r="264" customFormat="false" ht="12.75" hidden="false" customHeight="false" outlineLevel="0" collapsed="false">
      <c r="Y264" s="0" t="n">
        <f aca="false">Y263+$X$5</f>
        <v>1076</v>
      </c>
      <c r="Z264" s="0" t="n">
        <f aca="false">(Y264/$V$5)^$O$5</f>
        <v>1.2065545482411</v>
      </c>
      <c r="AA264" s="0" t="n">
        <f aca="false">$Q$5*(Y264-$V$5)</f>
        <v>6.50937997823805</v>
      </c>
      <c r="AB264" s="0" t="n">
        <f aca="false">COS(AA264)</f>
        <v>0.974526872786577</v>
      </c>
      <c r="AC264" s="0" t="n">
        <f aca="false">SIN(AA264)</f>
        <v>0.224270760949381</v>
      </c>
      <c r="AD264" s="0" t="n">
        <f aca="false">$T$5*(Z264-1)</f>
        <v>0.00877032109986925</v>
      </c>
      <c r="AE264" s="0" t="n">
        <f aca="false">2*$T$5*$U$5*Z264*$X$5/(Y264+Y265)</f>
        <v>1.48115904883565E-005</v>
      </c>
      <c r="AF264" s="0" t="n">
        <f aca="false">AB264*AE264</f>
        <v>1.44342929596134E-005</v>
      </c>
      <c r="AG264" s="0" t="n">
        <f aca="false">AG263+AF263</f>
        <v>0.00384897965731931</v>
      </c>
      <c r="AH264" s="0" t="n">
        <f aca="false">AC264*AE264</f>
        <v>3.32180666969432E-006</v>
      </c>
      <c r="AI264" s="0" t="n">
        <f aca="false">AI263+AH263</f>
        <v>0.00322563699955493</v>
      </c>
      <c r="AJ264" s="6" t="n">
        <f aca="false">Y264/$P$5</f>
        <v>1.076</v>
      </c>
      <c r="AK264" s="0" t="n">
        <f aca="false">SQRT(AG264^2+AI264^2)</f>
        <v>0.00502188992863798</v>
      </c>
      <c r="AL264" s="0" t="n">
        <f aca="false">$W$5*(Y264/$V$5-Z264)</f>
        <v>0.00471047202178802</v>
      </c>
      <c r="AM264" s="0" t="n">
        <f aca="false">SQRT(AK264^2+AL264^2)</f>
        <v>0.00688534132221514</v>
      </c>
      <c r="AN264" s="2" t="n">
        <f aca="false">Y264</f>
        <v>1076</v>
      </c>
      <c r="AO264" s="0" t="n">
        <f aca="false">AM264/Z264</f>
        <v>0.00570661420343778</v>
      </c>
    </row>
    <row r="265" customFormat="false" ht="12.75" hidden="false" customHeight="false" outlineLevel="0" collapsed="false">
      <c r="Y265" s="0" t="n">
        <f aca="false">Y264+$X$5</f>
        <v>1080</v>
      </c>
      <c r="Z265" s="0" t="n">
        <f aca="false">(Y265/$V$5)^$O$5</f>
        <v>1.20680992515267</v>
      </c>
      <c r="AA265" s="0" t="n">
        <f aca="false">$Q$5*(Y265-$V$5)</f>
        <v>6.53451271946677</v>
      </c>
      <c r="AB265" s="0" t="n">
        <f aca="false">COS(AA265)</f>
        <v>0.968583161128631</v>
      </c>
      <c r="AC265" s="0" t="n">
        <f aca="false">SIN(AA265)</f>
        <v>0.248689887164855</v>
      </c>
      <c r="AD265" s="0" t="n">
        <f aca="false">$T$5*(Z265-1)</f>
        <v>0.00878116442205694</v>
      </c>
      <c r="AE265" s="0" t="n">
        <f aca="false">2*$T$5*$U$5*Z265*$X$5/(Y265+Y266)</f>
        <v>1.47599575483073E-005</v>
      </c>
      <c r="AF265" s="0" t="n">
        <f aca="false">AB265*AE265</f>
        <v>1.42962463402639E-005</v>
      </c>
      <c r="AG265" s="0" t="n">
        <f aca="false">AG264+AF264</f>
        <v>0.00386341395027892</v>
      </c>
      <c r="AH265" s="0" t="n">
        <f aca="false">AC265*AE265</f>
        <v>3.67065217724659E-006</v>
      </c>
      <c r="AI265" s="0" t="n">
        <f aca="false">AI264+AH264</f>
        <v>0.00322895880622462</v>
      </c>
      <c r="AJ265" s="6" t="n">
        <f aca="false">Y265/$P$5</f>
        <v>1.08</v>
      </c>
      <c r="AK265" s="0" t="n">
        <f aca="false">SQRT(AG265^2+AI265^2)</f>
        <v>0.00503509109386368</v>
      </c>
      <c r="AL265" s="0" t="n">
        <f aca="false">$W$5*(Y265/$V$5-Z265)</f>
        <v>0.0047287585632822</v>
      </c>
      <c r="AM265" s="0" t="n">
        <f aca="false">SQRT(AK265^2+AL265^2)</f>
        <v>0.00690748144212636</v>
      </c>
      <c r="AN265" s="2" t="n">
        <f aca="false">Y265</f>
        <v>1080</v>
      </c>
      <c r="AO265" s="0" t="n">
        <f aca="false">AM265/Z265</f>
        <v>0.00572375259612861</v>
      </c>
    </row>
    <row r="266" customFormat="false" ht="12.75" hidden="false" customHeight="false" outlineLevel="0" collapsed="false">
      <c r="Y266" s="0" t="n">
        <f aca="false">Y265+$X$5</f>
        <v>1084</v>
      </c>
      <c r="Z266" s="0" t="n">
        <f aca="false">(Y266/$V$5)^$O$5</f>
        <v>1.20706441172317</v>
      </c>
      <c r="AA266" s="0" t="n">
        <f aca="false">$Q$5*(Y266-$V$5)</f>
        <v>6.55964546069549</v>
      </c>
      <c r="AB266" s="0" t="n">
        <f aca="false">COS(AA266)</f>
        <v>0.962027671586086</v>
      </c>
      <c r="AC266" s="0" t="n">
        <f aca="false">SIN(AA266)</f>
        <v>0.272951935517326</v>
      </c>
      <c r="AD266" s="0" t="n">
        <f aca="false">$T$5*(Z266-1)</f>
        <v>0.00879196994029834</v>
      </c>
      <c r="AE266" s="0" t="n">
        <f aca="false">2*$T$5*$U$5*Z266*$X$5/(Y266+Y267)</f>
        <v>1.47086941121487E-005</v>
      </c>
      <c r="AF266" s="0" t="n">
        <f aca="false">AB266*AE266</f>
        <v>1.41501707487824E-005</v>
      </c>
      <c r="AG266" s="0" t="n">
        <f aca="false">AG265+AF265</f>
        <v>0.00387771019661919</v>
      </c>
      <c r="AH266" s="0" t="n">
        <f aca="false">AC266*AE266</f>
        <v>4.01476652684328E-006</v>
      </c>
      <c r="AI266" s="0" t="n">
        <f aca="false">AI265+AH265</f>
        <v>0.00323262945840187</v>
      </c>
      <c r="AJ266" s="6" t="n">
        <f aca="false">Y266/$P$5</f>
        <v>1.084</v>
      </c>
      <c r="AK266" s="0" t="n">
        <f aca="false">SQRT(AG266^2+AI266^2)</f>
        <v>0.00504841852309136</v>
      </c>
      <c r="AL266" s="0" t="n">
        <f aca="false">$W$5*(Y266/$V$5-Z266)</f>
        <v>0.00474704526800581</v>
      </c>
      <c r="AM266" s="0" t="n">
        <f aca="false">SQRT(AK266^2+AL266^2)</f>
        <v>0.00692971632614123</v>
      </c>
      <c r="AN266" s="2" t="n">
        <f aca="false">Y266</f>
        <v>1084</v>
      </c>
      <c r="AO266" s="0" t="n">
        <f aca="false">AM266/Z266</f>
        <v>0.0057409664793684</v>
      </c>
    </row>
    <row r="267" customFormat="false" ht="12.75" hidden="false" customHeight="false" outlineLevel="0" collapsed="false">
      <c r="Y267" s="0" t="n">
        <f aca="false">Y266+$X$5</f>
        <v>1088</v>
      </c>
      <c r="Z267" s="0" t="n">
        <f aca="false">(Y267/$V$5)^$O$5</f>
        <v>1.20731801432493</v>
      </c>
      <c r="AA267" s="0" t="n">
        <f aca="false">$Q$5*(Y267-$V$5)</f>
        <v>6.58477820192421</v>
      </c>
      <c r="AB267" s="0" t="n">
        <f aca="false">COS(AA267)</f>
        <v>0.954864544746643</v>
      </c>
      <c r="AC267" s="0" t="n">
        <f aca="false">SIN(AA267)</f>
        <v>0.297041581577035</v>
      </c>
      <c r="AD267" s="0" t="n">
        <f aca="false">$T$5*(Z267-1)</f>
        <v>0.0088027379251632</v>
      </c>
      <c r="AE267" s="0" t="n">
        <f aca="false">2*$T$5*$U$5*Z267*$X$5/(Y267+Y268)</f>
        <v>1.46577961893131E-005</v>
      </c>
      <c r="AF267" s="0" t="n">
        <f aca="false">AB267*AE267</f>
        <v>1.39962098852975E-005</v>
      </c>
      <c r="AG267" s="0" t="n">
        <f aca="false">AG266+AF266</f>
        <v>0.00389186036736797</v>
      </c>
      <c r="AH267" s="0" t="n">
        <f aca="false">AC267*AE267</f>
        <v>4.3539749625074E-006</v>
      </c>
      <c r="AI267" s="0" t="n">
        <f aca="false">AI266+AH266</f>
        <v>0.00323664422492871</v>
      </c>
      <c r="AJ267" s="6" t="n">
        <f aca="false">Y267/$P$5</f>
        <v>1.088</v>
      </c>
      <c r="AK267" s="0" t="n">
        <f aca="false">SQRT(AG267^2+AI267^2)</f>
        <v>0.00506186160990736</v>
      </c>
      <c r="AL267" s="0" t="n">
        <f aca="false">$W$5*(Y267/$V$5-Z267)</f>
        <v>0.0047653321347906</v>
      </c>
      <c r="AM267" s="0" t="n">
        <f aca="false">SQRT(AK267^2+AL267^2)</f>
        <v>0.00695203806899256</v>
      </c>
      <c r="AN267" s="2" t="n">
        <f aca="false">Y267</f>
        <v>1088</v>
      </c>
      <c r="AO267" s="0" t="n">
        <f aca="false">AM267/Z267</f>
        <v>0.0057582492653187</v>
      </c>
    </row>
    <row r="268" customFormat="false" ht="12.75" hidden="false" customHeight="false" outlineLevel="0" collapsed="false">
      <c r="Y268" s="0" t="n">
        <f aca="false">Y267+$X$5</f>
        <v>1092</v>
      </c>
      <c r="Z268" s="0" t="n">
        <f aca="false">(Y268/$V$5)^$O$5</f>
        <v>1.20757073926147</v>
      </c>
      <c r="AA268" s="0" t="n">
        <f aca="false">$Q$5*(Y268-$V$5)</f>
        <v>6.60991094315293</v>
      </c>
      <c r="AB268" s="0" t="n">
        <f aca="false">COS(AA268)</f>
        <v>0.947098304994744</v>
      </c>
      <c r="AC268" s="0" t="n">
        <f aca="false">SIN(AA268)</f>
        <v>0.320943609807209</v>
      </c>
      <c r="AD268" s="0" t="n">
        <f aca="false">$T$5*(Z268-1)</f>
        <v>0.0088134686442989</v>
      </c>
      <c r="AE268" s="0" t="n">
        <f aca="false">2*$T$5*$U$5*Z268*$X$5/(Y268+Y269)</f>
        <v>1.46072598467633E-005</v>
      </c>
      <c r="AF268" s="0" t="n">
        <f aca="false">AB268*AE268</f>
        <v>1.38345110414873E-005</v>
      </c>
      <c r="AG268" s="0" t="n">
        <f aca="false">AG267+AF267</f>
        <v>0.00390585657725327</v>
      </c>
      <c r="AH268" s="0" t="n">
        <f aca="false">AC268*AE268</f>
        <v>4.68810670461212E-006</v>
      </c>
      <c r="AI268" s="0" t="n">
        <f aca="false">AI267+AH267</f>
        <v>0.00324099819989122</v>
      </c>
      <c r="AJ268" s="6" t="n">
        <f aca="false">Y268/$P$5</f>
        <v>1.092</v>
      </c>
      <c r="AK268" s="0" t="n">
        <f aca="false">SQRT(AG268^2+AI268^2)</f>
        <v>0.00507540982914392</v>
      </c>
      <c r="AL268" s="0" t="n">
        <f aca="false">$W$5*(Y268/$V$5-Z268)</f>
        <v>0.00478361916248092</v>
      </c>
      <c r="AM268" s="0" t="n">
        <f aca="false">SQRT(AK268^2+AL268^2)</f>
        <v>0.00697443884663314</v>
      </c>
      <c r="AN268" s="2" t="n">
        <f aca="false">Y268</f>
        <v>1092</v>
      </c>
      <c r="AO268" s="0" t="n">
        <f aca="false">AM268/Z268</f>
        <v>0.00577559443921157</v>
      </c>
    </row>
    <row r="269" customFormat="false" ht="12.75" hidden="false" customHeight="false" outlineLevel="0" collapsed="false">
      <c r="Y269" s="0" t="n">
        <f aca="false">Y268+$X$5</f>
        <v>1096</v>
      </c>
      <c r="Z269" s="0" t="n">
        <f aca="false">(Y269/$V$5)^$O$5</f>
        <v>1.20782259276845</v>
      </c>
      <c r="AA269" s="0" t="n">
        <f aca="false">$Q$5*(Y269-$V$5)</f>
        <v>6.63504368438164</v>
      </c>
      <c r="AB269" s="0" t="n">
        <f aca="false">COS(AA269)</f>
        <v>0.938733857653874</v>
      </c>
      <c r="AC269" s="0" t="n">
        <f aca="false">SIN(AA269)</f>
        <v>0.344642923174517</v>
      </c>
      <c r="AD269" s="0" t="n">
        <f aca="false">$T$5*(Z269-1)</f>
        <v>0.00882416236247242</v>
      </c>
      <c r="AE269" s="0" t="n">
        <f aca="false">2*$T$5*$U$5*Z269*$X$5/(Y269+Y270)</f>
        <v>1.45570812079566E-005</v>
      </c>
      <c r="AF269" s="0" t="n">
        <f aca="false">AB269*AE269</f>
        <v>1.36652249985258E-005</v>
      </c>
      <c r="AG269" s="0" t="n">
        <f aca="false">AG268+AF268</f>
        <v>0.00391969108829475</v>
      </c>
      <c r="AH269" s="0" t="n">
        <f aca="false">AC269*AE269</f>
        <v>5.016995020399E-006</v>
      </c>
      <c r="AI269" s="0" t="n">
        <f aca="false">AI268+AH268</f>
        <v>0.00324568630659583</v>
      </c>
      <c r="AJ269" s="6" t="n">
        <f aca="false">Y269/$P$5</f>
        <v>1.096</v>
      </c>
      <c r="AK269" s="0" t="n">
        <f aca="false">SQRT(AG269^2+AI269^2)</f>
        <v>0.00508905274373149</v>
      </c>
      <c r="AL269" s="0" t="n">
        <f aca="false">$W$5*(Y269/$V$5-Z269)</f>
        <v>0.00480190634993356</v>
      </c>
      <c r="AM269" s="0" t="n">
        <f aca="false">SQRT(AK269^2+AL269^2)</f>
        <v>0.00699691091997127</v>
      </c>
      <c r="AN269" s="2" t="n">
        <f aca="false">Y269</f>
        <v>1096</v>
      </c>
      <c r="AO269" s="0" t="n">
        <f aca="false">AM269/Z269</f>
        <v>0.00579299556231488</v>
      </c>
    </row>
    <row r="270" customFormat="false" ht="12.75" hidden="false" customHeight="false" outlineLevel="0" collapsed="false">
      <c r="Y270" s="0" t="n">
        <f aca="false">Y269+$X$5</f>
        <v>1100</v>
      </c>
      <c r="Z270" s="0" t="n">
        <f aca="false">(Y270/$V$5)^$O$5</f>
        <v>1.20807358101468</v>
      </c>
      <c r="AA270" s="0" t="n">
        <f aca="false">$Q$5*(Y270-$V$5)</f>
        <v>6.66017642561036</v>
      </c>
      <c r="AB270" s="0" t="n">
        <f aca="false">COS(AA270)</f>
        <v>0.929776485888251</v>
      </c>
      <c r="AC270" s="0" t="n">
        <f aca="false">SIN(AA270)</f>
        <v>0.368124552684678</v>
      </c>
      <c r="AD270" s="0" t="n">
        <f aca="false">$T$5*(Z270-1)</f>
        <v>0.00883481934161189</v>
      </c>
      <c r="AE270" s="0" t="n">
        <f aca="false">2*$T$5*$U$5*Z270*$X$5/(Y270+Y271)</f>
        <v>1.45072564518311E-005</v>
      </c>
      <c r="AF270" s="0" t="n">
        <f aca="false">AB270*AE270</f>
        <v>1.34885059236632E-005</v>
      </c>
      <c r="AG270" s="0" t="n">
        <f aca="false">AG269+AF269</f>
        <v>0.00393335631329328</v>
      </c>
      <c r="AH270" s="0" t="n">
        <f aca="false">AC270*AE270</f>
        <v>5.34047729201224E-006</v>
      </c>
      <c r="AI270" s="0" t="n">
        <f aca="false">AI269+AH269</f>
        <v>0.00325070330161623</v>
      </c>
      <c r="AJ270" s="6" t="n">
        <f aca="false">Y270/$P$5</f>
        <v>1.1</v>
      </c>
      <c r="AK270" s="0" t="n">
        <f aca="false">SQRT(AG270^2+AI270^2)</f>
        <v>0.00510278001117653</v>
      </c>
      <c r="AL270" s="0" t="n">
        <f aca="false">$W$5*(Y270/$V$5-Z270)</f>
        <v>0.00482019369601758</v>
      </c>
      <c r="AM270" s="0" t="n">
        <f aca="false">SQRT(AK270^2+AL270^2)</f>
        <v>0.00701944663841747</v>
      </c>
      <c r="AN270" s="2" t="n">
        <f aca="false">Y270</f>
        <v>1100</v>
      </c>
      <c r="AO270" s="0" t="n">
        <f aca="false">AM270/Z270</f>
        <v>0.00581044627473909</v>
      </c>
    </row>
    <row r="271" customFormat="false" ht="12.75" hidden="false" customHeight="false" outlineLevel="0" collapsed="false">
      <c r="Y271" s="0" t="n">
        <f aca="false">Y270+$X$5</f>
        <v>1104</v>
      </c>
      <c r="Z271" s="0" t="n">
        <f aca="false">(Y271/$V$5)^$O$5</f>
        <v>1.20832371010308</v>
      </c>
      <c r="AA271" s="0" t="n">
        <f aca="false">$Q$5*(Y271-$V$5)</f>
        <v>6.68530916683908</v>
      </c>
      <c r="AB271" s="0" t="n">
        <f aca="false">COS(AA271)</f>
        <v>0.92023184736587</v>
      </c>
      <c r="AC271" s="0" t="n">
        <f aca="false">SIN(AA271)</f>
        <v>0.391373666837203</v>
      </c>
      <c r="AD271" s="0" t="n">
        <f aca="false">$T$5*(Z271-1)</f>
        <v>0.00884543984084713</v>
      </c>
      <c r="AE271" s="0" t="n">
        <f aca="false">2*$T$5*$U$5*Z271*$X$5/(Y271+Y272)</f>
        <v>1.44577818118139E-005</v>
      </c>
      <c r="AF271" s="0" t="n">
        <f aca="false">AB271*AE271</f>
        <v>1.33045112654982E-005</v>
      </c>
      <c r="AG271" s="0" t="n">
        <f aca="false">AG270+AF270</f>
        <v>0.00394684481921694</v>
      </c>
      <c r="AH271" s="0" t="n">
        <f aca="false">AC271*AE271</f>
        <v>5.65839508202184E-006</v>
      </c>
      <c r="AI271" s="0" t="n">
        <f aca="false">AI270+AH270</f>
        <v>0.00325604377890824</v>
      </c>
      <c r="AJ271" s="6" t="n">
        <f aca="false">Y271/$P$5</f>
        <v>1.104</v>
      </c>
      <c r="AK271" s="0" t="n">
        <f aca="false">SQRT(AG271^2+AI271^2)</f>
        <v>0.00511658138967286</v>
      </c>
      <c r="AL271" s="0" t="n">
        <f aca="false">$W$5*(Y271/$V$5-Z271)</f>
        <v>0.0048384811996141</v>
      </c>
      <c r="AM271" s="0" t="n">
        <f aca="false">SQRT(AK271^2+AL271^2)</f>
        <v>0.0070420384432468</v>
      </c>
      <c r="AN271" s="2" t="n">
        <f aca="false">Y271</f>
        <v>1104</v>
      </c>
      <c r="AO271" s="0" t="n">
        <f aca="false">AM271/Z271</f>
        <v>0.00582794029808956</v>
      </c>
    </row>
    <row r="272" customFormat="false" ht="12.75" hidden="false" customHeight="false" outlineLevel="0" collapsed="false">
      <c r="Y272" s="0" t="n">
        <f aca="false">Y271+$X$5</f>
        <v>1108</v>
      </c>
      <c r="Z272" s="0" t="n">
        <f aca="false">(Y272/$V$5)^$O$5</f>
        <v>1.20857298607157</v>
      </c>
      <c r="AA272" s="0" t="n">
        <f aca="false">$Q$5*(Y272-$V$5)</f>
        <v>6.7104419080678</v>
      </c>
      <c r="AB272" s="0" t="n">
        <f aca="false">COS(AA272)</f>
        <v>0.910105970684996</v>
      </c>
      <c r="AC272" s="0" t="n">
        <f aca="false">SIN(AA272)</f>
        <v>0.414375580993284</v>
      </c>
      <c r="AD272" s="0" t="n">
        <f aca="false">$T$5*(Z272-1)</f>
        <v>0.00885602411654958</v>
      </c>
      <c r="AE272" s="0" t="n">
        <f aca="false">2*$T$5*$U$5*Z272*$X$5/(Y272+Y273)</f>
        <v>1.44086535748507E-005</v>
      </c>
      <c r="AF272" s="0" t="n">
        <f aca="false">AB272*AE272</f>
        <v>1.31134016480033E-005</v>
      </c>
      <c r="AG272" s="0" t="n">
        <f aca="false">AG271+AF271</f>
        <v>0.00396014933048244</v>
      </c>
      <c r="AH272" s="0" t="n">
        <f aca="false">AC272*AE272</f>
        <v>5.9705941964097E-006</v>
      </c>
      <c r="AI272" s="0" t="n">
        <f aca="false">AI271+AH271</f>
        <v>0.00326170217399026</v>
      </c>
      <c r="AJ272" s="6" t="n">
        <f aca="false">Y272/$P$5</f>
        <v>1.108</v>
      </c>
      <c r="AK272" s="0" t="n">
        <f aca="false">SQRT(AG272^2+AI272^2)</f>
        <v>0.00513044674385509</v>
      </c>
      <c r="AL272" s="0" t="n">
        <f aca="false">$W$5*(Y272/$V$5-Z272)</f>
        <v>0.00485676885961617</v>
      </c>
      <c r="AM272" s="0" t="n">
        <f aca="false">SQRT(AK272^2+AL272^2)</f>
        <v>0.00706467887078179</v>
      </c>
      <c r="AN272" s="2" t="n">
        <f aca="false">Y272</f>
        <v>1108</v>
      </c>
      <c r="AO272" s="0" t="n">
        <f aca="false">AM272/Z272</f>
        <v>0.00584547143796861</v>
      </c>
    </row>
    <row r="273" customFormat="false" ht="12.75" hidden="false" customHeight="false" outlineLevel="0" collapsed="false">
      <c r="Y273" s="0" t="n">
        <f aca="false">Y272+$X$5</f>
        <v>1112</v>
      </c>
      <c r="Z273" s="0" t="n">
        <f aca="false">(Y273/$V$5)^$O$5</f>
        <v>1.20882141489407</v>
      </c>
      <c r="AA273" s="0" t="n">
        <f aca="false">$Q$5*(Y273-$V$5)</f>
        <v>6.73557464929652</v>
      </c>
      <c r="AB273" s="0" t="n">
        <f aca="false">COS(AA273)</f>
        <v>0.899405251566371</v>
      </c>
      <c r="AC273" s="0" t="n">
        <f aca="false">SIN(AA273)</f>
        <v>0.437115766650933</v>
      </c>
      <c r="AD273" s="0" t="n">
        <f aca="false">$T$5*(Z273-1)</f>
        <v>0.00886657242237148</v>
      </c>
      <c r="AE273" s="0" t="n">
        <f aca="false">2*$T$5*$U$5*Z273*$X$5/(Y273+Y274)</f>
        <v>1.43598680804554E-005</v>
      </c>
      <c r="AF273" s="0" t="n">
        <f aca="false">AB273*AE273</f>
        <v>1.29153407633619E-005</v>
      </c>
      <c r="AG273" s="0" t="n">
        <f aca="false">AG272+AF272</f>
        <v>0.00397326273213044</v>
      </c>
      <c r="AH273" s="0" t="n">
        <f aca="false">AC273*AE273</f>
        <v>6.27692474499453E-006</v>
      </c>
      <c r="AI273" s="0" t="n">
        <f aca="false">AI272+AH272</f>
        <v>0.00326767276818667</v>
      </c>
      <c r="AJ273" s="6" t="n">
        <f aca="false">Y273/$P$5</f>
        <v>1.112</v>
      </c>
      <c r="AK273" s="0" t="n">
        <f aca="false">SQRT(AG273^2+AI273^2)</f>
        <v>0.00514436605020341</v>
      </c>
      <c r="AL273" s="0" t="n">
        <f aca="false">$W$5*(Y273/$V$5-Z273)</f>
        <v>0.00487505667492857</v>
      </c>
      <c r="AM273" s="0" t="n">
        <f aca="false">SQRT(AK273^2+AL273^2)</f>
        <v>0.00708736055540079</v>
      </c>
      <c r="AN273" s="2" t="n">
        <f aca="false">Y273</f>
        <v>1112</v>
      </c>
      <c r="AO273" s="0" t="n">
        <f aca="false">AM273/Z273</f>
        <v>0.0058630335863316</v>
      </c>
    </row>
    <row r="274" customFormat="false" ht="12.75" hidden="false" customHeight="false" outlineLevel="0" collapsed="false">
      <c r="Y274" s="0" t="n">
        <f aca="false">Y273+$X$5</f>
        <v>1116</v>
      </c>
      <c r="Z274" s="0" t="n">
        <f aca="false">(Y274/$V$5)^$O$5</f>
        <v>1.20906900248133</v>
      </c>
      <c r="AA274" s="0" t="n">
        <f aca="false">$Q$5*(Y274-$V$5)</f>
        <v>6.76070739052524</v>
      </c>
      <c r="AB274" s="0" t="n">
        <f aca="false">COS(AA274)</f>
        <v>0.888136448813544</v>
      </c>
      <c r="AC274" s="0" t="n">
        <f aca="false">SIN(AA274)</f>
        <v>0.459579860621488</v>
      </c>
      <c r="AD274" s="0" t="n">
        <f aca="false">$T$5*(Z274-1)</f>
        <v>0.00887708500928443</v>
      </c>
      <c r="AE274" s="0" t="n">
        <f aca="false">2*$T$5*$U$5*Z274*$X$5/(Y274+Y275)</f>
        <v>1.43114217197812E-005</v>
      </c>
      <c r="AF274" s="0" t="n">
        <f aca="false">AB274*AE274</f>
        <v>1.27104952636795E-005</v>
      </c>
      <c r="AG274" s="0" t="n">
        <f aca="false">AG273+AF273</f>
        <v>0.00398617807289381</v>
      </c>
      <c r="AH274" s="0" t="n">
        <f aca="false">AC274*AE274</f>
        <v>6.57724119927239E-006</v>
      </c>
      <c r="AI274" s="0" t="n">
        <f aca="false">AI273+AH273</f>
        <v>0.00327394969293167</v>
      </c>
      <c r="AJ274" s="6" t="n">
        <f aca="false">Y274/$P$5</f>
        <v>1.116</v>
      </c>
      <c r="AK274" s="0" t="n">
        <f aca="false">SQRT(AG274^2+AI274^2)</f>
        <v>0.00515832940210944</v>
      </c>
      <c r="AL274" s="0" t="n">
        <f aca="false">$W$5*(Y274/$V$5-Z274)</f>
        <v>0.00489334464446766</v>
      </c>
      <c r="AM274" s="0" t="n">
        <f aca="false">SQRT(AK274^2+AL274^2)</f>
        <v>0.00711007623237663</v>
      </c>
      <c r="AN274" s="2" t="n">
        <f aca="false">Y274</f>
        <v>1116</v>
      </c>
      <c r="AO274" s="0" t="n">
        <f aca="false">AM274/Z274</f>
        <v>0.00588062072370135</v>
      </c>
    </row>
    <row r="275" customFormat="false" ht="12.75" hidden="false" customHeight="false" outlineLevel="0" collapsed="false">
      <c r="Y275" s="0" t="n">
        <f aca="false">Y274+$X$5</f>
        <v>1120</v>
      </c>
      <c r="Z275" s="0" t="n">
        <f aca="false">(Y275/$V$5)^$O$5</f>
        <v>1.20931575468189</v>
      </c>
      <c r="AA275" s="0" t="n">
        <f aca="false">$Q$5*(Y275-$V$5)</f>
        <v>6.78584013175395</v>
      </c>
      <c r="AB275" s="0" t="n">
        <f aca="false">COS(AA275)</f>
        <v>0.876306680043863</v>
      </c>
      <c r="AC275" s="0" t="n">
        <f aca="false">SIN(AA275)</f>
        <v>0.481753674101716</v>
      </c>
      <c r="AD275" s="0" t="n">
        <f aca="false">$T$5*(Z275-1)</f>
        <v>0.00888756212561714</v>
      </c>
      <c r="AE275" s="0" t="n">
        <f aca="false">2*$T$5*$U$5*Z275*$X$5/(Y275+Y276)</f>
        <v>1.426331093471E-005</v>
      </c>
      <c r="AF275" s="0" t="n">
        <f aca="false">AB275*AE275</f>
        <v>1.24990346516291E-005</v>
      </c>
      <c r="AG275" s="0" t="n">
        <f aca="false">AG274+AF274</f>
        <v>0.00399888856815748</v>
      </c>
      <c r="AH275" s="0" t="n">
        <f aca="false">AC275*AE275</f>
        <v>6.87140244765174E-006</v>
      </c>
      <c r="AI275" s="0" t="n">
        <f aca="false">AI274+AH274</f>
        <v>0.00328052693413094</v>
      </c>
      <c r="AJ275" s="6" t="n">
        <f aca="false">Y275/$P$5</f>
        <v>1.12</v>
      </c>
      <c r="AK275" s="0" t="n">
        <f aca="false">SQRT(AG275^2+AI275^2)</f>
        <v>0.00517232701461336</v>
      </c>
      <c r="AL275" s="0" t="n">
        <f aca="false">$W$5*(Y275/$V$5-Z275)</f>
        <v>0.00491163276716121</v>
      </c>
      <c r="AM275" s="0" t="n">
        <f aca="false">SQRT(AK275^2+AL275^2)</f>
        <v>0.00713281874055067</v>
      </c>
      <c r="AN275" s="2" t="n">
        <f aca="false">Y275</f>
        <v>1120</v>
      </c>
      <c r="AO275" s="0" t="n">
        <f aca="false">AM275/Z275</f>
        <v>0.00589822692124521</v>
      </c>
    </row>
    <row r="276" customFormat="false" ht="12.75" hidden="false" customHeight="false" outlineLevel="0" collapsed="false">
      <c r="Y276" s="0" t="n">
        <f aca="false">Y275+$X$5</f>
        <v>1124</v>
      </c>
      <c r="Z276" s="0" t="n">
        <f aca="false">(Y276/$V$5)^$O$5</f>
        <v>1.20956167728289</v>
      </c>
      <c r="AA276" s="0" t="n">
        <f aca="false">$Q$5*(Y276-$V$5)</f>
        <v>6.81097287298267</v>
      </c>
      <c r="AB276" s="0" t="n">
        <f aca="false">COS(AA276)</f>
        <v>0.863923417192835</v>
      </c>
      <c r="AC276" s="0" t="n">
        <f aca="false">SIN(AA276)</f>
        <v>0.503623201635761</v>
      </c>
      <c r="AD276" s="0" t="n">
        <f aca="false">$T$5*(Z276-1)</f>
        <v>0.00889800401709262</v>
      </c>
      <c r="AE276" s="0" t="n">
        <f aca="false">2*$T$5*$U$5*Z276*$X$5/(Y276+Y277)</f>
        <v>1.4215532216962E-005</v>
      </c>
      <c r="AF276" s="0" t="n">
        <f aca="false">AB276*AE276</f>
        <v>1.22811311700927E-005</v>
      </c>
      <c r="AG276" s="0" t="n">
        <f aca="false">AG275+AF275</f>
        <v>0.00401138760280911</v>
      </c>
      <c r="AH276" s="0" t="n">
        <f aca="false">AC276*AE276</f>
        <v>7.15927184806271E-006</v>
      </c>
      <c r="AI276" s="0" t="n">
        <f aca="false">AI275+AH275</f>
        <v>0.00328739833657859</v>
      </c>
      <c r="AJ276" s="6" t="n">
        <f aca="false">Y276/$P$5</f>
        <v>1.124</v>
      </c>
      <c r="AK276" s="0" t="n">
        <f aca="false">SQRT(AG276^2+AI276^2)</f>
        <v>0.00518634922882275</v>
      </c>
      <c r="AL276" s="0" t="n">
        <f aca="false">$W$5*(Y276/$V$5-Z276)</f>
        <v>0.00492992104194824</v>
      </c>
      <c r="AM276" s="0" t="n">
        <f aca="false">SQRT(AK276^2+AL276^2)</f>
        <v>0.00715558102484727</v>
      </c>
      <c r="AN276" s="2" t="n">
        <f aca="false">Y276</f>
        <v>1124</v>
      </c>
      <c r="AO276" s="0" t="n">
        <f aca="false">AM276/Z276</f>
        <v>0.0059158463427192</v>
      </c>
    </row>
    <row r="277" customFormat="false" ht="12.75" hidden="false" customHeight="false" outlineLevel="0" collapsed="false">
      <c r="Y277" s="0" t="n">
        <f aca="false">Y276+$X$5</f>
        <v>1128</v>
      </c>
      <c r="Z277" s="0" t="n">
        <f aca="false">(Y277/$V$5)^$O$5</f>
        <v>1.20980677601098</v>
      </c>
      <c r="AA277" s="0" t="n">
        <f aca="false">$Q$5*(Y277-$V$5)</f>
        <v>6.83610561421139</v>
      </c>
      <c r="AB277" s="0" t="n">
        <f aca="false">COS(AA277)</f>
        <v>0.850994481794692</v>
      </c>
      <c r="AC277" s="0" t="n">
        <f aca="false">SIN(AA277)</f>
        <v>0.525174629961296</v>
      </c>
      <c r="AD277" s="0" t="n">
        <f aca="false">$T$5*(Z277-1)</f>
        <v>0.0089084109268647</v>
      </c>
      <c r="AE277" s="0" t="n">
        <f aca="false">2*$T$5*$U$5*Z277*$X$5/(Y277+Y278)</f>
        <v>1.41680821072234E-005</v>
      </c>
      <c r="AF277" s="0" t="n">
        <f aca="false">AB277*AE277</f>
        <v>1.20569596908612E-005</v>
      </c>
      <c r="AG277" s="0" t="n">
        <f aca="false">AG276+AF276</f>
        <v>0.00402366873397921</v>
      </c>
      <c r="AH277" s="0" t="n">
        <f aca="false">AC277*AE277</f>
        <v>7.4407172779223E-006</v>
      </c>
      <c r="AI277" s="0" t="n">
        <f aca="false">AI276+AH276</f>
        <v>0.00329455760842666</v>
      </c>
      <c r="AJ277" s="6" t="n">
        <f aca="false">Y277/$P$5</f>
        <v>1.128</v>
      </c>
      <c r="AK277" s="0" t="n">
        <f aca="false">SQRT(AG277^2+AI277^2)</f>
        <v>0.00520038651602396</v>
      </c>
      <c r="AL277" s="0" t="n">
        <f aca="false">$W$5*(Y277/$V$5-Z277)</f>
        <v>0.00494820946777886</v>
      </c>
      <c r="AM277" s="0" t="n">
        <f aca="false">SQRT(AK277^2+AL277^2)</f>
        <v>0.0071783561386337</v>
      </c>
      <c r="AN277" s="2" t="n">
        <f aca="false">Y277</f>
        <v>1128</v>
      </c>
      <c r="AO277" s="0" t="n">
        <f aca="false">AM277/Z277</f>
        <v>0.00593347324628353</v>
      </c>
    </row>
    <row r="278" customFormat="false" ht="12.75" hidden="false" customHeight="false" outlineLevel="0" collapsed="false">
      <c r="Y278" s="0" t="n">
        <f aca="false">Y277+$X$5</f>
        <v>1132</v>
      </c>
      <c r="Z278" s="0" t="n">
        <f aca="false">(Y278/$V$5)^$O$5</f>
        <v>1.21005105653315</v>
      </c>
      <c r="AA278" s="0" t="n">
        <f aca="false">$Q$5*(Y278-$V$5)</f>
        <v>6.86123835544011</v>
      </c>
      <c r="AB278" s="0" t="n">
        <f aca="false">COS(AA278)</f>
        <v>0.837528040042142</v>
      </c>
      <c r="AC278" s="0" t="n">
        <f aca="false">SIN(AA278)</f>
        <v>0.546394346734269</v>
      </c>
      <c r="AD278" s="0" t="n">
        <f aca="false">$T$5*(Z278-1)</f>
        <v>0.00891878309555383</v>
      </c>
      <c r="AE278" s="0" t="n">
        <f aca="false">2*$T$5*$U$5*Z278*$X$5/(Y278+Y279)</f>
        <v>1.41209571942929E-005</v>
      </c>
      <c r="AF278" s="0" t="n">
        <f aca="false">AB278*AE278</f>
        <v>1.18266976024551E-005</v>
      </c>
      <c r="AG278" s="0" t="n">
        <f aca="false">AG277+AF277</f>
        <v>0.00403572569367007</v>
      </c>
      <c r="AH278" s="0" t="n">
        <f aca="false">AC278*AE278</f>
        <v>7.71561118143822E-006</v>
      </c>
      <c r="AI278" s="0" t="n">
        <f aca="false">AI277+AH277</f>
        <v>0.00330199832570458</v>
      </c>
      <c r="AJ278" s="6" t="n">
        <f aca="false">Y278/$P$5</f>
        <v>1.132</v>
      </c>
      <c r="AK278" s="0" t="n">
        <f aca="false">SQRT(AG278^2+AI278^2)</f>
        <v>0.00521442948149695</v>
      </c>
      <c r="AL278" s="0" t="n">
        <f aca="false">$W$5*(Y278/$V$5-Z278)</f>
        <v>0.00496649804361412</v>
      </c>
      <c r="AM278" s="0" t="n">
        <f aca="false">SQRT(AK278^2+AL278^2)</f>
        <v>0.0072011372459305</v>
      </c>
      <c r="AN278" s="2" t="n">
        <f aca="false">Y278</f>
        <v>1132</v>
      </c>
      <c r="AO278" s="0" t="n">
        <f aca="false">AM278/Z278</f>
        <v>0.00595110198619393</v>
      </c>
    </row>
    <row r="279" customFormat="false" ht="12.75" hidden="false" customHeight="false" outlineLevel="0" collapsed="false">
      <c r="Y279" s="0" t="n">
        <f aca="false">Y278+$X$5</f>
        <v>1136</v>
      </c>
      <c r="Z279" s="0" t="n">
        <f aca="false">(Y279/$V$5)^$O$5</f>
        <v>1.21029452445754</v>
      </c>
      <c r="AA279" s="0" t="n">
        <f aca="false">$Q$5*(Y279-$V$5)</f>
        <v>6.88637109666883</v>
      </c>
      <c r="AB279" s="0" t="n">
        <f aca="false">COS(AA279)</f>
        <v>0.823532597628427</v>
      </c>
      <c r="AC279" s="0" t="n">
        <f aca="false">SIN(AA279)</f>
        <v>0.567268949126757</v>
      </c>
      <c r="AD279" s="0" t="n">
        <f aca="false">$T$5*(Z279-1)</f>
        <v>0.00892912076128239</v>
      </c>
      <c r="AE279" s="0" t="n">
        <f aca="false">2*$T$5*$U$5*Z279*$X$5/(Y279+Y280)</f>
        <v>1.40741541142455E-005</v>
      </c>
      <c r="AF279" s="0" t="n">
        <f aca="false">AB279*AE279</f>
        <v>1.15905246971274E-005</v>
      </c>
      <c r="AG279" s="0" t="n">
        <f aca="false">AG278+AF278</f>
        <v>0.00404755239127252</v>
      </c>
      <c r="AH279" s="0" t="n">
        <f aca="false">AC279*AE279</f>
        <v>7.98383061423609E-006</v>
      </c>
      <c r="AI279" s="0" t="n">
        <f aca="false">AI278+AH278</f>
        <v>0.00330971393688602</v>
      </c>
      <c r="AJ279" s="6" t="n">
        <f aca="false">Y279/$P$5</f>
        <v>1.136</v>
      </c>
      <c r="AK279" s="0" t="n">
        <f aca="false">SQRT(AG279^2+AI279^2)</f>
        <v>0.00522846886804478</v>
      </c>
      <c r="AL279" s="0" t="n">
        <f aca="false">$W$5*(Y279/$V$5-Z279)</f>
        <v>0.00498478676842586</v>
      </c>
      <c r="AM279" s="0" t="n">
        <f aca="false">SQRT(AK279^2+AL279^2)</f>
        <v>0.00722391762347737</v>
      </c>
      <c r="AN279" s="2" t="n">
        <f aca="false">Y279</f>
        <v>1136</v>
      </c>
      <c r="AO279" s="0" t="n">
        <f aca="false">AM279/Z279</f>
        <v>0.00596872701437293</v>
      </c>
    </row>
    <row r="280" customFormat="false" ht="12.75" hidden="false" customHeight="false" outlineLevel="0" collapsed="false">
      <c r="Y280" s="0" t="n">
        <f aca="false">Y279+$X$5</f>
        <v>1140</v>
      </c>
      <c r="Z280" s="0" t="n">
        <f aca="false">(Y280/$V$5)^$O$5</f>
        <v>1.21053718533429</v>
      </c>
      <c r="AA280" s="0" t="n">
        <f aca="false">$Q$5*(Y280-$V$5)</f>
        <v>6.91150383789755</v>
      </c>
      <c r="AB280" s="0" t="n">
        <f aca="false">COS(AA280)</f>
        <v>0.809016994374948</v>
      </c>
      <c r="AC280" s="0" t="n">
        <f aca="false">SIN(AA280)</f>
        <v>0.587785252292473</v>
      </c>
      <c r="AD280" s="0" t="n">
        <f aca="false">$T$5*(Z280-1)</f>
        <v>0.00893942415970927</v>
      </c>
      <c r="AE280" s="0" t="n">
        <f aca="false">2*$T$5*$U$5*Z280*$X$5/(Y280+Y281)</f>
        <v>1.40276695496146E-005</v>
      </c>
      <c r="AF280" s="0" t="n">
        <f aca="false">AB280*AE280</f>
        <v>1.13486230571142E-005</v>
      </c>
      <c r="AG280" s="0" t="n">
        <f aca="false">AG279+AF279</f>
        <v>0.00405914291596965</v>
      </c>
      <c r="AH280" s="0" t="n">
        <f aca="false">AC280*AE280</f>
        <v>8.24525728529564E-006</v>
      </c>
      <c r="AI280" s="0" t="n">
        <f aca="false">AI279+AH279</f>
        <v>0.00331769776750025</v>
      </c>
      <c r="AJ280" s="6" t="n">
        <f aca="false">Y280/$P$5</f>
        <v>1.14</v>
      </c>
      <c r="AK280" s="0" t="n">
        <f aca="false">SQRT(AG280^2+AI280^2)</f>
        <v>0.00524249555924874</v>
      </c>
      <c r="AL280" s="0" t="n">
        <f aca="false">$W$5*(Y280/$V$5-Z280)</f>
        <v>0.00500307564119656</v>
      </c>
      <c r="AM280" s="0" t="n">
        <f aca="false">SQRT(AK280^2+AL280^2)</f>
        <v>0.00724669066265955</v>
      </c>
      <c r="AN280" s="2" t="n">
        <f aca="false">Y280</f>
        <v>1140</v>
      </c>
      <c r="AO280" s="0" t="n">
        <f aca="false">AM280/Z280</f>
        <v>0.00598634288186563</v>
      </c>
    </row>
    <row r="281" customFormat="false" ht="12.75" hidden="false" customHeight="false" outlineLevel="0" collapsed="false">
      <c r="Y281" s="0" t="n">
        <f aca="false">Y280+$X$5</f>
        <v>1144</v>
      </c>
      <c r="Z281" s="0" t="n">
        <f aca="false">(Y281/$V$5)^$O$5</f>
        <v>1.21077904465629</v>
      </c>
      <c r="AA281" s="0" t="n">
        <f aca="false">$Q$5*(Y281-$V$5)</f>
        <v>6.93663657912626</v>
      </c>
      <c r="AB281" s="0" t="n">
        <f aca="false">COS(AA281)</f>
        <v>0.793990398647835</v>
      </c>
      <c r="AC281" s="0" t="n">
        <f aca="false">SIN(AA281)</f>
        <v>0.607930297694605</v>
      </c>
      <c r="AD281" s="0" t="n">
        <f aca="false">$T$5*(Z281-1)</f>
        <v>0.00894969352406393</v>
      </c>
      <c r="AE281" s="0" t="n">
        <f aca="false">2*$T$5*$U$5*Z281*$X$5/(Y281+Y282)</f>
        <v>1.39815002285895E-005</v>
      </c>
      <c r="AF281" s="0" t="n">
        <f aca="false">AB281*AE281</f>
        <v>1.11011769401926E-005</v>
      </c>
      <c r="AG281" s="0" t="n">
        <f aca="false">AG280+AF280</f>
        <v>0.00407049153902676</v>
      </c>
      <c r="AH281" s="0" t="n">
        <f aca="false">AC281*AE281</f>
        <v>8.49977759618362E-006</v>
      </c>
      <c r="AI281" s="0" t="n">
        <f aca="false">AI280+AH280</f>
        <v>0.00332594302478555</v>
      </c>
      <c r="AJ281" s="6" t="n">
        <f aca="false">Y281/$P$5</f>
        <v>1.144</v>
      </c>
      <c r="AK281" s="0" t="n">
        <f aca="false">SQRT(AG281^2+AI281^2)</f>
        <v>0.00525650058246055</v>
      </c>
      <c r="AL281" s="0" t="n">
        <f aca="false">$W$5*(Y281/$V$5-Z281)</f>
        <v>0.00502136466091918</v>
      </c>
      <c r="AM281" s="0" t="n">
        <f aca="false">SQRT(AK281^2+AL281^2)</f>
        <v>0.00726944987129949</v>
      </c>
      <c r="AN281" s="2" t="n">
        <f aca="false">Y281</f>
        <v>1144</v>
      </c>
      <c r="AO281" s="0" t="n">
        <f aca="false">AM281/Z281</f>
        <v>0.00600394424018388</v>
      </c>
    </row>
    <row r="282" customFormat="false" ht="12.75" hidden="false" customHeight="false" outlineLevel="0" collapsed="false">
      <c r="Y282" s="0" t="n">
        <f aca="false">Y281+$X$5</f>
        <v>1148</v>
      </c>
      <c r="Z282" s="0" t="n">
        <f aca="false">(Y282/$V$5)^$O$5</f>
        <v>1.21102010786005</v>
      </c>
      <c r="AA282" s="0" t="n">
        <f aca="false">$Q$5*(Y282-$V$5)</f>
        <v>6.96176932035498</v>
      </c>
      <c r="AB282" s="0" t="n">
        <f aca="false">COS(AA282)</f>
        <v>0.778462301567023</v>
      </c>
      <c r="AC282" s="0" t="n">
        <f aca="false">SIN(AA282)</f>
        <v>0.627691361290701</v>
      </c>
      <c r="AD282" s="0" t="n">
        <f aca="false">$T$5*(Z282-1)</f>
        <v>0.00895992908517979</v>
      </c>
      <c r="AE282" s="0" t="n">
        <f aca="false">2*$T$5*$U$5*Z282*$X$5/(Y282+Y283)</f>
        <v>1.39356429242315E-005</v>
      </c>
      <c r="AF282" s="0" t="n">
        <f aca="false">AB282*AE282</f>
        <v>1.08483726646134E-005</v>
      </c>
      <c r="AG282" s="0" t="n">
        <f aca="false">AG281+AF281</f>
        <v>0.00408159271596696</v>
      </c>
      <c r="AH282" s="0" t="n">
        <f aca="false">AC282*AE282</f>
        <v>8.74728267757196E-006</v>
      </c>
      <c r="AI282" s="0" t="n">
        <f aca="false">AI281+AH281</f>
        <v>0.00333444280238173</v>
      </c>
      <c r="AJ282" s="6" t="n">
        <f aca="false">Y282/$P$5</f>
        <v>1.148</v>
      </c>
      <c r="AK282" s="0" t="n">
        <f aca="false">SQRT(AG282^2+AI282^2)</f>
        <v>0.00527047511154259</v>
      </c>
      <c r="AL282" s="0" t="n">
        <f aca="false">$W$5*(Y282/$V$5-Z282)</f>
        <v>0.00503965382659703</v>
      </c>
      <c r="AM282" s="0" t="n">
        <f aca="false">SQRT(AK282^2+AL282^2)</f>
        <v>0.00729218887531885</v>
      </c>
      <c r="AN282" s="2" t="n">
        <f aca="false">Y282</f>
        <v>1148</v>
      </c>
      <c r="AO282" s="0" t="n">
        <f aca="false">AM282/Z282</f>
        <v>0.00602152584254331</v>
      </c>
    </row>
    <row r="283" customFormat="false" ht="12.75" hidden="false" customHeight="false" outlineLevel="0" collapsed="false">
      <c r="Y283" s="0" t="n">
        <f aca="false">Y282+$X$5</f>
        <v>1152</v>
      </c>
      <c r="Z283" s="0" t="n">
        <f aca="false">(Y283/$V$5)^$O$5</f>
        <v>1.21126038032637</v>
      </c>
      <c r="AA283" s="0" t="n">
        <f aca="false">$Q$5*(Y283-$V$5)</f>
        <v>6.9869020615837</v>
      </c>
      <c r="AB283" s="0" t="n">
        <f aca="false">COS(AA283)</f>
        <v>0.762442511011448</v>
      </c>
      <c r="AC283" s="0" t="n">
        <f aca="false">SIN(AA283)</f>
        <v>0.647055961569445</v>
      </c>
      <c r="AD283" s="0" t="n">
        <f aca="false">$T$5*(Z283-1)</f>
        <v>0.00897013107152715</v>
      </c>
      <c r="AE283" s="0" t="n">
        <f aca="false">2*$T$5*$U$5*Z283*$X$5/(Y283+Y284)</f>
        <v>1.38900944537041E-005</v>
      </c>
      <c r="AF283" s="0" t="n">
        <f aca="false">AB283*AE283</f>
        <v>1.05903984934684E-005</v>
      </c>
      <c r="AG283" s="0" t="n">
        <f aca="false">AG282+AF282</f>
        <v>0.00409244108863157</v>
      </c>
      <c r="AH283" s="0" t="n">
        <f aca="false">AC283*AE283</f>
        <v>8.98766842303193E-006</v>
      </c>
      <c r="AI283" s="0" t="n">
        <f aca="false">AI282+AH282</f>
        <v>0.0033431900850593</v>
      </c>
      <c r="AJ283" s="6" t="n">
        <f aca="false">Y283/$P$5</f>
        <v>1.152</v>
      </c>
      <c r="AK283" s="0" t="n">
        <f aca="false">SQRT(AG283^2+AI283^2)</f>
        <v>0.00528441046936731</v>
      </c>
      <c r="AL283" s="0" t="n">
        <f aca="false">$W$5*(Y283/$V$5-Z283)</f>
        <v>0.00505794313724363</v>
      </c>
      <c r="AM283" s="0" t="n">
        <f aca="false">SQRT(AK283^2+AL283^2)</f>
        <v>0.00731490142027551</v>
      </c>
      <c r="AN283" s="2" t="n">
        <f aca="false">Y283</f>
        <v>1152</v>
      </c>
      <c r="AO283" s="0" t="n">
        <f aca="false">AM283/Z283</f>
        <v>0.00603908254499707</v>
      </c>
    </row>
    <row r="284" customFormat="false" ht="12.75" hidden="false" customHeight="false" outlineLevel="0" collapsed="false">
      <c r="Y284" s="0" t="n">
        <f aca="false">Y283+$X$5</f>
        <v>1156</v>
      </c>
      <c r="Z284" s="0" t="n">
        <f aca="false">(Y284/$V$5)^$O$5</f>
        <v>1.2114998673812</v>
      </c>
      <c r="AA284" s="0" t="n">
        <f aca="false">$Q$5*(Y284-$V$5)</f>
        <v>7.01203480281242</v>
      </c>
      <c r="AB284" s="0" t="n">
        <f aca="false">COS(AA284)</f>
        <v>0.745941145424182</v>
      </c>
      <c r="AC284" s="0" t="n">
        <f aca="false">SIN(AA284)</f>
        <v>0.666011867434252</v>
      </c>
      <c r="AD284" s="0" t="n">
        <f aca="false">$T$5*(Z284-1)</f>
        <v>0.00898029970924543</v>
      </c>
      <c r="AE284" s="0" t="n">
        <f aca="false">2*$T$5*$U$5*Z284*$X$5/(Y284+Y285)</f>
        <v>1.38448516775209E-005</v>
      </c>
      <c r="AF284" s="0" t="n">
        <f aca="false">AB284*AE284</f>
        <v>1.03274445185579E-005</v>
      </c>
      <c r="AG284" s="0" t="n">
        <f aca="false">AG283+AF283</f>
        <v>0.00410303148712504</v>
      </c>
      <c r="AH284" s="0" t="n">
        <f aca="false">AC284*AE284</f>
        <v>9.22083552009596E-006</v>
      </c>
      <c r="AI284" s="0" t="n">
        <f aca="false">AI283+AH283</f>
        <v>0.00335217775348234</v>
      </c>
      <c r="AJ284" s="6" t="n">
        <f aca="false">Y284/$P$5</f>
        <v>1.156</v>
      </c>
      <c r="AK284" s="0" t="n">
        <f aca="false">SQRT(AG284^2+AI284^2)</f>
        <v>0.00529829813008681</v>
      </c>
      <c r="AL284" s="0" t="n">
        <f aca="false">$W$5*(Y284/$V$5-Z284)</f>
        <v>0.00507623259188254</v>
      </c>
      <c r="AM284" s="0" t="n">
        <f aca="false">SQRT(AK284^2+AL284^2)</f>
        <v>0.00733758137278027</v>
      </c>
      <c r="AN284" s="2" t="n">
        <f aca="false">Y284</f>
        <v>1156</v>
      </c>
      <c r="AO284" s="0" t="n">
        <f aca="false">AM284/Z284</f>
        <v>0.0060566093074705</v>
      </c>
    </row>
    <row r="285" customFormat="false" ht="12.75" hidden="false" customHeight="false" outlineLevel="0" collapsed="false">
      <c r="Y285" s="0" t="n">
        <f aca="false">Y284+$X$5</f>
        <v>1160</v>
      </c>
      <c r="Z285" s="0" t="n">
        <f aca="false">(Y285/$V$5)^$O$5</f>
        <v>1.21173857429632</v>
      </c>
      <c r="AA285" s="0" t="n">
        <f aca="false">$Q$5*(Y285-$V$5)</f>
        <v>7.03716754404114</v>
      </c>
      <c r="AB285" s="0" t="n">
        <f aca="false">COS(AA285)</f>
        <v>0.728968627421412</v>
      </c>
      <c r="AC285" s="0" t="n">
        <f aca="false">SIN(AA285)</f>
        <v>0.684547105928689</v>
      </c>
      <c r="AD285" s="0" t="n">
        <f aca="false">$T$5*(Z285-1)</f>
        <v>0.00899043522217499</v>
      </c>
      <c r="AE285" s="0" t="n">
        <f aca="false">2*$T$5*$U$5*Z285*$X$5/(Y285+Y286)</f>
        <v>1.37999114988074E-005</v>
      </c>
      <c r="AF285" s="0" t="n">
        <f aca="false">AB285*AE285</f>
        <v>1.00597025438226E-005</v>
      </c>
      <c r="AG285" s="0" t="n">
        <f aca="false">AG284+AF284</f>
        <v>0.0041133589316436</v>
      </c>
      <c r="AH285" s="0" t="n">
        <f aca="false">AC285*AE285</f>
        <v>9.44668947858064E-006</v>
      </c>
      <c r="AI285" s="0" t="n">
        <f aca="false">AI284+AH284</f>
        <v>0.00336139858900243</v>
      </c>
      <c r="AJ285" s="6" t="n">
        <f aca="false">Y285/$P$5</f>
        <v>1.16</v>
      </c>
      <c r="AK285" s="0" t="n">
        <f aca="false">SQRT(AG285^2+AI285^2)</f>
        <v>0.00531212972118337</v>
      </c>
      <c r="AL285" s="0" t="n">
        <f aca="false">$W$5*(Y285/$V$5-Z285)</f>
        <v>0.00509452218954729</v>
      </c>
      <c r="AM285" s="0" t="n">
        <f aca="false">SQRT(AK285^2+AL285^2)</f>
        <v>0.00736022272179785</v>
      </c>
      <c r="AN285" s="2" t="n">
        <f aca="false">Y285</f>
        <v>1160</v>
      </c>
      <c r="AO285" s="0" t="n">
        <f aca="false">AM285/Z285</f>
        <v>0.0060741011947004</v>
      </c>
    </row>
    <row r="286" customFormat="false" ht="12.75" hidden="false" customHeight="false" outlineLevel="0" collapsed="false">
      <c r="Y286" s="0" t="n">
        <f aca="false">Y285+$X$5</f>
        <v>1164</v>
      </c>
      <c r="Z286" s="0" t="n">
        <f aca="false">(Y286/$V$5)^$O$5</f>
        <v>1.2119765062901</v>
      </c>
      <c r="AA286" s="0" t="n">
        <f aca="false">$Q$5*(Y286-$V$5)</f>
        <v>7.06230028526986</v>
      </c>
      <c r="AB286" s="0" t="n">
        <f aca="false">COS(AA286)</f>
        <v>0.711535677209285</v>
      </c>
      <c r="AC286" s="0" t="n">
        <f aca="false">SIN(AA286)</f>
        <v>0.702649969798849</v>
      </c>
      <c r="AD286" s="0" t="n">
        <f aca="false">$T$5*(Z286-1)</f>
        <v>0.00900053783188828</v>
      </c>
      <c r="AE286" s="0" t="n">
        <f aca="false">2*$T$5*$U$5*Z286*$X$5/(Y286+Y287)</f>
        <v>1.37552708625785E-005</v>
      </c>
      <c r="AF286" s="0" t="n">
        <f aca="false">AB286*AE286</f>
        <v>9.78736596840196E-006</v>
      </c>
      <c r="AG286" s="0" t="n">
        <f aca="false">AG285+AF285</f>
        <v>0.00412341863418742</v>
      </c>
      <c r="AH286" s="0" t="n">
        <f aca="false">AC286*AE286</f>
        <v>9.6651406561658E-006</v>
      </c>
      <c r="AI286" s="0" t="n">
        <f aca="false">AI285+AH285</f>
        <v>0.00337084527848101</v>
      </c>
      <c r="AJ286" s="6" t="n">
        <f aca="false">Y286/$P$5</f>
        <v>1.164</v>
      </c>
      <c r="AK286" s="0" t="n">
        <f aca="false">SQRT(AG286^2+AI286^2)</f>
        <v>0.00532589702531149</v>
      </c>
      <c r="AL286" s="0" t="n">
        <f aca="false">$W$5*(Y286/$V$5-Z286)</f>
        <v>0.00511281192928116</v>
      </c>
      <c r="AM286" s="0" t="n">
        <f aca="false">SQRT(AK286^2+AL286^2)</f>
        <v>0.00738281957983679</v>
      </c>
      <c r="AN286" s="2" t="n">
        <f aca="false">Y286</f>
        <v>1164</v>
      </c>
      <c r="AO286" s="0" t="n">
        <f aca="false">AM286/Z286</f>
        <v>0.00609155337708305</v>
      </c>
    </row>
    <row r="287" customFormat="false" ht="12.75" hidden="false" customHeight="false" outlineLevel="0" collapsed="false">
      <c r="Y287" s="0" t="n">
        <f aca="false">Y286+$X$5</f>
        <v>1168</v>
      </c>
      <c r="Z287" s="0" t="n">
        <f aca="false">(Y287/$V$5)^$O$5</f>
        <v>1.21221366852823</v>
      </c>
      <c r="AA287" s="0" t="n">
        <f aca="false">$Q$5*(Y287-$V$5)</f>
        <v>7.08743302649857</v>
      </c>
      <c r="AB287" s="0" t="n">
        <f aca="false">COS(AA287)</f>
        <v>0.693653305812805</v>
      </c>
      <c r="AC287" s="0" t="n">
        <f aca="false">SIN(AA287)</f>
        <v>0.720309024887907</v>
      </c>
      <c r="AD287" s="0" t="n">
        <f aca="false">$T$5*(Z287-1)</f>
        <v>0.00901060775772055</v>
      </c>
      <c r="AE287" s="0" t="n">
        <f aca="false">2*$T$5*$U$5*Z287*$X$5/(Y287+Y288)</f>
        <v>1.37109267550309E-005</v>
      </c>
      <c r="AF287" s="0" t="n">
        <f aca="false">AB287*AE287</f>
        <v>9.51062966938444E-006</v>
      </c>
      <c r="AG287" s="0" t="n">
        <f aca="false">AG286+AF286</f>
        <v>0.00413320600015582</v>
      </c>
      <c r="AH287" s="0" t="n">
        <f aca="false">AC287*AE287</f>
        <v>9.87610428122585E-006</v>
      </c>
      <c r="AI287" s="0" t="n">
        <f aca="false">AI286+AH286</f>
        <v>0.00338051041913718</v>
      </c>
      <c r="AJ287" s="6" t="n">
        <f aca="false">Y287/$P$5</f>
        <v>1.168</v>
      </c>
      <c r="AK287" s="0" t="n">
        <f aca="false">SQRT(AG287^2+AI287^2)</f>
        <v>0.00533959198194198</v>
      </c>
      <c r="AL287" s="0" t="n">
        <f aca="false">$W$5*(Y287/$V$5-Z287)</f>
        <v>0.00513110181013711</v>
      </c>
      <c r="AM287" s="0" t="n">
        <f aca="false">SQRT(AK287^2+AL287^2)</f>
        <v>0.00740536618403245</v>
      </c>
      <c r="AN287" s="2" t="n">
        <f aca="false">Y287</f>
        <v>1168</v>
      </c>
      <c r="AO287" s="0" t="n">
        <f aca="false">AM287/Z287</f>
        <v>0.00610896113143441</v>
      </c>
    </row>
    <row r="288" customFormat="false" ht="12.75" hidden="false" customHeight="false" outlineLevel="0" collapsed="false">
      <c r="Y288" s="0" t="n">
        <f aca="false">Y287+$X$5</f>
        <v>1172</v>
      </c>
      <c r="Z288" s="0" t="n">
        <f aca="false">(Y288/$V$5)^$O$5</f>
        <v>1.2124500661244</v>
      </c>
      <c r="AA288" s="0" t="n">
        <f aca="false">$Q$5*(Y288-$V$5)</f>
        <v>7.11256576772729</v>
      </c>
      <c r="AB288" s="0" t="n">
        <f aca="false">COS(AA288)</f>
        <v>0.675332808121024</v>
      </c>
      <c r="AC288" s="0" t="n">
        <f aca="false">SIN(AA288)</f>
        <v>0.737513117358174</v>
      </c>
      <c r="AD288" s="0" t="n">
        <f aca="false">$T$5*(Z288-1)</f>
        <v>0.0090206452168</v>
      </c>
      <c r="AE288" s="0" t="n">
        <f aca="false">2*$T$5*$U$5*Z288*$X$5/(Y288+Y289)</f>
        <v>1.36668762028493E-005</v>
      </c>
      <c r="AF288" s="0" t="n">
        <f aca="false">AB288*AE288</f>
        <v>9.22968988431262E-006</v>
      </c>
      <c r="AG288" s="0" t="n">
        <f aca="false">AG287+AF287</f>
        <v>0.00414271662982521</v>
      </c>
      <c r="AH288" s="0" t="n">
        <f aca="false">AC288*AE288</f>
        <v>1.00795004729116E-005</v>
      </c>
      <c r="AI288" s="0" t="n">
        <f aca="false">AI287+AH287</f>
        <v>0.0033903865234184</v>
      </c>
      <c r="AJ288" s="6" t="n">
        <f aca="false">Y288/$P$5</f>
        <v>1.172</v>
      </c>
      <c r="AK288" s="0" t="n">
        <f aca="false">SQRT(AG288^2+AI288^2)</f>
        <v>0.00535320668881816</v>
      </c>
      <c r="AL288" s="0" t="n">
        <f aca="false">$W$5*(Y288/$V$5-Z288)</f>
        <v>0.00514939183117762</v>
      </c>
      <c r="AM288" s="0" t="n">
        <f aca="false">SQRT(AK288^2+AL288^2)</f>
        <v>0.00742785689712761</v>
      </c>
      <c r="AN288" s="2" t="n">
        <f aca="false">Y288</f>
        <v>1172</v>
      </c>
      <c r="AO288" s="0" t="n">
        <f aca="false">AM288/Z288</f>
        <v>0.00612631984166639</v>
      </c>
    </row>
    <row r="289" customFormat="false" ht="12.75" hidden="false" customHeight="false" outlineLevel="0" collapsed="false">
      <c r="Y289" s="0" t="n">
        <f aca="false">Y288+$X$5</f>
        <v>1176</v>
      </c>
      <c r="Z289" s="0" t="n">
        <f aca="false">(Y289/$V$5)^$O$5</f>
        <v>1.21268570414103</v>
      </c>
      <c r="AA289" s="0" t="n">
        <f aca="false">$Q$5*(Y289-$V$5)</f>
        <v>7.13769850895601</v>
      </c>
      <c r="AB289" s="0" t="n">
        <f aca="false">COS(AA289)</f>
        <v>0.656585755752957</v>
      </c>
      <c r="AC289" s="0" t="n">
        <f aca="false">SIN(AA289)</f>
        <v>0.754251380736104</v>
      </c>
      <c r="AD289" s="0" t="n">
        <f aca="false">$T$5*(Z289-1)</f>
        <v>0.00903065042407742</v>
      </c>
      <c r="AE289" s="0" t="n">
        <f aca="false">2*$T$5*$U$5*Z289*$X$5/(Y289+Y290)</f>
        <v>1.36231162725268E-005</v>
      </c>
      <c r="AF289" s="0" t="n">
        <f aca="false">AB289*AE289</f>
        <v>8.94474409350743E-006</v>
      </c>
      <c r="AG289" s="0" t="n">
        <f aca="false">AG288+AF288</f>
        <v>0.00415194631970952</v>
      </c>
      <c r="AH289" s="0" t="n">
        <f aca="false">AC289*AE289</f>
        <v>1.02752542584818E-005</v>
      </c>
      <c r="AI289" s="0" t="n">
        <f aca="false">AI288+AH288</f>
        <v>0.00340046602389132</v>
      </c>
      <c r="AJ289" s="6" t="n">
        <f aca="false">Y289/$P$5</f>
        <v>1.176</v>
      </c>
      <c r="AK289" s="0" t="n">
        <f aca="false">SQRT(AG289^2+AI289^2)</f>
        <v>0.0053667334032341</v>
      </c>
      <c r="AL289" s="0" t="n">
        <f aca="false">$W$5*(Y289/$V$5-Z289)</f>
        <v>0.00516768199147459</v>
      </c>
      <c r="AM289" s="0" t="n">
        <f aca="false">SQRT(AK289^2+AL289^2)</f>
        <v>0.00745028620835465</v>
      </c>
      <c r="AN289" s="2" t="n">
        <f aca="false">Y289</f>
        <v>1176</v>
      </c>
      <c r="AO289" s="0" t="n">
        <f aca="false">AM289/Z289</f>
        <v>0.00614362499938252</v>
      </c>
    </row>
    <row r="290" customFormat="false" ht="12.75" hidden="false" customHeight="false" outlineLevel="0" collapsed="false">
      <c r="Y290" s="0" t="n">
        <f aca="false">Y289+$X$5</f>
        <v>1180</v>
      </c>
      <c r="Z290" s="0" t="n">
        <f aca="false">(Y290/$V$5)^$O$5</f>
        <v>1.21292058758997</v>
      </c>
      <c r="AA290" s="0" t="n">
        <f aca="false">$Q$5*(Y290-$V$5)</f>
        <v>7.16283125018473</v>
      </c>
      <c r="AB290" s="0" t="n">
        <f aca="false">COS(AA290)</f>
        <v>0.63742398974869</v>
      </c>
      <c r="AC290" s="0" t="n">
        <f aca="false">SIN(AA290)</f>
        <v>0.770513242775789</v>
      </c>
      <c r="AD290" s="0" t="n">
        <f aca="false">$T$5*(Z290-1)</f>
        <v>0.00904062359235539</v>
      </c>
      <c r="AE290" s="0" t="n">
        <f aca="false">2*$T$5*$U$5*Z290*$X$5/(Y290+Y291)</f>
        <v>1.35796440696993E-005</v>
      </c>
      <c r="AF290" s="0" t="n">
        <f aca="false">AB290*AE290</f>
        <v>8.65599090227488E-006</v>
      </c>
      <c r="AG290" s="0" t="n">
        <f aca="false">AG289+AF289</f>
        <v>0.00416089106380303</v>
      </c>
      <c r="AH290" s="0" t="n">
        <f aca="false">AC290*AE290</f>
        <v>1.0463295587885E-005</v>
      </c>
      <c r="AI290" s="0" t="n">
        <f aca="false">AI289+AH289</f>
        <v>0.0034107412781498</v>
      </c>
      <c r="AJ290" s="6" t="n">
        <f aca="false">Y290/$P$5</f>
        <v>1.18</v>
      </c>
      <c r="AK290" s="0" t="n">
        <f aca="false">SQRT(AG290^2+AI290^2)</f>
        <v>0.00538016454314464</v>
      </c>
      <c r="AL290" s="0" t="n">
        <f aca="false">$W$5*(Y290/$V$5-Z290)</f>
        <v>0.00518597229010918</v>
      </c>
      <c r="AM290" s="0" t="n">
        <f aca="false">SQRT(AK290^2+AL290^2)</f>
        <v>0.00747264873422343</v>
      </c>
      <c r="AN290" s="2" t="n">
        <f aca="false">Y290</f>
        <v>1180</v>
      </c>
      <c r="AO290" s="0" t="n">
        <f aca="false">AM290/Z290</f>
        <v>0.00616087220439662</v>
      </c>
    </row>
    <row r="291" customFormat="false" ht="12.75" hidden="false" customHeight="false" outlineLevel="0" collapsed="false">
      <c r="Y291" s="0" t="n">
        <f aca="false">Y290+$X$5</f>
        <v>1184</v>
      </c>
      <c r="Z291" s="0" t="n">
        <f aca="false">(Y291/$V$5)^$O$5</f>
        <v>1.2131547214331</v>
      </c>
      <c r="AA291" s="0" t="n">
        <f aca="false">$Q$5*(Y291-$V$5)</f>
        <v>7.18796399141345</v>
      </c>
      <c r="AB291" s="0" t="n">
        <f aca="false">COS(AA291)</f>
        <v>0.617859613090334</v>
      </c>
      <c r="AC291" s="0" t="n">
        <f aca="false">SIN(AA291)</f>
        <v>0.786288432136619</v>
      </c>
      <c r="AD291" s="0" t="n">
        <f aca="false">$T$5*(Z291-1)</f>
        <v>0.00905056493231691</v>
      </c>
      <c r="AE291" s="0" t="n">
        <f aca="false">2*$T$5*$U$5*Z291*$X$5/(Y291+Y292)</f>
        <v>1.35364567384927E-005</v>
      </c>
      <c r="AF291" s="0" t="n">
        <f aca="false">AB291*AE291</f>
        <v>8.36362992305913E-006</v>
      </c>
      <c r="AG291" s="0" t="n">
        <f aca="false">AG290+AF290</f>
        <v>0.0041695470547053</v>
      </c>
      <c r="AH291" s="0" t="n">
        <f aca="false">AC291*AE291</f>
        <v>1.06435593455946E-005</v>
      </c>
      <c r="AI291" s="0" t="n">
        <f aca="false">AI290+AH290</f>
        <v>0.00342120457373768</v>
      </c>
      <c r="AJ291" s="6" t="n">
        <f aca="false">Y291/$P$5</f>
        <v>1.184</v>
      </c>
      <c r="AK291" s="0" t="n">
        <f aca="false">SQRT(AG291^2+AI291^2)</f>
        <v>0.00539349268811642</v>
      </c>
      <c r="AL291" s="0" t="n">
        <f aca="false">$W$5*(Y291/$V$5-Z291)</f>
        <v>0.00520426272617171</v>
      </c>
      <c r="AM291" s="0" t="n">
        <f aca="false">SQRT(AK291^2+AL291^2)</f>
        <v>0.00749493921921889</v>
      </c>
      <c r="AN291" s="2" t="n">
        <f aca="false">Y291</f>
        <v>1184</v>
      </c>
      <c r="AO291" s="0" t="n">
        <f aca="false">AM291/Z291</f>
        <v>0.00617805716517766</v>
      </c>
    </row>
    <row r="292" customFormat="false" ht="12.75" hidden="false" customHeight="false" outlineLevel="0" collapsed="false">
      <c r="Y292" s="0" t="n">
        <f aca="false">Y291+$X$5</f>
        <v>1188</v>
      </c>
      <c r="Z292" s="0" t="n">
        <f aca="false">(Y292/$V$5)^$O$5</f>
        <v>1.2133881105831</v>
      </c>
      <c r="AA292" s="0" t="n">
        <f aca="false">$Q$5*(Y292-$V$5)</f>
        <v>7.21309673264217</v>
      </c>
      <c r="AB292" s="0" t="n">
        <f aca="false">COS(AA292)</f>
        <v>0.597904983057519</v>
      </c>
      <c r="AC292" s="0" t="n">
        <f aca="false">SIN(AA292)</f>
        <v>0.801566984870877</v>
      </c>
      <c r="AD292" s="0" t="n">
        <f aca="false">$T$5*(Z292-1)</f>
        <v>0.00906047465255358</v>
      </c>
      <c r="AE292" s="0" t="n">
        <f aca="false">2*$T$5*$U$5*Z292*$X$5/(Y292+Y293)</f>
        <v>1.34935514608833E-005</v>
      </c>
      <c r="AF292" s="0" t="n">
        <f aca="false">AB292*AE292</f>
        <v>8.06786165760518E-006</v>
      </c>
      <c r="AG292" s="0" t="n">
        <f aca="false">AG291+AF291</f>
        <v>0.00417791068462836</v>
      </c>
      <c r="AH292" s="0" t="n">
        <f aca="false">AC292*AE292</f>
        <v>1.08159853597002E-005</v>
      </c>
      <c r="AI292" s="0" t="n">
        <f aca="false">AI291+AH291</f>
        <v>0.00343184813308328</v>
      </c>
      <c r="AJ292" s="6" t="n">
        <f aca="false">Y292/$P$5</f>
        <v>1.188</v>
      </c>
      <c r="AK292" s="0" t="n">
        <f aca="false">SQRT(AG292^2+AI292^2)</f>
        <v>0.00540671058012901</v>
      </c>
      <c r="AL292" s="0" t="n">
        <f aca="false">$W$5*(Y292/$V$5-Z292)</f>
        <v>0.00522255329876151</v>
      </c>
      <c r="AM292" s="0" t="n">
        <f aca="false">SQRT(AK292^2+AL292^2)</f>
        <v>0.00751715253641189</v>
      </c>
      <c r="AN292" s="2" t="n">
        <f aca="false">Y292</f>
        <v>1188</v>
      </c>
      <c r="AO292" s="0" t="n">
        <f aca="false">AM292/Z292</f>
        <v>0.00619517569922413</v>
      </c>
    </row>
    <row r="293" customFormat="false" ht="12.75" hidden="false" customHeight="false" outlineLevel="0" collapsed="false">
      <c r="Y293" s="0" t="n">
        <f aca="false">Y292+$X$5</f>
        <v>1192</v>
      </c>
      <c r="Z293" s="0" t="n">
        <f aca="false">(Y293/$V$5)^$O$5</f>
        <v>1.213620759904</v>
      </c>
      <c r="AA293" s="0" t="n">
        <f aca="false">$Q$5*(Y293-$V$5)</f>
        <v>7.23822947387088</v>
      </c>
      <c r="AB293" s="0" t="n">
        <f aca="false">COS(AA293)</f>
        <v>0.577572703422268</v>
      </c>
      <c r="AC293" s="0" t="n">
        <f aca="false">SIN(AA293)</f>
        <v>0.816339250717184</v>
      </c>
      <c r="AD293" s="0" t="n">
        <f aca="false">$T$5*(Z293-1)</f>
        <v>0.00907035295959335</v>
      </c>
      <c r="AE293" s="0" t="n">
        <f aca="false">2*$T$5*$U$5*Z293*$X$5/(Y293+Y294)</f>
        <v>1.34509254560714E-005</v>
      </c>
      <c r="AF293" s="0" t="n">
        <f aca="false">AB293*AE293</f>
        <v>7.76888737919458E-006</v>
      </c>
      <c r="AG293" s="0" t="n">
        <f aca="false">AG292+AF292</f>
        <v>0.00418597854628596</v>
      </c>
      <c r="AH293" s="0" t="n">
        <f aca="false">AC293*AE293</f>
        <v>1.0980518408262E-005</v>
      </c>
      <c r="AI293" s="0" t="n">
        <f aca="false">AI292+AH292</f>
        <v>0.00344266411844298</v>
      </c>
      <c r="AJ293" s="6" t="n">
        <f aca="false">Y293/$P$5</f>
        <v>1.192</v>
      </c>
      <c r="AK293" s="0" t="n">
        <f aca="false">SQRT(AG293^2+AI293^2)</f>
        <v>0.00541981112423497</v>
      </c>
      <c r="AL293" s="0" t="n">
        <f aca="false">$W$5*(Y293/$V$5-Z293)</f>
        <v>0.00524084400698685</v>
      </c>
      <c r="AM293" s="0" t="n">
        <f aca="false">SQRT(AK293^2+AL293^2)</f>
        <v>0.00753928368798728</v>
      </c>
      <c r="AN293" s="2" t="n">
        <f aca="false">Y293</f>
        <v>1192</v>
      </c>
      <c r="AO293" s="0" t="n">
        <f aca="false">AM293/Z293</f>
        <v>0.00621222373337091</v>
      </c>
    </row>
    <row r="294" customFormat="false" ht="12.75" hidden="false" customHeight="false" outlineLevel="0" collapsed="false">
      <c r="Y294" s="0" t="n">
        <f aca="false">Y293+$X$5</f>
        <v>1196</v>
      </c>
      <c r="Z294" s="0" t="n">
        <f aca="false">(Y294/$V$5)^$O$5</f>
        <v>1.2138526742119</v>
      </c>
      <c r="AA294" s="0" t="n">
        <f aca="false">$Q$5*(Y294-$V$5)</f>
        <v>7.2633622150996</v>
      </c>
      <c r="AB294" s="0" t="n">
        <f aca="false">COS(AA294)</f>
        <v>0.556875616488188</v>
      </c>
      <c r="AC294" s="0" t="n">
        <f aca="false">SIN(AA294)</f>
        <v>0.830595899195813</v>
      </c>
      <c r="AD294" s="0" t="n">
        <f aca="false">$T$5*(Z294-1)</f>
        <v>0.00908020005792779</v>
      </c>
      <c r="AE294" s="0" t="n">
        <f aca="false">2*$T$5*$U$5*Z294*$X$5/(Y294+Y295)</f>
        <v>1.34085759798667E-005</v>
      </c>
      <c r="AF294" s="0" t="n">
        <f aca="false">AB294*AE294</f>
        <v>7.466909015017E-006</v>
      </c>
      <c r="AG294" s="0" t="n">
        <f aca="false">AG293+AF293</f>
        <v>0.00419374743366516</v>
      </c>
      <c r="AH294" s="0" t="n">
        <f aca="false">AC294*AE294</f>
        <v>1.11371082229328E-005</v>
      </c>
      <c r="AI294" s="0" t="n">
        <f aca="false">AI293+AH293</f>
        <v>0.00345364463685124</v>
      </c>
      <c r="AJ294" s="6" t="n">
        <f aca="false">Y294/$P$5</f>
        <v>1.196</v>
      </c>
      <c r="AK294" s="0" t="n">
        <f aca="false">SQRT(AG294^2+AI294^2)</f>
        <v>0.00543278738908716</v>
      </c>
      <c r="AL294" s="0" t="n">
        <f aca="false">$W$5*(Y294/$V$5-Z294)</f>
        <v>0.00525913484996477</v>
      </c>
      <c r="AM294" s="0" t="n">
        <f aca="false">SQRT(AK294^2+AL294^2)</f>
        <v>0.00756132780569249</v>
      </c>
      <c r="AN294" s="2" t="n">
        <f aca="false">Y294</f>
        <v>1196</v>
      </c>
      <c r="AO294" s="0" t="n">
        <f aca="false">AM294/Z294</f>
        <v>0.00622919730403172</v>
      </c>
    </row>
    <row r="295" customFormat="false" ht="12.75" hidden="false" customHeight="false" outlineLevel="0" collapsed="false">
      <c r="Y295" s="0" t="n">
        <f aca="false">Y294+$X$5</f>
        <v>1200</v>
      </c>
      <c r="Z295" s="0" t="n">
        <f aca="false">(Y295/$V$5)^$O$5</f>
        <v>1.21408385827557</v>
      </c>
      <c r="AA295" s="0" t="n">
        <f aca="false">$Q$5*(Y295-$V$5)</f>
        <v>7.28849495632832</v>
      </c>
      <c r="AB295" s="0" t="n">
        <f aca="false">COS(AA295)</f>
        <v>0.535826794978996</v>
      </c>
      <c r="AC295" s="0" t="n">
        <f aca="false">SIN(AA295)</f>
        <v>0.844327925502015</v>
      </c>
      <c r="AD295" s="0" t="n">
        <f aca="false">$T$5*(Z295-1)</f>
        <v>0.00909001615003887</v>
      </c>
      <c r="AE295" s="0" t="n">
        <f aca="false">2*$T$5*$U$5*Z295*$X$5/(Y295+Y296)</f>
        <v>1.33665003240862E-005</v>
      </c>
      <c r="AF295" s="0" t="n">
        <f aca="false">AB295*AE295</f>
        <v>7.1621290287408E-006</v>
      </c>
      <c r="AG295" s="0" t="n">
        <f aca="false">AG294+AF294</f>
        <v>0.00420121434268018</v>
      </c>
      <c r="AH295" s="0" t="n">
        <f aca="false">AC295*AE295</f>
        <v>1.12857094898577E-005</v>
      </c>
      <c r="AI295" s="0" t="n">
        <f aca="false">AI294+AH294</f>
        <v>0.00346478174507417</v>
      </c>
      <c r="AJ295" s="6" t="n">
        <f aca="false">Y295/$P$5</f>
        <v>1.2</v>
      </c>
      <c r="AK295" s="0" t="n">
        <f aca="false">SQRT(AG295^2+AI295^2)</f>
        <v>0.00544563260734149</v>
      </c>
      <c r="AL295" s="0" t="n">
        <f aca="false">$W$5*(Y295/$V$5-Z295)</f>
        <v>0.00527742582682101</v>
      </c>
      <c r="AM295" s="0" t="n">
        <f aca="false">SQRT(AK295^2+AL295^2)</f>
        <v>0.00758328015121018</v>
      </c>
      <c r="AN295" s="2" t="n">
        <f aca="false">Y295</f>
        <v>1200</v>
      </c>
      <c r="AO295" s="0" t="n">
        <f aca="false">AM295/Z295</f>
        <v>0.00624609255737997</v>
      </c>
    </row>
    <row r="296" customFormat="false" ht="12.75" hidden="false" customHeight="false" outlineLevel="0" collapsed="false">
      <c r="Y296" s="0" t="n">
        <f aca="false">Y295+$X$5</f>
        <v>1204</v>
      </c>
      <c r="Z296" s="0" t="n">
        <f aca="false">(Y296/$V$5)^$O$5</f>
        <v>1.21431431681704</v>
      </c>
      <c r="AA296" s="0" t="n">
        <f aca="false">$Q$5*(Y296-$V$5)</f>
        <v>7.31362769755704</v>
      </c>
      <c r="AB296" s="0" t="n">
        <f aca="false">COS(AA296)</f>
        <v>0.514439533781506</v>
      </c>
      <c r="AC296" s="0" t="n">
        <f aca="false">SIN(AA296)</f>
        <v>0.857526656193653</v>
      </c>
      <c r="AD296" s="0" t="n">
        <f aca="false">$T$5*(Z296-1)</f>
        <v>0.00909980143642532</v>
      </c>
      <c r="AE296" s="0" t="n">
        <f aca="false">2*$T$5*$U$5*Z296*$X$5/(Y296+Y297)</f>
        <v>1.33246958159635E-005</v>
      </c>
      <c r="AF296" s="0" t="n">
        <f aca="false">AB296*AE296</f>
        <v>6.85475030334467E-006</v>
      </c>
      <c r="AG296" s="0" t="n">
        <f aca="false">AG295+AF295</f>
        <v>0.00420837647170892</v>
      </c>
      <c r="AH296" s="0" t="n">
        <f aca="false">AC296*AE296</f>
        <v>1.14262818478608E-005</v>
      </c>
      <c r="AI296" s="0" t="n">
        <f aca="false">AI295+AH295</f>
        <v>0.00347606745456403</v>
      </c>
      <c r="AJ296" s="6" t="n">
        <f aca="false">Y296/$P$5</f>
        <v>1.204</v>
      </c>
      <c r="AK296" s="0" t="n">
        <f aca="false">SQRT(AG296^2+AI296^2)</f>
        <v>0.00545834017594291</v>
      </c>
      <c r="AL296" s="0" t="n">
        <f aca="false">$W$5*(Y296/$V$5-Z296)</f>
        <v>0.00529571693668984</v>
      </c>
      <c r="AM296" s="0" t="n">
        <f aca="false">SQRT(AK296^2+AL296^2)</f>
        <v>0.00760513611645814</v>
      </c>
      <c r="AN296" s="2" t="n">
        <f aca="false">Y296</f>
        <v>1204</v>
      </c>
      <c r="AO296" s="0" t="n">
        <f aca="false">AM296/Z296</f>
        <v>0.00626290574947078</v>
      </c>
    </row>
    <row r="297" customFormat="false" ht="12.75" hidden="false" customHeight="false" outlineLevel="0" collapsed="false">
      <c r="Y297" s="0" t="n">
        <f aca="false">Y296+$X$5</f>
        <v>1208</v>
      </c>
      <c r="Z297" s="0" t="n">
        <f aca="false">(Y297/$V$5)^$O$5</f>
        <v>1.21454405451229</v>
      </c>
      <c r="AA297" s="0" t="n">
        <f aca="false">$Q$5*(Y297-$V$5)</f>
        <v>7.33876043878576</v>
      </c>
      <c r="AB297" s="0" t="n">
        <f aca="false">COS(AA297)</f>
        <v>0.492727341548292</v>
      </c>
      <c r="AC297" s="0" t="n">
        <f aca="false">SIN(AA297)</f>
        <v>0.870183754669526</v>
      </c>
      <c r="AD297" s="0" t="n">
        <f aca="false">$T$5*(Z297-1)</f>
        <v>0.00910955611562865</v>
      </c>
      <c r="AE297" s="0" t="n">
        <f aca="false">2*$T$5*$U$5*Z297*$X$5/(Y297+Y298)</f>
        <v>1.3283159817571E-005</v>
      </c>
      <c r="AF297" s="0" t="n">
        <f aca="false">AB297*AE297</f>
        <v>6.54497602427283E-006</v>
      </c>
      <c r="AG297" s="0" t="n">
        <f aca="false">AG296+AF296</f>
        <v>0.00421523122201226</v>
      </c>
      <c r="AH297" s="0" t="n">
        <f aca="false">AC297*AE297</f>
        <v>1.15587898839293E-005</v>
      </c>
      <c r="AI297" s="0" t="n">
        <f aca="false">AI296+AH296</f>
        <v>0.00348749373641189</v>
      </c>
      <c r="AJ297" s="6" t="n">
        <f aca="false">Y297/$P$5</f>
        <v>1.208</v>
      </c>
      <c r="AK297" s="0" t="n">
        <f aca="false">SQRT(AG297^2+AI297^2)</f>
        <v>0.00547090365630205</v>
      </c>
      <c r="AL297" s="0" t="n">
        <f aca="false">$W$5*(Y297/$V$5-Z297)</f>
        <v>0.00531400817871401</v>
      </c>
      <c r="AM297" s="0" t="n">
        <f aca="false">SQRT(AK297^2+AL297^2)</f>
        <v>0.00762689122381974</v>
      </c>
      <c r="AN297" s="2" t="n">
        <f aca="false">Y297</f>
        <v>1208</v>
      </c>
      <c r="AO297" s="0" t="n">
        <f aca="false">AM297/Z297</f>
        <v>0.00627963324630687</v>
      </c>
    </row>
    <row r="298" customFormat="false" ht="12.75" hidden="false" customHeight="false" outlineLevel="0" collapsed="false">
      <c r="Y298" s="0" t="n">
        <f aca="false">Y297+$X$5</f>
        <v>1212</v>
      </c>
      <c r="Z298" s="0" t="n">
        <f aca="false">(Y298/$V$5)^$O$5</f>
        <v>1.21477307599178</v>
      </c>
      <c r="AA298" s="0" t="n">
        <f aca="false">$Q$5*(Y298-$V$5)</f>
        <v>7.36389318001448</v>
      </c>
      <c r="AB298" s="0" t="n">
        <f aca="false">COS(AA298)</f>
        <v>0.470703932165333</v>
      </c>
      <c r="AC298" s="0" t="n">
        <f aca="false">SIN(AA298)</f>
        <v>0.882291226434953</v>
      </c>
      <c r="AD298" s="0" t="n">
        <f aca="false">$T$5*(Z298-1)</f>
        <v>0.00911928038425855</v>
      </c>
      <c r="AE298" s="0" t="n">
        <f aca="false">2*$T$5*$U$5*Z298*$X$5/(Y298+Y299)</f>
        <v>1.32418897252513E-005</v>
      </c>
      <c r="AF298" s="0" t="n">
        <f aca="false">AB298*AE298</f>
        <v>6.2330095629755E-006</v>
      </c>
      <c r="AG298" s="0" t="n">
        <f aca="false">AG297+AF297</f>
        <v>0.00422177619803653</v>
      </c>
      <c r="AH298" s="0" t="n">
        <f aca="false">AC298*AE298</f>
        <v>1.16832031260084E-005</v>
      </c>
      <c r="AI298" s="0" t="n">
        <f aca="false">AI297+AH297</f>
        <v>0.00349905252629582</v>
      </c>
      <c r="AJ298" s="6" t="n">
        <f aca="false">Y298/$P$5</f>
        <v>1.212</v>
      </c>
      <c r="AK298" s="0" t="n">
        <f aca="false">SQRT(AG298^2+AI298^2)</f>
        <v>0.00548331677436978</v>
      </c>
      <c r="AL298" s="0" t="n">
        <f aca="false">$W$5*(Y298/$V$5-Z298)</f>
        <v>0.00533229955204461</v>
      </c>
      <c r="AM298" s="0" t="n">
        <f aca="false">SQRT(AK298^2+AL298^2)</f>
        <v>0.00764854112630769</v>
      </c>
      <c r="AN298" s="2" t="n">
        <f aca="false">Y298</f>
        <v>1212</v>
      </c>
      <c r="AO298" s="0" t="n">
        <f aca="false">AM298/Z298</f>
        <v>0.00629627152385082</v>
      </c>
    </row>
    <row r="299" customFormat="false" ht="12.75" hidden="false" customHeight="false" outlineLevel="0" collapsed="false">
      <c r="Y299" s="0" t="n">
        <f aca="false">Y298+$X$5</f>
        <v>1216</v>
      </c>
      <c r="Z299" s="0" t="n">
        <f aca="false">(Y299/$V$5)^$O$5</f>
        <v>1.21500138584105</v>
      </c>
      <c r="AA299" s="0" t="n">
        <f aca="false">$Q$5*(Y299-$V$5)</f>
        <v>7.38902592124319</v>
      </c>
      <c r="AB299" s="0" t="n">
        <f aca="false">COS(AA299)</f>
        <v>0.448383216090032</v>
      </c>
      <c r="AC299" s="0" t="n">
        <f aca="false">SIN(AA299)</f>
        <v>0.893841424151264</v>
      </c>
      <c r="AD299" s="0" t="n">
        <f aca="false">$T$5*(Z299-1)</f>
        <v>0.00912897443701809</v>
      </c>
      <c r="AE299" s="0" t="n">
        <f aca="false">2*$T$5*$U$5*Z299*$X$5/(Y299+Y300)</f>
        <v>1.3200882969062E-005</v>
      </c>
      <c r="AF299" s="0" t="n">
        <f aca="false">AB299*AE299</f>
        <v>5.91905436089614E-006</v>
      </c>
      <c r="AG299" s="0" t="n">
        <f aca="false">AG298+AF298</f>
        <v>0.00422800920759951</v>
      </c>
      <c r="AH299" s="0" t="n">
        <f aca="false">AC299*AE299</f>
        <v>1.17994960331205E-005</v>
      </c>
      <c r="AI299" s="0" t="n">
        <f aca="false">AI298+AH298</f>
        <v>0.00351073572942183</v>
      </c>
      <c r="AJ299" s="6" t="n">
        <f aca="false">Y299/$P$5</f>
        <v>1.216</v>
      </c>
      <c r="AK299" s="0" t="n">
        <f aca="false">SQRT(AG299^2+AI299^2)</f>
        <v>0.00549557342061638</v>
      </c>
      <c r="AL299" s="0" t="n">
        <f aca="false">$W$5*(Y299/$V$5-Z299)</f>
        <v>0.00535059105584093</v>
      </c>
      <c r="AM299" s="0" t="n">
        <f aca="false">SQRT(AK299^2+AL299^2)</f>
        <v>0.0076700816076643</v>
      </c>
      <c r="AN299" s="2" t="n">
        <f aca="false">Y299</f>
        <v>1216</v>
      </c>
      <c r="AO299" s="0" t="n">
        <f aca="false">AM299/Z299</f>
        <v>0.00631281716798613</v>
      </c>
    </row>
    <row r="300" customFormat="false" ht="12.75" hidden="false" customHeight="false" outlineLevel="0" collapsed="false">
      <c r="Y300" s="0" t="n">
        <f aca="false">Y299+$X$5</f>
        <v>1220</v>
      </c>
      <c r="Z300" s="0" t="n">
        <f aca="false">(Y300/$V$5)^$O$5</f>
        <v>1.21522898860134</v>
      </c>
      <c r="AA300" s="0" t="n">
        <f aca="false">$Q$5*(Y300-$V$5)</f>
        <v>7.41415866247191</v>
      </c>
      <c r="AB300" s="0" t="n">
        <f aca="false">COS(AA300)</f>
        <v>0.425779291565072</v>
      </c>
      <c r="AC300" s="0" t="n">
        <f aca="false">SIN(AA300)</f>
        <v>0.90482705246602</v>
      </c>
      <c r="AD300" s="0" t="n">
        <f aca="false">$T$5*(Z300-1)</f>
        <v>0.00913863846672834</v>
      </c>
      <c r="AE300" s="0" t="n">
        <f aca="false">2*$T$5*$U$5*Z300*$X$5/(Y300+Y301)</f>
        <v>1.31601370122294E-005</v>
      </c>
      <c r="AF300" s="0" t="n">
        <f aca="false">AB300*AE300</f>
        <v>5.60331381396632E-006</v>
      </c>
      <c r="AG300" s="0" t="n">
        <f aca="false">AG299+AF299</f>
        <v>0.00423392826196041</v>
      </c>
      <c r="AH300" s="0" t="n">
        <f aca="false">AC300*AE300</f>
        <v>1.19076479828245E-005</v>
      </c>
      <c r="AI300" s="0" t="n">
        <f aca="false">AI299+AH299</f>
        <v>0.00352253522545495</v>
      </c>
      <c r="AJ300" s="6" t="n">
        <f aca="false">Y300/$P$5</f>
        <v>1.22</v>
      </c>
      <c r="AK300" s="0" t="n">
        <f aca="false">SQRT(AG300^2+AI300^2)</f>
        <v>0.00550766764992206</v>
      </c>
      <c r="AL300" s="0" t="n">
        <f aca="false">$W$5*(Y300/$V$5-Z300)</f>
        <v>0.00536888268927043</v>
      </c>
      <c r="AM300" s="0" t="n">
        <f aca="false">SQRT(AK300^2+AL300^2)</f>
        <v>0.00769150858240083</v>
      </c>
      <c r="AN300" s="2" t="n">
        <f aca="false">Y300</f>
        <v>1220</v>
      </c>
      <c r="AO300" s="0" t="n">
        <f aca="false">AM300/Z300</f>
        <v>0.00632926687442942</v>
      </c>
    </row>
    <row r="301" customFormat="false" ht="12.75" hidden="false" customHeight="false" outlineLevel="0" collapsed="false">
      <c r="Y301" s="0" t="n">
        <f aca="false">Y300+$X$5</f>
        <v>1224</v>
      </c>
      <c r="Z301" s="0" t="n">
        <f aca="false">(Y301/$V$5)^$O$5</f>
        <v>1.21545588877014</v>
      </c>
      <c r="AA301" s="0" t="n">
        <f aca="false">$Q$5*(Y301-$V$5)</f>
        <v>7.43929140370063</v>
      </c>
      <c r="AB301" s="0" t="n">
        <f aca="false">COS(AA301)</f>
        <v>0.402906435713663</v>
      </c>
      <c r="AC301" s="0" t="n">
        <f aca="false">SIN(AA301)</f>
        <v>0.915241172620917</v>
      </c>
      <c r="AD301" s="0" t="n">
        <f aca="false">$T$5*(Z301-1)</f>
        <v>0.00914827266435272</v>
      </c>
      <c r="AE301" s="0" t="n">
        <f aca="false">2*$T$5*$U$5*Z301*$X$5/(Y301+Y302)</f>
        <v>1.31196493506141E-005</v>
      </c>
      <c r="AF301" s="0" t="n">
        <f aca="false">AB301*AE301</f>
        <v>5.28599115766899E-006</v>
      </c>
      <c r="AG301" s="0" t="n">
        <f aca="false">AG300+AF300</f>
        <v>0.00423953157577437</v>
      </c>
      <c r="AH301" s="0" t="n">
        <f aca="false">AC301*AE301</f>
        <v>1.20076432560313E-005</v>
      </c>
      <c r="AI301" s="0" t="n">
        <f aca="false">AI300+AH300</f>
        <v>0.00353444287343777</v>
      </c>
      <c r="AJ301" s="6" t="n">
        <f aca="false">Y301/$P$5</f>
        <v>1.224</v>
      </c>
      <c r="AK301" s="0" t="n">
        <f aca="false">SQRT(AG301^2+AI301^2)</f>
        <v>0.0055195936813848</v>
      </c>
      <c r="AL301" s="0" t="n">
        <f aca="false">$W$5*(Y301/$V$5-Z301)</f>
        <v>0.00538717445150856</v>
      </c>
      <c r="AM301" s="0" t="n">
        <f aca="false">SQRT(AK301^2+AL301^2)</f>
        <v>0.00771281809577858</v>
      </c>
      <c r="AN301" s="2" t="n">
        <f aca="false">Y301</f>
        <v>1224</v>
      </c>
      <c r="AO301" s="0" t="n">
        <f aca="false">AM301/Z301</f>
        <v>0.00634561744859603</v>
      </c>
    </row>
    <row r="302" customFormat="false" ht="12.75" hidden="false" customHeight="false" outlineLevel="0" collapsed="false">
      <c r="Y302" s="0" t="n">
        <f aca="false">Y301+$X$5</f>
        <v>1228</v>
      </c>
      <c r="Z302" s="0" t="n">
        <f aca="false">(Y302/$V$5)^$O$5</f>
        <v>1.21568209080173</v>
      </c>
      <c r="AA302" s="0" t="n">
        <f aca="false">$Q$5*(Y302-$V$5)</f>
        <v>7.46442414492935</v>
      </c>
      <c r="AB302" s="0" t="n">
        <f aca="false">COS(AA302)</f>
        <v>0.379779095521801</v>
      </c>
      <c r="AC302" s="0" t="n">
        <f aca="false">SIN(AA302)</f>
        <v>0.925077206834458</v>
      </c>
      <c r="AD302" s="0" t="n">
        <f aca="false">$T$5*(Z302-1)</f>
        <v>0.00915787721902086</v>
      </c>
      <c r="AE302" s="0" t="n">
        <f aca="false">2*$T$5*$U$5*Z302*$X$5/(Y302+Y303)</f>
        <v>1.3079417512186E-005</v>
      </c>
      <c r="AF302" s="0" t="n">
        <f aca="false">AB302*AE302</f>
        <v>4.96728935273E-006</v>
      </c>
      <c r="AG302" s="0" t="n">
        <f aca="false">AG301+AF301</f>
        <v>0.00424481756693204</v>
      </c>
      <c r="AH302" s="0" t="n">
        <f aca="false">AC302*AE302</f>
        <v>1.20994710191947E-005</v>
      </c>
      <c r="AI302" s="0" t="n">
        <f aca="false">AI301+AH301</f>
        <v>0.0035464505166938</v>
      </c>
      <c r="AJ302" s="6" t="n">
        <f aca="false">Y302/$P$5</f>
        <v>1.228</v>
      </c>
      <c r="AK302" s="0" t="n">
        <f aca="false">SQRT(AG302^2+AI302^2)</f>
        <v>0.00553134589805163</v>
      </c>
      <c r="AL302" s="0" t="n">
        <f aca="false">$W$5*(Y302/$V$5-Z302)</f>
        <v>0.0054054663417387</v>
      </c>
      <c r="AM302" s="0" t="n">
        <f aca="false">SQRT(AK302^2+AL302^2)</f>
        <v>0.00773400632373433</v>
      </c>
      <c r="AN302" s="2" t="n">
        <f aca="false">Y302</f>
        <v>1228</v>
      </c>
      <c r="AO302" s="0" t="n">
        <f aca="false">AM302/Z302</f>
        <v>0.00636186580542106</v>
      </c>
    </row>
    <row r="303" customFormat="false" ht="12.75" hidden="false" customHeight="false" outlineLevel="0" collapsed="false">
      <c r="Y303" s="0" t="n">
        <f aca="false">Y302+$X$5</f>
        <v>1232</v>
      </c>
      <c r="Z303" s="0" t="n">
        <f aca="false">(Y303/$V$5)^$O$5</f>
        <v>1.21590759910779</v>
      </c>
      <c r="AA303" s="0" t="n">
        <f aca="false">$Q$5*(Y303-$V$5)</f>
        <v>7.48955688615807</v>
      </c>
      <c r="AB303" s="0" t="n">
        <f aca="false">COS(AA303)</f>
        <v>0.356411878713251</v>
      </c>
      <c r="AC303" s="0" t="n">
        <f aca="false">SIN(AA303)</f>
        <v>0.934328942456612</v>
      </c>
      <c r="AD303" s="0" t="n">
        <f aca="false">$T$5*(Z303-1)</f>
        <v>0.00916745231805212</v>
      </c>
      <c r="AE303" s="0" t="n">
        <f aca="false">2*$T$5*$U$5*Z303*$X$5/(Y303+Y304)</f>
        <v>1.30394390565102E-005</v>
      </c>
      <c r="AF303" s="0" t="n">
        <f aca="false">AB303*AE303</f>
        <v>4.64741097149775E-006</v>
      </c>
      <c r="AG303" s="0" t="n">
        <f aca="false">AG302+AF302</f>
        <v>0.00424978485628477</v>
      </c>
      <c r="AH303" s="0" t="n">
        <f aca="false">AC303*AE303</f>
        <v>1.21831253038967E-005</v>
      </c>
      <c r="AI303" s="0" t="n">
        <f aca="false">AI302+AH302</f>
        <v>0.003558549987713</v>
      </c>
      <c r="AJ303" s="6" t="n">
        <f aca="false">Y303/$P$5</f>
        <v>1.232</v>
      </c>
      <c r="AK303" s="0" t="n">
        <f aca="false">SQRT(AG303^2+AI303^2)</f>
        <v>0.0055429188465789</v>
      </c>
      <c r="AL303" s="0" t="n">
        <f aca="false">$W$5*(Y303/$V$5-Z303)</f>
        <v>0.00542375835915205</v>
      </c>
      <c r="AM303" s="0" t="n">
        <f aca="false">SQRT(AK303^2+AL303^2)</f>
        <v>0.00775506957275247</v>
      </c>
      <c r="AN303" s="2" t="n">
        <f aca="false">Y303</f>
        <v>1232</v>
      </c>
      <c r="AO303" s="0" t="n">
        <f aca="false">AM303/Z303</f>
        <v>0.00637800896913797</v>
      </c>
    </row>
    <row r="304" customFormat="false" ht="12.75" hidden="false" customHeight="false" outlineLevel="0" collapsed="false">
      <c r="Y304" s="0" t="n">
        <f aca="false">Y303+$X$5</f>
        <v>1236</v>
      </c>
      <c r="Z304" s="0" t="n">
        <f aca="false">(Y304/$V$5)^$O$5</f>
        <v>1.21613241805786</v>
      </c>
      <c r="AA304" s="0" t="n">
        <f aca="false">$Q$5*(Y304-$V$5)</f>
        <v>7.51468962738679</v>
      </c>
      <c r="AB304" s="0" t="n">
        <f aca="false">COS(AA304)</f>
        <v>0.332819544522986</v>
      </c>
      <c r="AC304" s="0" t="n">
        <f aca="false">SIN(AA304)</f>
        <v>0.942990535892865</v>
      </c>
      <c r="AD304" s="0" t="n">
        <f aca="false">$T$5*(Z304-1)</f>
        <v>0.00917699814697873</v>
      </c>
      <c r="AE304" s="0" t="n">
        <f aca="false">2*$T$5*$U$5*Z304*$X$5/(Y304+Y305)</f>
        <v>1.29997115742423E-005</v>
      </c>
      <c r="AF304" s="0" t="n">
        <f aca="false">AB304*AE304</f>
        <v>4.32655808506952E-006</v>
      </c>
      <c r="AG304" s="0" t="n">
        <f aca="false">AG303+AF303</f>
        <v>0.00425443226725627</v>
      </c>
      <c r="AH304" s="0" t="n">
        <f aca="false">AC304*AE304</f>
        <v>1.22586049838474E-005</v>
      </c>
      <c r="AI304" s="0" t="n">
        <f aca="false">AI303+AH303</f>
        <v>0.0035707331130169</v>
      </c>
      <c r="AJ304" s="6" t="n">
        <f aca="false">Y304/$P$5</f>
        <v>1.236</v>
      </c>
      <c r="AK304" s="0" t="n">
        <f aca="false">SQRT(AG304^2+AI304^2)</f>
        <v>0.00555430723682681</v>
      </c>
      <c r="AL304" s="0" t="n">
        <f aca="false">$W$5*(Y304/$V$5-Z304)</f>
        <v>0.00544205050294751</v>
      </c>
      <c r="AM304" s="0" t="n">
        <f aca="false">SQRT(AK304^2+AL304^2)</f>
        <v>0.00777600427968619</v>
      </c>
      <c r="AN304" s="2" t="n">
        <f aca="false">Y304</f>
        <v>1236</v>
      </c>
      <c r="AO304" s="0" t="n">
        <f aca="false">AM304/Z304</f>
        <v>0.00639404407301656</v>
      </c>
    </row>
    <row r="305" customFormat="false" ht="12.75" hidden="false" customHeight="false" outlineLevel="0" collapsed="false">
      <c r="Y305" s="0" t="n">
        <f aca="false">Y304+$X$5</f>
        <v>1240</v>
      </c>
      <c r="Z305" s="0" t="n">
        <f aca="false">(Y305/$V$5)^$O$5</f>
        <v>1.21635655197999</v>
      </c>
      <c r="AA305" s="0" t="n">
        <f aca="false">$Q$5*(Y305-$V$5)</f>
        <v>7.5398223686155</v>
      </c>
      <c r="AB305" s="0" t="n">
        <f aca="false">COS(AA305)</f>
        <v>0.309016994374947</v>
      </c>
      <c r="AC305" s="0" t="n">
        <f aca="false">SIN(AA305)</f>
        <v>0.951056516295154</v>
      </c>
      <c r="AD305" s="0" t="n">
        <f aca="false">$T$5*(Z305-1)</f>
        <v>0.00918651488956861</v>
      </c>
      <c r="AE305" s="0" t="n">
        <f aca="false">2*$T$5*$U$5*Z305*$X$5/(Y305+Y306)</f>
        <v>1.29602326866332E-005</v>
      </c>
      <c r="AF305" s="0" t="n">
        <f aca="false">AB305*AE305</f>
        <v>4.00493215122333E-006</v>
      </c>
      <c r="AG305" s="0" t="n">
        <f aca="false">AG304+AF304</f>
        <v>0.00425875882534134</v>
      </c>
      <c r="AH305" s="0" t="n">
        <f aca="false">AC305*AE305</f>
        <v>1.2325913749324E-005</v>
      </c>
      <c r="AI305" s="0" t="n">
        <f aca="false">AI304+AH304</f>
        <v>0.00358299171800074</v>
      </c>
      <c r="AJ305" s="6" t="n">
        <f aca="false">Y305/$P$5</f>
        <v>1.24</v>
      </c>
      <c r="AK305" s="0" t="n">
        <f aca="false">SQRT(AG305^2+AI305^2)</f>
        <v>0.00556550594139335</v>
      </c>
      <c r="AL305" s="0" t="n">
        <f aca="false">$W$5*(Y305/$V$5-Z305)</f>
        <v>0.00546034277233162</v>
      </c>
      <c r="AM305" s="0" t="n">
        <f aca="false">SQRT(AK305^2+AL305^2)</f>
        <v>0.00779680701152971</v>
      </c>
      <c r="AN305" s="2" t="n">
        <f aca="false">Y305</f>
        <v>1240</v>
      </c>
      <c r="AO305" s="0" t="n">
        <f aca="false">AM305/Z305</f>
        <v>0.0064099683590622</v>
      </c>
    </row>
    <row r="306" customFormat="false" ht="12.75" hidden="false" customHeight="false" outlineLevel="0" collapsed="false">
      <c r="Y306" s="0" t="n">
        <f aca="false">Y305+$X$5</f>
        <v>1244</v>
      </c>
      <c r="Z306" s="0" t="n">
        <f aca="false">(Y306/$V$5)^$O$5</f>
        <v>1.21658000516114</v>
      </c>
      <c r="AA306" s="0" t="n">
        <f aca="false">$Q$5*(Y306-$V$5)</f>
        <v>7.56495510984422</v>
      </c>
      <c r="AB306" s="0" t="n">
        <f aca="false">COS(AA306)</f>
        <v>0.285019262469976</v>
      </c>
      <c r="AC306" s="0" t="n">
        <f aca="false">SIN(AA306)</f>
        <v>0.958521789017376</v>
      </c>
      <c r="AD306" s="0" t="n">
        <f aca="false">$T$5*(Z306-1)</f>
        <v>0.00919600272784769</v>
      </c>
      <c r="AE306" s="0" t="n">
        <f aca="false">2*$T$5*$U$5*Z306*$X$5/(Y306+Y307)</f>
        <v>1.29210000450439E-005</v>
      </c>
      <c r="AF306" s="0" t="n">
        <f aca="false">AB306*AE306</f>
        <v>3.68273390321295E-006</v>
      </c>
      <c r="AG306" s="0" t="n">
        <f aca="false">AG305+AF305</f>
        <v>0.00426276375749256</v>
      </c>
      <c r="AH306" s="0" t="n">
        <f aca="false">AC306*AE306</f>
        <v>1.23850600790691E-005</v>
      </c>
      <c r="AI306" s="0" t="n">
        <f aca="false">AI305+AH305</f>
        <v>0.00359531763175007</v>
      </c>
      <c r="AJ306" s="6" t="n">
        <f aca="false">Y306/$P$5</f>
        <v>1.244</v>
      </c>
      <c r="AK306" s="0" t="n">
        <f aca="false">SQRT(AG306^2+AI306^2)</f>
        <v>0.00557650999509236</v>
      </c>
      <c r="AL306" s="0" t="n">
        <f aca="false">$W$5*(Y306/$V$5-Z306)</f>
        <v>0.00547863516651843</v>
      </c>
      <c r="AM306" s="0" t="n">
        <f aca="false">SQRT(AK306^2+AL306^2)</f>
        <v>0.00781747446514393</v>
      </c>
      <c r="AN306" s="2" t="n">
        <f aca="false">Y306</f>
        <v>1244</v>
      </c>
      <c r="AO306" s="0" t="n">
        <f aca="false">AM306/Z306</f>
        <v>0.00642577917767807</v>
      </c>
    </row>
    <row r="307" customFormat="false" ht="12.75" hidden="false" customHeight="false" outlineLevel="0" collapsed="false">
      <c r="Y307" s="0" t="n">
        <f aca="false">Y306+$X$5</f>
        <v>1248</v>
      </c>
      <c r="Z307" s="0" t="n">
        <f aca="false">(Y307/$V$5)^$O$5</f>
        <v>1.21680278184782</v>
      </c>
      <c r="AA307" s="0" t="n">
        <f aca="false">$Q$5*(Y307-$V$5)</f>
        <v>7.59008785107294</v>
      </c>
      <c r="AB307" s="0" t="n">
        <f aca="false">COS(AA307)</f>
        <v>0.260841506289897</v>
      </c>
      <c r="AC307" s="0" t="n">
        <f aca="false">SIN(AA307)</f>
        <v>0.965381638833274</v>
      </c>
      <c r="AD307" s="0" t="n">
        <f aca="false">$T$5*(Z307-1)</f>
        <v>0.00920546184212204</v>
      </c>
      <c r="AE307" s="0" t="n">
        <f aca="false">2*$T$5*$U$5*Z307*$X$5/(Y307+Y308)</f>
        <v>1.28820113304693E-005</v>
      </c>
      <c r="AF307" s="0" t="n">
        <f aca="false">AB307*AE307</f>
        <v>3.36016323948313E-006</v>
      </c>
      <c r="AG307" s="0" t="n">
        <f aca="false">AG306+AF306</f>
        <v>0.00426644649139577</v>
      </c>
      <c r="AH307" s="0" t="n">
        <f aca="false">AC307*AE307</f>
        <v>1.24360572096772E-005</v>
      </c>
      <c r="AI307" s="0" t="n">
        <f aca="false">AI306+AH306</f>
        <v>0.00360770269182914</v>
      </c>
      <c r="AJ307" s="6" t="n">
        <f aca="false">Y307/$P$5</f>
        <v>1.248</v>
      </c>
      <c r="AK307" s="0" t="n">
        <f aca="false">SQRT(AG307^2+AI307^2)</f>
        <v>0.00558731459438025</v>
      </c>
      <c r="AL307" s="0" t="n">
        <f aca="false">$W$5*(Y307/$V$5-Z307)</f>
        <v>0.00549692768472941</v>
      </c>
      <c r="AM307" s="0" t="n">
        <f aca="false">SQRT(AK307^2+AL307^2)</f>
        <v>0.00783800346693717</v>
      </c>
      <c r="AN307" s="2" t="n">
        <f aca="false">Y307</f>
        <v>1248</v>
      </c>
      <c r="AO307" s="0" t="n">
        <f aca="false">AM307/Z307</f>
        <v>0.00644147398729194</v>
      </c>
    </row>
    <row r="308" customFormat="false" ht="12.75" hidden="false" customHeight="false" outlineLevel="0" collapsed="false">
      <c r="Y308" s="0" t="n">
        <f aca="false">Y307+$X$5</f>
        <v>1252</v>
      </c>
      <c r="Z308" s="0" t="n">
        <f aca="false">(Y308/$V$5)^$O$5</f>
        <v>1.2170248862465</v>
      </c>
      <c r="AA308" s="0" t="n">
        <f aca="false">$Q$5*(Y308-$V$5)</f>
        <v>7.61522059230166</v>
      </c>
      <c r="AB308" s="0" t="n">
        <f aca="false">COS(AA308)</f>
        <v>0.236498997023724</v>
      </c>
      <c r="AC308" s="0" t="n">
        <f aca="false">SIN(AA308)</f>
        <v>0.971631732914674</v>
      </c>
      <c r="AD308" s="0" t="n">
        <f aca="false">$T$5*(Z308-1)</f>
        <v>0.00921489241099949</v>
      </c>
      <c r="AE308" s="0" t="n">
        <f aca="false">2*$T$5*$U$5*Z308*$X$5/(Y308+Y309)</f>
        <v>1.28432642530705E-005</v>
      </c>
      <c r="AF308" s="0" t="n">
        <f aca="false">AB308*AE308</f>
        <v>3.03741911436183E-006</v>
      </c>
      <c r="AG308" s="0" t="n">
        <f aca="false">AG307+AF307</f>
        <v>0.00426980665463526</v>
      </c>
      <c r="AH308" s="0" t="n">
        <f aca="false">AC308*AE308</f>
        <v>1.2478923102492E-005</v>
      </c>
      <c r="AI308" s="0" t="n">
        <f aca="false">AI307+AH307</f>
        <v>0.00362013874903881</v>
      </c>
      <c r="AJ308" s="6" t="n">
        <f aca="false">Y308/$P$5</f>
        <v>1.252</v>
      </c>
      <c r="AK308" s="0" t="n">
        <f aca="false">SQRT(AG308^2+AI308^2)</f>
        <v>0.00559791509673556</v>
      </c>
      <c r="AL308" s="0" t="n">
        <f aca="false">$W$5*(Y308/$V$5-Z308)</f>
        <v>0.00551522032619337</v>
      </c>
      <c r="AM308" s="0" t="n">
        <f aca="false">SQRT(AK308^2+AL308^2)</f>
        <v>0.00785839097250298</v>
      </c>
      <c r="AN308" s="2" t="n">
        <f aca="false">Y308</f>
        <v>1252</v>
      </c>
      <c r="AO308" s="0" t="n">
        <f aca="false">AM308/Z308</f>
        <v>0.00645705035394924</v>
      </c>
    </row>
    <row r="309" customFormat="false" ht="12.75" hidden="false" customHeight="false" outlineLevel="0" collapsed="false">
      <c r="Y309" s="0" t="n">
        <f aca="false">Y308+$X$5</f>
        <v>1256</v>
      </c>
      <c r="Z309" s="0" t="n">
        <f aca="false">(Y309/$V$5)^$O$5</f>
        <v>1.21724632252419</v>
      </c>
      <c r="AA309" s="0" t="n">
        <f aca="false">$Q$5*(Y309-$V$5)</f>
        <v>7.64035333353038</v>
      </c>
      <c r="AB309" s="0" t="n">
        <f aca="false">COS(AA309)</f>
        <v>0.212007109922054</v>
      </c>
      <c r="AC309" s="0" t="n">
        <f aca="false">SIN(AA309)</f>
        <v>0.977268123568194</v>
      </c>
      <c r="AD309" s="0" t="n">
        <f aca="false">$T$5*(Z309-1)</f>
        <v>0.0092242946114111</v>
      </c>
      <c r="AE309" s="0" t="n">
        <f aca="false">2*$T$5*$U$5*Z309*$X$5/(Y309+Y310)</f>
        <v>1.28047565517171E-005</v>
      </c>
      <c r="AF309" s="0" t="n">
        <f aca="false">AB309*AE309</f>
        <v>2.71469942978502E-006</v>
      </c>
      <c r="AG309" s="0" t="n">
        <f aca="false">AG308+AF308</f>
        <v>0.00427284407374962</v>
      </c>
      <c r="AH309" s="0" t="n">
        <f aca="false">AC309*AE309</f>
        <v>1.25136804080441E-005</v>
      </c>
      <c r="AI309" s="0" t="n">
        <f aca="false">AI308+AH308</f>
        <v>0.00363261767214131</v>
      </c>
      <c r="AJ309" s="6" t="n">
        <f aca="false">Y309/$P$5</f>
        <v>1.256</v>
      </c>
      <c r="AK309" s="0" t="n">
        <f aca="false">SQRT(AG309^2+AI309^2)</f>
        <v>0.00560830701999548</v>
      </c>
      <c r="AL309" s="0" t="n">
        <f aca="false">$W$5*(Y309/$V$5-Z309)</f>
        <v>0.00553351309014636</v>
      </c>
      <c r="AM309" s="0" t="n">
        <f aca="false">SQRT(AK309^2+AL309^2)</f>
        <v>0.00787863406621679</v>
      </c>
      <c r="AN309" s="2" t="n">
        <f aca="false">Y309</f>
        <v>1256</v>
      </c>
      <c r="AO309" s="0" t="n">
        <f aca="false">AM309/Z309</f>
        <v>0.00647250595087359</v>
      </c>
    </row>
    <row r="310" customFormat="false" ht="12.75" hidden="false" customHeight="false" outlineLevel="0" collapsed="false">
      <c r="Y310" s="0" t="n">
        <f aca="false">Y309+$X$5</f>
        <v>1260</v>
      </c>
      <c r="Z310" s="0" t="n">
        <f aca="false">(Y310/$V$5)^$O$5</f>
        <v>1.21746709480888</v>
      </c>
      <c r="AA310" s="0" t="n">
        <f aca="false">$Q$5*(Y310-$V$5)</f>
        <v>7.6654860747591</v>
      </c>
      <c r="AB310" s="0" t="n">
        <f aca="false">COS(AA310)</f>
        <v>0.187381314585725</v>
      </c>
      <c r="AC310" s="0" t="n">
        <f aca="false">SIN(AA310)</f>
        <v>0.982287250728689</v>
      </c>
      <c r="AD310" s="0" t="n">
        <f aca="false">$T$5*(Z310-1)</f>
        <v>0.0092336686186321</v>
      </c>
      <c r="AE310" s="0" t="n">
        <f aca="false">2*$T$5*$U$5*Z310*$X$5/(Y310+Y311)</f>
        <v>1.27664859935366E-005</v>
      </c>
      <c r="AF310" s="0" t="n">
        <f aca="false">AB310*AE310</f>
        <v>2.39220092810914E-006</v>
      </c>
      <c r="AG310" s="0" t="n">
        <f aca="false">AG309+AF309</f>
        <v>0.00427555877317941</v>
      </c>
      <c r="AH310" s="0" t="n">
        <f aca="false">AC310*AE310</f>
        <v>1.25403564280574E-005</v>
      </c>
      <c r="AI310" s="0" t="n">
        <f aca="false">AI309+AH309</f>
        <v>0.00364513135254935</v>
      </c>
      <c r="AJ310" s="6" t="n">
        <f aca="false">Y310/$P$5</f>
        <v>1.26</v>
      </c>
      <c r="AK310" s="0" t="n">
        <f aca="false">SQRT(AG310^2+AI310^2)</f>
        <v>0.005618486041653</v>
      </c>
      <c r="AL310" s="0" t="n">
        <f aca="false">$W$5*(Y310/$V$5-Z310)</f>
        <v>0.00555180597583159</v>
      </c>
      <c r="AM310" s="0" t="n">
        <f aca="false">SQRT(AK310^2+AL310^2)</f>
        <v>0.007898729960793</v>
      </c>
      <c r="AN310" s="2" t="n">
        <f aca="false">Y310</f>
        <v>1260</v>
      </c>
      <c r="AO310" s="0" t="n">
        <f aca="false">AM310/Z310</f>
        <v>0.00648783855799645</v>
      </c>
    </row>
    <row r="311" customFormat="false" ht="12.75" hidden="false" customHeight="false" outlineLevel="0" collapsed="false">
      <c r="Y311" s="0" t="n">
        <f aca="false">Y310+$X$5</f>
        <v>1264</v>
      </c>
      <c r="Z311" s="0" t="n">
        <f aca="false">(Y311/$V$5)^$O$5</f>
        <v>1.21768720719008</v>
      </c>
      <c r="AA311" s="0" t="n">
        <f aca="false">$Q$5*(Y311-$V$5)</f>
        <v>7.69061881598781</v>
      </c>
      <c r="AB311" s="0" t="n">
        <f aca="false">COS(AA311)</f>
        <v>0.162637165194884</v>
      </c>
      <c r="AC311" s="0" t="n">
        <f aca="false">SIN(AA311)</f>
        <v>0.986685944207868</v>
      </c>
      <c r="AD311" s="0" t="n">
        <f aca="false">$T$5*(Z311-1)</f>
        <v>0.00924301460630259</v>
      </c>
      <c r="AE311" s="0" t="n">
        <f aca="false">2*$T$5*$U$5*Z311*$X$5/(Y311+Y312)</f>
        <v>1.2728450373474E-005</v>
      </c>
      <c r="AF311" s="0" t="n">
        <f aca="false">AB311*AE311</f>
        <v>2.07011908606556E-006</v>
      </c>
      <c r="AG311" s="0" t="n">
        <f aca="false">AG310+AF310</f>
        <v>0.00427795097410751</v>
      </c>
      <c r="AH311" s="0" t="n">
        <f aca="false">AC311*AE311</f>
        <v>1.25589830750542E-005</v>
      </c>
      <c r="AI311" s="0" t="n">
        <f aca="false">AI310+AH310</f>
        <v>0.00365767170897741</v>
      </c>
      <c r="AJ311" s="6" t="n">
        <f aca="false">Y311/$P$5</f>
        <v>1.264</v>
      </c>
      <c r="AK311" s="0" t="n">
        <f aca="false">SQRT(AG311^2+AI311^2)</f>
        <v>0.00562844799811823</v>
      </c>
      <c r="AL311" s="0" t="n">
        <f aca="false">$W$5*(Y311/$V$5-Z311)</f>
        <v>0.0055700989824993</v>
      </c>
      <c r="AM311" s="0" t="n">
        <f aca="false">SQRT(AK311^2+AL311^2)</f>
        <v>0.00791867599680407</v>
      </c>
      <c r="AN311" s="2" t="n">
        <f aca="false">Y311</f>
        <v>1264</v>
      </c>
      <c r="AO311" s="0" t="n">
        <f aca="false">AM311/Z311</f>
        <v>0.00650304606145704</v>
      </c>
    </row>
    <row r="312" customFormat="false" ht="12.75" hidden="false" customHeight="false" outlineLevel="0" collapsed="false">
      <c r="Y312" s="0" t="n">
        <f aca="false">Y311+$X$5</f>
        <v>1268</v>
      </c>
      <c r="Z312" s="0" t="n">
        <f aca="false">(Y312/$V$5)^$O$5</f>
        <v>1.21790666371924</v>
      </c>
      <c r="AA312" s="0" t="n">
        <f aca="false">$Q$5*(Y312-$V$5)</f>
        <v>7.71575155721653</v>
      </c>
      <c r="AB312" s="0" t="n">
        <f aca="false">COS(AA312)</f>
        <v>0.137790290684638</v>
      </c>
      <c r="AC312" s="0" t="n">
        <f aca="false">SIN(AA312)</f>
        <v>0.990461425696651</v>
      </c>
      <c r="AD312" s="0" t="n">
        <f aca="false">$T$5*(Z312-1)</f>
        <v>0.00925233274644796</v>
      </c>
      <c r="AE312" s="0" t="n">
        <f aca="false">2*$T$5*$U$5*Z312*$X$5/(Y312+Y313)</f>
        <v>1.26906475138578E-005</v>
      </c>
      <c r="AF312" s="0" t="n">
        <f aca="false">AB312*AE312</f>
        <v>1.74864800991075E-006</v>
      </c>
      <c r="AG312" s="0" t="n">
        <f aca="false">AG311+AF311</f>
        <v>0.00428002109319358</v>
      </c>
      <c r="AH312" s="0" t="n">
        <f aca="false">AC312*AE312</f>
        <v>1.25695968295893E-005</v>
      </c>
      <c r="AI312" s="0" t="n">
        <f aca="false">AI311+AH311</f>
        <v>0.00367023069205246</v>
      </c>
      <c r="AJ312" s="6" t="n">
        <f aca="false">Y312/$P$5</f>
        <v>1.268</v>
      </c>
      <c r="AK312" s="0" t="n">
        <f aca="false">SQRT(AG312^2+AI312^2)</f>
        <v>0.00563818888394721</v>
      </c>
      <c r="AL312" s="0" t="n">
        <f aca="false">$W$5*(Y312/$V$5-Z312)</f>
        <v>0.00558839210940673</v>
      </c>
      <c r="AM312" s="0" t="n">
        <f aca="false">SQRT(AK312^2+AL312^2)</f>
        <v>0.00793846964216311</v>
      </c>
      <c r="AN312" s="2" t="n">
        <f aca="false">Y312</f>
        <v>1268</v>
      </c>
      <c r="AO312" s="0" t="n">
        <f aca="false">AM312/Z312</f>
        <v>0.00651812645307371</v>
      </c>
    </row>
    <row r="313" customFormat="false" ht="12.75" hidden="false" customHeight="false" outlineLevel="0" collapsed="false">
      <c r="Y313" s="0" t="n">
        <f aca="false">Y312+$X$5</f>
        <v>1272</v>
      </c>
      <c r="Z313" s="0" t="n">
        <f aca="false">(Y313/$V$5)^$O$5</f>
        <v>1.21812546841026</v>
      </c>
      <c r="AA313" s="0" t="n">
        <f aca="false">$Q$5*(Y313-$V$5)</f>
        <v>7.74088429844525</v>
      </c>
      <c r="AB313" s="0" t="n">
        <f aca="false">COS(AA313)</f>
        <v>0.112856384873481</v>
      </c>
      <c r="AC313" s="0" t="n">
        <f aca="false">SIN(AA313)</f>
        <v>0.993611310520009</v>
      </c>
      <c r="AD313" s="0" t="n">
        <f aca="false">$T$5*(Z313-1)</f>
        <v>0.0092616232094989</v>
      </c>
      <c r="AE313" s="0" t="n">
        <f aca="false">2*$T$5*$U$5*Z313*$X$5/(Y313+Y314)</f>
        <v>1.26530752639758E-005</v>
      </c>
      <c r="AF313" s="0" t="n">
        <f aca="false">AB313*AE313</f>
        <v>1.42798033182438E-006</v>
      </c>
      <c r="AG313" s="0" t="n">
        <f aca="false">AG312+AF312</f>
        <v>0.00428176974120349</v>
      </c>
      <c r="AH313" s="0" t="n">
        <f aca="false">AC313*AE313</f>
        <v>1.25722386951473E-005</v>
      </c>
      <c r="AI313" s="0" t="n">
        <f aca="false">AI312+AH312</f>
        <v>0.00368280028888205</v>
      </c>
      <c r="AJ313" s="6" t="n">
        <f aca="false">Y313/$P$5</f>
        <v>1.272</v>
      </c>
      <c r="AK313" s="0" t="n">
        <f aca="false">SQRT(AG313^2+AI313^2)</f>
        <v>0.00564770485104131</v>
      </c>
      <c r="AL313" s="0" t="n">
        <f aca="false">$W$5*(Y313/$V$5-Z313)</f>
        <v>0.005606685355818</v>
      </c>
      <c r="AM313" s="0" t="n">
        <f aca="false">SQRT(AK313^2+AL313^2)</f>
        <v>0.00795810849157132</v>
      </c>
      <c r="AN313" s="2" t="n">
        <f aca="false">Y313</f>
        <v>1272</v>
      </c>
      <c r="AO313" s="0" t="n">
        <f aca="false">AM313/Z313</f>
        <v>0.0065330778297881</v>
      </c>
    </row>
    <row r="314" customFormat="false" ht="12.75" hidden="false" customHeight="false" outlineLevel="0" collapsed="false">
      <c r="Y314" s="0" t="n">
        <f aca="false">Y313+$X$5</f>
        <v>1276</v>
      </c>
      <c r="Z314" s="0" t="n">
        <f aca="false">(Y314/$V$5)^$O$5</f>
        <v>1.21834362523996</v>
      </c>
      <c r="AA314" s="0" t="n">
        <f aca="false">$Q$5*(Y314-$V$5)</f>
        <v>7.76601703967397</v>
      </c>
      <c r="AB314" s="0" t="n">
        <f aca="false">COS(AA314)</f>
        <v>0.0878511965507433</v>
      </c>
      <c r="AC314" s="0" t="n">
        <f aca="false">SIN(AA314)</f>
        <v>0.996133609143173</v>
      </c>
      <c r="AD314" s="0" t="n">
        <f aca="false">$T$5*(Z314-1)</f>
        <v>0.00927088616431118</v>
      </c>
      <c r="AE314" s="0" t="n">
        <f aca="false">2*$T$5*$U$5*Z314*$X$5/(Y314+Y315)</f>
        <v>1.26157314996576E-005</v>
      </c>
      <c r="AF314" s="0" t="n">
        <f aca="false">AB314*AE314</f>
        <v>1.10830710760782E-006</v>
      </c>
      <c r="AG314" s="0" t="n">
        <f aca="false">AG313+AF313</f>
        <v>0.00428319772153531</v>
      </c>
      <c r="AH314" s="0" t="n">
        <f aca="false">AC314*AE314</f>
        <v>1.25669541507351E-005</v>
      </c>
      <c r="AI314" s="0" t="n">
        <f aca="false">AI313+AH313</f>
        <v>0.0036953725275772</v>
      </c>
      <c r="AJ314" s="6" t="n">
        <f aca="false">Y314/$P$5</f>
        <v>1.276</v>
      </c>
      <c r="AK314" s="0" t="n">
        <f aca="false">SQRT(AG314^2+AI314^2)</f>
        <v>0.00565699220782012</v>
      </c>
      <c r="AL314" s="0" t="n">
        <f aca="false">$W$5*(Y314/$V$5-Z314)</f>
        <v>0.00562497872100402</v>
      </c>
      <c r="AM314" s="0" t="n">
        <f aca="false">SQRT(AK314^2+AL314^2)</f>
        <v>0.00797759026593154</v>
      </c>
      <c r="AN314" s="2" t="n">
        <f aca="false">Y314</f>
        <v>1276</v>
      </c>
      <c r="AO314" s="0" t="n">
        <f aca="false">AM314/Z314</f>
        <v>0.00654789839308288</v>
      </c>
    </row>
    <row r="315" customFormat="false" ht="12.75" hidden="false" customHeight="false" outlineLevel="0" collapsed="false">
      <c r="Y315" s="0" t="n">
        <f aca="false">Y314+$X$5</f>
        <v>1280</v>
      </c>
      <c r="Z315" s="0" t="n">
        <f aca="false">(Y315/$V$5)^$O$5</f>
        <v>1.21856113814853</v>
      </c>
      <c r="AA315" s="0" t="n">
        <f aca="false">$Q$5*(Y315-$V$5)</f>
        <v>7.79114978090269</v>
      </c>
      <c r="AB315" s="0" t="n">
        <f aca="false">COS(AA315)</f>
        <v>0.0627905195293133</v>
      </c>
      <c r="AC315" s="0" t="n">
        <f aca="false">SIN(AA315)</f>
        <v>0.998026728428272</v>
      </c>
      <c r="AD315" s="0" t="n">
        <f aca="false">$T$5*(Z315-1)</f>
        <v>0.00928012177818505</v>
      </c>
      <c r="AE315" s="0" t="n">
        <f aca="false">2*$T$5*$U$5*Z315*$X$5/(Y315+Y316)</f>
        <v>1.25786141228652E-005</v>
      </c>
      <c r="AF315" s="0" t="n">
        <f aca="false">AB315*AE315</f>
        <v>7.89817715733466E-007</v>
      </c>
      <c r="AG315" s="0" t="n">
        <f aca="false">AG314+AF314</f>
        <v>0.00428430602864292</v>
      </c>
      <c r="AH315" s="0" t="n">
        <f aca="false">AC315*AE315</f>
        <v>1.25537931012048E-005</v>
      </c>
      <c r="AI315" s="0" t="n">
        <f aca="false">AI314+AH314</f>
        <v>0.00370793948172793</v>
      </c>
      <c r="AJ315" s="6" t="n">
        <f aca="false">Y315/$P$5</f>
        <v>1.28</v>
      </c>
      <c r="AK315" s="0" t="n">
        <f aca="false">SQRT(AG315^2+AI315^2)</f>
        <v>0.00566604741837049</v>
      </c>
      <c r="AL315" s="0" t="n">
        <f aca="false">$W$5*(Y315/$V$5-Z315)</f>
        <v>0.00564327220424243</v>
      </c>
      <c r="AM315" s="0" t="n">
        <f aca="false">SQRT(AK315^2+AL315^2)</f>
        <v>0.00799691281172917</v>
      </c>
      <c r="AN315" s="2" t="n">
        <f aca="false">Y315</f>
        <v>1280</v>
      </c>
      <c r="AO315" s="0" t="n">
        <f aca="false">AM315/Z315</f>
        <v>0.00656258644837437</v>
      </c>
    </row>
    <row r="316" customFormat="false" ht="12.75" hidden="false" customHeight="false" outlineLevel="0" collapsed="false">
      <c r="Y316" s="0" t="n">
        <f aca="false">Y315+$X$5</f>
        <v>1284</v>
      </c>
      <c r="Z316" s="0" t="n">
        <f aca="false">(Y316/$V$5)^$O$5</f>
        <v>1.21877801103994</v>
      </c>
      <c r="AA316" s="0" t="n">
        <f aca="false">$Q$5*(Y316-$V$5)</f>
        <v>7.81628252213141</v>
      </c>
      <c r="AB316" s="0" t="n">
        <f aca="false">COS(AA316)</f>
        <v>0.0376901826699343</v>
      </c>
      <c r="AC316" s="0" t="n">
        <f aca="false">SIN(AA316)</f>
        <v>0.999289472640589</v>
      </c>
      <c r="AD316" s="0" t="n">
        <f aca="false">$T$5*(Z316-1)</f>
        <v>0.00928933021688441</v>
      </c>
      <c r="AE316" s="0" t="n">
        <f aca="false">2*$T$5*$U$5*Z316*$X$5/(Y316+Y317)</f>
        <v>1.25417210612916E-005</v>
      </c>
      <c r="AF316" s="0" t="n">
        <f aca="false">AB316*AE316</f>
        <v>4.72699757795443E-007</v>
      </c>
      <c r="AG316" s="0" t="n">
        <f aca="false">AG315+AF315</f>
        <v>0.00428509584635866</v>
      </c>
      <c r="AH316" s="0" t="n">
        <f aca="false">AC316*AE316</f>
        <v>1.25328098253435E-005</v>
      </c>
      <c r="AI316" s="0" t="n">
        <f aca="false">AI315+AH315</f>
        <v>0.00372049327482914</v>
      </c>
      <c r="AJ316" s="6" t="n">
        <f aca="false">Y316/$P$5</f>
        <v>1.284</v>
      </c>
      <c r="AK316" s="0" t="n">
        <f aca="false">SQRT(AG316^2+AI316^2)</f>
        <v>0.00567486710157419</v>
      </c>
      <c r="AL316" s="0" t="n">
        <f aca="false">$W$5*(Y316/$V$5-Z316)</f>
        <v>0.00566156580481748</v>
      </c>
      <c r="AM316" s="0" t="n">
        <f aca="false">SQRT(AK316^2+AL316^2)</f>
        <v>0.00801607410038154</v>
      </c>
      <c r="AN316" s="2" t="n">
        <f aca="false">Y316</f>
        <v>1284</v>
      </c>
      <c r="AO316" s="0" t="n">
        <f aca="false">AM316/Z316</f>
        <v>0.00657714040438071</v>
      </c>
    </row>
    <row r="317" customFormat="false" ht="12.75" hidden="false" customHeight="false" outlineLevel="0" collapsed="false">
      <c r="Y317" s="0" t="n">
        <f aca="false">Y316+$X$5</f>
        <v>1288</v>
      </c>
      <c r="Z317" s="0" t="n">
        <f aca="false">(Y317/$V$5)^$O$5</f>
        <v>1.21899424778246</v>
      </c>
      <c r="AA317" s="0" t="n">
        <f aca="false">$Q$5*(Y317-$V$5)</f>
        <v>7.84141526336012</v>
      </c>
      <c r="AB317" s="0" t="n">
        <f aca="false">COS(AA317)</f>
        <v>0.0125660398833521</v>
      </c>
      <c r="AC317" s="0" t="n">
        <f aca="false">SIN(AA317)</f>
        <v>0.999921044203816</v>
      </c>
      <c r="AD317" s="0" t="n">
        <f aca="false">$T$5*(Z317-1)</f>
        <v>0.00929851164465562</v>
      </c>
      <c r="AE317" s="0" t="n">
        <f aca="false">2*$T$5*$U$5*Z317*$X$5/(Y317+Y318)</f>
        <v>1.25050502679661E-005</v>
      </c>
      <c r="AF317" s="0" t="n">
        <f aca="false">AB317*AE317</f>
        <v>1.57138960410585E-007</v>
      </c>
      <c r="AG317" s="0" t="n">
        <f aca="false">AG316+AF316</f>
        <v>0.00428556854611645</v>
      </c>
      <c r="AH317" s="0" t="n">
        <f aca="false">AC317*AE317</f>
        <v>1.25040629217658E-005</v>
      </c>
      <c r="AI317" s="0" t="n">
        <f aca="false">AI316+AH316</f>
        <v>0.00373302608465448</v>
      </c>
      <c r="AJ317" s="6" t="n">
        <f aca="false">Y317/$P$5</f>
        <v>1.288</v>
      </c>
      <c r="AK317" s="0" t="n">
        <f aca="false">SQRT(AG317^2+AI317^2)</f>
        <v>0.00568344803021664</v>
      </c>
      <c r="AL317" s="0" t="n">
        <f aca="false">$W$5*(Y317/$V$5-Z317)</f>
        <v>0.00567985952202001</v>
      </c>
      <c r="AM317" s="0" t="n">
        <f aca="false">SQRT(AK317^2+AL317^2)</f>
        <v>0.00803507222755682</v>
      </c>
      <c r="AN317" s="2" t="n">
        <f aca="false">Y317</f>
        <v>1288</v>
      </c>
      <c r="AO317" s="0" t="n">
        <f aca="false">AM317/Z317</f>
        <v>0.00659155877246662</v>
      </c>
    </row>
    <row r="318" customFormat="false" ht="12.75" hidden="false" customHeight="false" outlineLevel="0" collapsed="false">
      <c r="Y318" s="0" t="n">
        <f aca="false">Y317+$X$5</f>
        <v>1292</v>
      </c>
      <c r="Z318" s="0" t="n">
        <f aca="false">(Y318/$V$5)^$O$5</f>
        <v>1.21920985220904</v>
      </c>
      <c r="AA318" s="0" t="n">
        <f aca="false">$Q$5*(Y318-$V$5)</f>
        <v>7.86654800458884</v>
      </c>
      <c r="AB318" s="0" t="n">
        <f aca="false">COS(AA318)</f>
        <v>-0.0125660398833524</v>
      </c>
      <c r="AC318" s="0" t="n">
        <f aca="false">SIN(AA318)</f>
        <v>0.999921044203816</v>
      </c>
      <c r="AD318" s="0" t="n">
        <f aca="false">$T$5*(Z318-1)</f>
        <v>0.00930766622424611</v>
      </c>
      <c r="AE318" s="0" t="n">
        <f aca="false">2*$T$5*$U$5*Z318*$X$5/(Y318+Y319)</f>
        <v>1.24685997208671E-005</v>
      </c>
      <c r="AF318" s="0" t="n">
        <f aca="false">AB318*AE318</f>
        <v>-1.56680921381972E-007</v>
      </c>
      <c r="AG318" s="0" t="n">
        <f aca="false">AG317+AF317</f>
        <v>0.00428572568507686</v>
      </c>
      <c r="AH318" s="0" t="n">
        <f aca="false">AC318*AE318</f>
        <v>1.24676152526488E-005</v>
      </c>
      <c r="AI318" s="0" t="n">
        <f aca="false">AI317+AH317</f>
        <v>0.00374553014757625</v>
      </c>
      <c r="AJ318" s="6" t="n">
        <f aca="false">Y318/$P$5</f>
        <v>1.292</v>
      </c>
      <c r="AK318" s="0" t="n">
        <f aca="false">SQRT(AG318^2+AI318^2)</f>
        <v>0.00569178713007875</v>
      </c>
      <c r="AL318" s="0" t="n">
        <f aca="false">$W$5*(Y318/$V$5-Z318)</f>
        <v>0.0056981533551473</v>
      </c>
      <c r="AM318" s="0" t="n">
        <f aca="false">SQRT(AK318^2+AL318^2)</f>
        <v>0.00805390541246336</v>
      </c>
      <c r="AN318" s="2" t="n">
        <f aca="false">Y318</f>
        <v>1292</v>
      </c>
      <c r="AO318" s="0" t="n">
        <f aca="false">AM318/Z318</f>
        <v>0.00660584016596553</v>
      </c>
    </row>
    <row r="319" customFormat="false" ht="12.75" hidden="false" customHeight="false" outlineLevel="0" collapsed="false">
      <c r="Y319" s="0" t="n">
        <f aca="false">Y318+$X$5</f>
        <v>1296</v>
      </c>
      <c r="Z319" s="0" t="n">
        <f aca="false">(Y319/$V$5)^$O$5</f>
        <v>1.21942482811775</v>
      </c>
      <c r="AA319" s="0" t="n">
        <f aca="false">$Q$5*(Y319-$V$5)</f>
        <v>7.89168074581756</v>
      </c>
      <c r="AB319" s="0" t="n">
        <f aca="false">COS(AA319)</f>
        <v>-0.0376901826699346</v>
      </c>
      <c r="AC319" s="0" t="n">
        <f aca="false">SIN(AA319)</f>
        <v>0.999289472640589</v>
      </c>
      <c r="AD319" s="0" t="n">
        <f aca="false">$T$5*(Z319-1)</f>
        <v>0.0093167941169226</v>
      </c>
      <c r="AE319" s="0" t="n">
        <f aca="false">2*$T$5*$U$5*Z319*$X$5/(Y319+Y320)</f>
        <v>1.24323674225425E-005</v>
      </c>
      <c r="AF319" s="0" t="n">
        <f aca="false">AB319*AE319</f>
        <v>-4.6857819917537E-007</v>
      </c>
      <c r="AG319" s="0" t="n">
        <f aca="false">AG318+AF318</f>
        <v>0.00428556900415548</v>
      </c>
      <c r="AH319" s="0" t="n">
        <f aca="false">AC319*AE319</f>
        <v>1.24235338853465E-005</v>
      </c>
      <c r="AI319" s="0" t="n">
        <f aca="false">AI318+AH318</f>
        <v>0.0037579977628289</v>
      </c>
      <c r="AJ319" s="6" t="n">
        <f aca="false">Y319/$P$5</f>
        <v>1.296</v>
      </c>
      <c r="AK319" s="0" t="n">
        <f aca="false">SQRT(AG319^2+AI319^2)</f>
        <v>0.00569988147901386</v>
      </c>
      <c r="AL319" s="0" t="n">
        <f aca="false">$W$5*(Y319/$V$5-Z319)</f>
        <v>0.00571644730350304</v>
      </c>
      <c r="AM319" s="0" t="n">
        <f aca="false">SQRT(AK319^2+AL319^2)</f>
        <v>0.00807257199711048</v>
      </c>
      <c r="AN319" s="2" t="n">
        <f aca="false">Y319</f>
        <v>1296</v>
      </c>
      <c r="AO319" s="0" t="n">
        <f aca="false">AM319/Z319</f>
        <v>0.00661998329947974</v>
      </c>
    </row>
    <row r="320" customFormat="false" ht="12.75" hidden="false" customHeight="false" outlineLevel="0" collapsed="false">
      <c r="Y320" s="0" t="n">
        <f aca="false">Y319+$X$5</f>
        <v>1300</v>
      </c>
      <c r="Z320" s="0" t="n">
        <f aca="false">(Y320/$V$5)^$O$5</f>
        <v>1.21963917927224</v>
      </c>
      <c r="AA320" s="0" t="n">
        <f aca="false">$Q$5*(Y320-$V$5)</f>
        <v>7.91681348704628</v>
      </c>
      <c r="AB320" s="0" t="n">
        <f aca="false">COS(AA320)</f>
        <v>-0.0627905195293136</v>
      </c>
      <c r="AC320" s="0" t="n">
        <f aca="false">SIN(AA320)</f>
        <v>0.998026728428272</v>
      </c>
      <c r="AD320" s="0" t="n">
        <f aca="false">$T$5*(Z320-1)</f>
        <v>0.0093258954824891</v>
      </c>
      <c r="AE320" s="0" t="n">
        <f aca="false">2*$T$5*$U$5*Z320*$X$5/(Y320+Y321)</f>
        <v>1.23963513997362E-005</v>
      </c>
      <c r="AF320" s="0" t="n">
        <f aca="false">AB320*AE320</f>
        <v>-7.78373344657369E-007</v>
      </c>
      <c r="AG320" s="0" t="n">
        <f aca="false">AG319+AF319</f>
        <v>0.00428510042595631</v>
      </c>
      <c r="AH320" s="0" t="n">
        <f aca="false">AC320*AE320</f>
        <v>1.23718900319259E-005</v>
      </c>
      <c r="AI320" s="0" t="n">
        <f aca="false">AI319+AH319</f>
        <v>0.00377042129671424</v>
      </c>
      <c r="AJ320" s="6" t="n">
        <f aca="false">Y320/$P$5</f>
        <v>1.3</v>
      </c>
      <c r="AK320" s="0" t="n">
        <f aca="false">SQRT(AG320^2+AI320^2)</f>
        <v>0.0057077283060117</v>
      </c>
      <c r="AL320" s="0" t="n">
        <f aca="false">$W$5*(Y320/$V$5-Z320)</f>
        <v>0.00573474136639722</v>
      </c>
      <c r="AM320" s="0" t="n">
        <f aca="false">SQRT(AK320^2+AL320^2)</f>
        <v>0.00809107044554148</v>
      </c>
      <c r="AN320" s="2" t="n">
        <f aca="false">Y320</f>
        <v>1300</v>
      </c>
      <c r="AO320" s="0" t="n">
        <f aca="false">AM320/Z320</f>
        <v>0.00663398698815942</v>
      </c>
    </row>
    <row r="321" customFormat="false" ht="12.75" hidden="false" customHeight="false" outlineLevel="0" collapsed="false">
      <c r="Y321" s="0" t="n">
        <f aca="false">Y320+$X$5</f>
        <v>1304</v>
      </c>
      <c r="Z321" s="0" t="n">
        <f aca="false">(Y321/$V$5)^$O$5</f>
        <v>1.21985290940209</v>
      </c>
      <c r="AA321" s="0" t="n">
        <f aca="false">$Q$5*(Y321-$V$5)</f>
        <v>7.941946228275</v>
      </c>
      <c r="AB321" s="0" t="n">
        <f aca="false">COS(AA321)</f>
        <v>-0.0878511965507436</v>
      </c>
      <c r="AC321" s="0" t="n">
        <f aca="false">SIN(AA321)</f>
        <v>0.996133609143172</v>
      </c>
      <c r="AD321" s="0" t="n">
        <f aca="false">$T$5*(Z321-1)</f>
        <v>0.00933497047930467</v>
      </c>
      <c r="AE321" s="0" t="n">
        <f aca="false">2*$T$5*$U$5*Z321*$X$5/(Y321+Y322)</f>
        <v>1.23605497030219E-005</v>
      </c>
      <c r="AF321" s="0" t="n">
        <f aca="false">AB321*AE321</f>
        <v>-1.08588908143541E-006</v>
      </c>
      <c r="AG321" s="0" t="n">
        <f aca="false">AG320+AF320</f>
        <v>0.00428432205261165</v>
      </c>
      <c r="AH321" s="0" t="n">
        <f aca="false">AC321*AE321</f>
        <v>1.23127589866648E-005</v>
      </c>
      <c r="AI321" s="0" t="n">
        <f aca="false">AI320+AH320</f>
        <v>0.00378279318674617</v>
      </c>
      <c r="AJ321" s="6" t="n">
        <f aca="false">Y321/$P$5</f>
        <v>1.304</v>
      </c>
      <c r="AK321" s="0" t="n">
        <f aca="false">SQRT(AG321^2+AI321^2)</f>
        <v>0.00571532499025101</v>
      </c>
      <c r="AL321" s="0" t="n">
        <f aca="false">$W$5*(Y321/$V$5-Z321)</f>
        <v>0.00575303554314609</v>
      </c>
      <c r="AM321" s="0" t="n">
        <f aca="false">SQRT(AK321^2+AL321^2)</f>
        <v>0.00810939934303953</v>
      </c>
      <c r="AN321" s="2" t="n">
        <f aca="false">Y321</f>
        <v>1304</v>
      </c>
      <c r="AO321" s="0" t="n">
        <f aca="false">AM321/Z321</f>
        <v>0.00664785014696102</v>
      </c>
    </row>
    <row r="322" customFormat="false" ht="12.75" hidden="false" customHeight="false" outlineLevel="0" collapsed="false">
      <c r="Y322" s="0" t="n">
        <f aca="false">Y321+$X$5</f>
        <v>1308</v>
      </c>
      <c r="Z322" s="0" t="n">
        <f aca="false">(Y322/$V$5)^$O$5</f>
        <v>1.22006602220329</v>
      </c>
      <c r="AA322" s="0" t="n">
        <f aca="false">$Q$5*(Y322-$V$5)</f>
        <v>7.96707896950372</v>
      </c>
      <c r="AB322" s="0" t="n">
        <f aca="false">COS(AA322)</f>
        <v>-0.112856384873481</v>
      </c>
      <c r="AC322" s="0" t="n">
        <f aca="false">SIN(AA322)</f>
        <v>0.993611310520008</v>
      </c>
      <c r="AD322" s="0" t="n">
        <f aca="false">$T$5*(Z322-1)</f>
        <v>0.00934401926430083</v>
      </c>
      <c r="AE322" s="0" t="n">
        <f aca="false">2*$T$5*$U$5*Z322*$X$5/(Y322+Y323)</f>
        <v>1.23249604064435E-005</v>
      </c>
      <c r="AF322" s="0" t="n">
        <f aca="false">AB322*AE322</f>
        <v>-1.39095047518001E-006</v>
      </c>
      <c r="AG322" s="0" t="n">
        <f aca="false">AG321+AF321</f>
        <v>0.00428323616353021</v>
      </c>
      <c r="AH322" s="0" t="n">
        <f aca="false">AC322*AE322</f>
        <v>1.22462200615535E-005</v>
      </c>
      <c r="AI322" s="0" t="n">
        <f aca="false">AI321+AH321</f>
        <v>0.00379510594573283</v>
      </c>
      <c r="AJ322" s="6" t="n">
        <f aca="false">Y322/$P$5</f>
        <v>1.308</v>
      </c>
      <c r="AK322" s="0" t="n">
        <f aca="false">SQRT(AG322^2+AI322^2)</f>
        <v>0.00572266906014228</v>
      </c>
      <c r="AL322" s="0" t="n">
        <f aca="false">$W$5*(Y322/$V$5-Z322)</f>
        <v>0.00577132983307205</v>
      </c>
      <c r="AM322" s="0" t="n">
        <f aca="false">SQRT(AK322^2+AL322^2)</f>
        <v>0.00812755739530747</v>
      </c>
      <c r="AN322" s="2" t="n">
        <f aca="false">Y322</f>
        <v>1308</v>
      </c>
      <c r="AO322" s="0" t="n">
        <f aca="false">AM322/Z322</f>
        <v>0.00666157178988566</v>
      </c>
    </row>
    <row r="323" customFormat="false" ht="12.75" hidden="false" customHeight="false" outlineLevel="0" collapsed="false">
      <c r="Y323" s="0" t="n">
        <f aca="false">Y322+$X$5</f>
        <v>1312</v>
      </c>
      <c r="Z323" s="0" t="n">
        <f aca="false">(Y323/$V$5)^$O$5</f>
        <v>1.2202785213386</v>
      </c>
      <c r="AA323" s="0" t="n">
        <f aca="false">$Q$5*(Y323-$V$5)</f>
        <v>7.99221171073243</v>
      </c>
      <c r="AB323" s="0" t="n">
        <f aca="false">COS(AA323)</f>
        <v>-0.137790290684638</v>
      </c>
      <c r="AC323" s="0" t="n">
        <f aca="false">SIN(AA323)</f>
        <v>0.990461425696651</v>
      </c>
      <c r="AD323" s="0" t="n">
        <f aca="false">$T$5*(Z323-1)</f>
        <v>0.00935304199299877</v>
      </c>
      <c r="AE323" s="0" t="n">
        <f aca="false">2*$T$5*$U$5*Z323*$X$5/(Y323+Y324)</f>
        <v>1.22895816071619E-005</v>
      </c>
      <c r="AF323" s="0" t="n">
        <f aca="false">AB323*AE323</f>
        <v>-1.69338502204342E-006</v>
      </c>
      <c r="AG323" s="0" t="n">
        <f aca="false">AG322+AF322</f>
        <v>0.00428184521305503</v>
      </c>
      <c r="AH323" s="0" t="n">
        <f aca="false">AC323*AE323</f>
        <v>1.21723565198449E-005</v>
      </c>
      <c r="AI323" s="0" t="n">
        <f aca="false">AI322+AH322</f>
        <v>0.00380735216579439</v>
      </c>
      <c r="AJ323" s="6" t="n">
        <f aca="false">Y323/$P$5</f>
        <v>1.312</v>
      </c>
      <c r="AK323" s="0" t="n">
        <f aca="false">SQRT(AG323^2+AI323^2)</f>
        <v>0.00572975819236218</v>
      </c>
      <c r="AL323" s="0" t="n">
        <f aca="false">$W$5*(Y323/$V$5-Z323)</f>
        <v>0.00578962423550359</v>
      </c>
      <c r="AM323" s="0" t="n">
        <f aca="false">SQRT(AK323^2+AL323^2)</f>
        <v>0.00814554342762176</v>
      </c>
      <c r="AN323" s="2" t="n">
        <f aca="false">Y323</f>
        <v>1312</v>
      </c>
      <c r="AO323" s="0" t="n">
        <f aca="false">AM323/Z323</f>
        <v>0.00667515102919815</v>
      </c>
    </row>
    <row r="324" customFormat="false" ht="12.75" hidden="false" customHeight="false" outlineLevel="0" collapsed="false">
      <c r="Y324" s="0" t="n">
        <f aca="false">Y323+$X$5</f>
        <v>1316</v>
      </c>
      <c r="Z324" s="0" t="n">
        <f aca="false">(Y324/$V$5)^$O$5</f>
        <v>1.22049041043797</v>
      </c>
      <c r="AA324" s="0" t="n">
        <f aca="false">$Q$5*(Y324-$V$5)</f>
        <v>8.01734445196115</v>
      </c>
      <c r="AB324" s="0" t="n">
        <f aca="false">COS(AA324)</f>
        <v>-0.162637165194884</v>
      </c>
      <c r="AC324" s="0" t="n">
        <f aca="false">SIN(AA324)</f>
        <v>0.986685944207868</v>
      </c>
      <c r="AD324" s="0" t="n">
        <f aca="false">$T$5*(Z324-1)</f>
        <v>0.00936203881952624</v>
      </c>
      <c r="AE324" s="0" t="n">
        <f aca="false">2*$T$5*$U$5*Z324*$X$5/(Y324+Y325)</f>
        <v>1.22544114251082E-005</v>
      </c>
      <c r="AF324" s="0" t="n">
        <f aca="false">AB324*AE324</f>
        <v>-1.99302273531139E-006</v>
      </c>
      <c r="AG324" s="0" t="n">
        <f aca="false">AG323+AF323</f>
        <v>0.00428015182803299</v>
      </c>
      <c r="AH324" s="0" t="n">
        <f aca="false">AC324*AE324</f>
        <v>1.20912555076946E-005</v>
      </c>
      <c r="AI324" s="0" t="n">
        <f aca="false">AI323+AH323</f>
        <v>0.00381952452231423</v>
      </c>
      <c r="AJ324" s="6" t="n">
        <f aca="false">Y324/$P$5</f>
        <v>1.316</v>
      </c>
      <c r="AK324" s="0" t="n">
        <f aca="false">SQRT(AG324^2+AI324^2)</f>
        <v>0.00573659021088084</v>
      </c>
      <c r="AL324" s="0" t="n">
        <f aca="false">$W$5*(Y324/$V$5-Z324)</f>
        <v>0.00580791874977522</v>
      </c>
      <c r="AM324" s="0" t="n">
        <f aca="false">SQRT(AK324^2+AL324^2)</f>
        <v>0.00816335638396147</v>
      </c>
      <c r="AN324" s="2" t="n">
        <f aca="false">Y324</f>
        <v>1316</v>
      </c>
      <c r="AO324" s="0" t="n">
        <f aca="false">AM324/Z324</f>
        <v>0.00668858707462691</v>
      </c>
    </row>
    <row r="325" customFormat="false" ht="12.75" hidden="false" customHeight="false" outlineLevel="0" collapsed="false">
      <c r="Y325" s="0" t="n">
        <f aca="false">Y324+$X$5</f>
        <v>1320</v>
      </c>
      <c r="Z325" s="0" t="n">
        <f aca="false">(Y325/$V$5)^$O$5</f>
        <v>1.22070169309891</v>
      </c>
      <c r="AA325" s="0" t="n">
        <f aca="false">$Q$5*(Y325-$V$5)</f>
        <v>8.04247719318987</v>
      </c>
      <c r="AB325" s="0" t="n">
        <f aca="false">COS(AA325)</f>
        <v>-0.187381314585725</v>
      </c>
      <c r="AC325" s="0" t="n">
        <f aca="false">SIN(AA325)</f>
        <v>0.982287250728689</v>
      </c>
      <c r="AD325" s="0" t="n">
        <f aca="false">$T$5*(Z325-1)</f>
        <v>0.0093710098966343</v>
      </c>
      <c r="AE325" s="0" t="n">
        <f aca="false">2*$T$5*$U$5*Z325*$X$5/(Y325+Y326)</f>
        <v>1.22194480026432E-005</v>
      </c>
      <c r="AF325" s="0" t="n">
        <f aca="false">AB325*AE325</f>
        <v>-2.28969623024719E-006</v>
      </c>
      <c r="AG325" s="0" t="n">
        <f aca="false">AG324+AF324</f>
        <v>0.00427815880529768</v>
      </c>
      <c r="AH325" s="0" t="n">
        <f aca="false">AC325*AE325</f>
        <v>1.20030079839385E-005</v>
      </c>
      <c r="AI325" s="0" t="n">
        <f aca="false">AI324+AH324</f>
        <v>0.00383161577782193</v>
      </c>
      <c r="AJ325" s="6" t="n">
        <f aca="false">Y325/$P$5</f>
        <v>1.32</v>
      </c>
      <c r="AK325" s="0" t="n">
        <f aca="false">SQRT(AG325^2+AI325^2)</f>
        <v>0.00574316308598319</v>
      </c>
      <c r="AL325" s="0" t="n">
        <f aca="false">$W$5*(Y325/$V$5-Z325)</f>
        <v>0.00582621337522739</v>
      </c>
      <c r="AM325" s="0" t="n">
        <f aca="false">SQRT(AK325^2+AL325^2)</f>
        <v>0.00818099532611274</v>
      </c>
      <c r="AN325" s="2" t="n">
        <f aca="false">Y325</f>
        <v>1320</v>
      </c>
      <c r="AO325" s="0" t="n">
        <f aca="false">AM325/Z325</f>
        <v>0.00670187923254554</v>
      </c>
    </row>
    <row r="326" customFormat="false" ht="12.75" hidden="false" customHeight="false" outlineLevel="0" collapsed="false">
      <c r="Y326" s="0" t="n">
        <f aca="false">Y325+$X$5</f>
        <v>1324</v>
      </c>
      <c r="Z326" s="0" t="n">
        <f aca="false">(Y326/$V$5)^$O$5</f>
        <v>1.22091237288691</v>
      </c>
      <c r="AA326" s="0" t="n">
        <f aca="false">$Q$5*(Y326-$V$5)</f>
        <v>8.06760993441859</v>
      </c>
      <c r="AB326" s="0" t="n">
        <f aca="false">COS(AA326)</f>
        <v>-0.212007109922055</v>
      </c>
      <c r="AC326" s="0" t="n">
        <f aca="false">SIN(AA326)</f>
        <v>0.977268123568193</v>
      </c>
      <c r="AD326" s="0" t="n">
        <f aca="false">$T$5*(Z326-1)</f>
        <v>0.00937995537571368</v>
      </c>
      <c r="AE326" s="0" t="n">
        <f aca="false">2*$T$5*$U$5*Z326*$X$5/(Y326+Y327)</f>
        <v>1.21846895042228E-005</v>
      </c>
      <c r="AF326" s="0" t="n">
        <f aca="false">AB326*AE326</f>
        <v>-2.58324080708787E-006</v>
      </c>
      <c r="AG326" s="0" t="n">
        <f aca="false">AG325+AF325</f>
        <v>0.00427586910906743</v>
      </c>
      <c r="AH326" s="0" t="n">
        <f aca="false">AC326*AE326</f>
        <v>1.19077086480529E-005</v>
      </c>
      <c r="AI326" s="0" t="n">
        <f aca="false">AI325+AH325</f>
        <v>0.00384361878580587</v>
      </c>
      <c r="AJ326" s="6" t="n">
        <f aca="false">Y326/$P$5</f>
        <v>1.324</v>
      </c>
      <c r="AK326" s="0" t="n">
        <f aca="false">SQRT(AG326^2+AI326^2)</f>
        <v>0.00574947493328537</v>
      </c>
      <c r="AL326" s="0" t="n">
        <f aca="false">$W$5*(Y326/$V$5-Z326)</f>
        <v>0.00584450811120643</v>
      </c>
      <c r="AM326" s="0" t="n">
        <f aca="false">SQRT(AK326^2+AL326^2)</f>
        <v>0.00819845943274922</v>
      </c>
      <c r="AN326" s="2" t="n">
        <f aca="false">Y326</f>
        <v>1324</v>
      </c>
      <c r="AO326" s="0" t="n">
        <f aca="false">AM326/Z326</f>
        <v>0.00671502690513614</v>
      </c>
    </row>
    <row r="327" customFormat="false" ht="12.75" hidden="false" customHeight="false" outlineLevel="0" collapsed="false">
      <c r="Y327" s="0" t="n">
        <f aca="false">Y326+$X$5</f>
        <v>1328</v>
      </c>
      <c r="Z327" s="0" t="n">
        <f aca="false">(Y327/$V$5)^$O$5</f>
        <v>1.2211224533358</v>
      </c>
      <c r="AA327" s="0" t="n">
        <f aca="false">$Q$5*(Y327-$V$5)</f>
        <v>8.09274267564731</v>
      </c>
      <c r="AB327" s="0" t="n">
        <f aca="false">COS(AA327)</f>
        <v>-0.236498997023725</v>
      </c>
      <c r="AC327" s="0" t="n">
        <f aca="false">SIN(AA327)</f>
        <v>0.971631732914674</v>
      </c>
      <c r="AD327" s="0" t="n">
        <f aca="false">$T$5*(Z327-1)</f>
        <v>0.009388875406811</v>
      </c>
      <c r="AE327" s="0" t="n">
        <f aca="false">2*$T$5*$U$5*Z327*$X$5/(Y327+Y328)</f>
        <v>1.21501341160698E-005</v>
      </c>
      <c r="AF327" s="0" t="n">
        <f aca="false">AB327*AE327</f>
        <v>-2.87349453215426E-006</v>
      </c>
      <c r="AG327" s="0" t="n">
        <f aca="false">AG326+AF326</f>
        <v>0.00427328586826034</v>
      </c>
      <c r="AH327" s="0" t="n">
        <f aca="false">AC327*AE327</f>
        <v>1.18054558663426E-005</v>
      </c>
      <c r="AI327" s="0" t="n">
        <f aca="false">AI326+AH326</f>
        <v>0.00385552649445392</v>
      </c>
      <c r="AJ327" s="6" t="n">
        <f aca="false">Y327/$P$5</f>
        <v>1.328</v>
      </c>
      <c r="AK327" s="0" t="n">
        <f aca="false">SQRT(AG327^2+AI327^2)</f>
        <v>0.0057555240127472</v>
      </c>
      <c r="AL327" s="0" t="n">
        <f aca="false">$W$5*(Y327/$V$5-Z327)</f>
        <v>0.00586280295706448</v>
      </c>
      <c r="AM327" s="0" t="n">
        <f aca="false">SQRT(AK327^2+AL327^2)</f>
        <v>0.00821574799848886</v>
      </c>
      <c r="AN327" s="2" t="n">
        <f aca="false">Y327</f>
        <v>1328</v>
      </c>
      <c r="AO327" s="0" t="n">
        <f aca="false">AM327/Z327</f>
        <v>0.00672802958953499</v>
      </c>
    </row>
    <row r="328" customFormat="false" ht="12.75" hidden="false" customHeight="false" outlineLevel="0" collapsed="false">
      <c r="Y328" s="0" t="n">
        <f aca="false">Y327+$X$5</f>
        <v>1332</v>
      </c>
      <c r="Z328" s="0" t="n">
        <f aca="false">(Y328/$V$5)^$O$5</f>
        <v>1.22133193794814</v>
      </c>
      <c r="AA328" s="0" t="n">
        <f aca="false">$Q$5*(Y328-$V$5)</f>
        <v>8.11787541687603</v>
      </c>
      <c r="AB328" s="0" t="n">
        <f aca="false">COS(AA328)</f>
        <v>-0.260841506289898</v>
      </c>
      <c r="AC328" s="0" t="n">
        <f aca="false">SIN(AA328)</f>
        <v>0.965381638833274</v>
      </c>
      <c r="AD328" s="0" t="n">
        <f aca="false">$T$5*(Z328-1)</f>
        <v>0.00939777013864467</v>
      </c>
      <c r="AE328" s="0" t="n">
        <f aca="false">2*$T$5*$U$5*Z328*$X$5/(Y328+Y329)</f>
        <v>1.21157800458511E-005</v>
      </c>
      <c r="AF328" s="0" t="n">
        <f aca="false">AB328*AE328</f>
        <v>-3.16029831703689E-006</v>
      </c>
      <c r="AG328" s="0" t="n">
        <f aca="false">AG327+AF327</f>
        <v>0.00427041237372819</v>
      </c>
      <c r="AH328" s="0" t="n">
        <f aca="false">AC328*AE328</f>
        <v>1.16963515964072E-005</v>
      </c>
      <c r="AI328" s="0" t="n">
        <f aca="false">AI327+AH327</f>
        <v>0.00386733195032026</v>
      </c>
      <c r="AJ328" s="6" t="n">
        <f aca="false">Y328/$P$5</f>
        <v>1.332</v>
      </c>
      <c r="AK328" s="0" t="n">
        <f aca="false">SQRT(AG328^2+AI328^2)</f>
        <v>0.00576130872768147</v>
      </c>
      <c r="AL328" s="0" t="n">
        <f aca="false">$W$5*(Y328/$V$5-Z328)</f>
        <v>0.00588109791215939</v>
      </c>
      <c r="AM328" s="0" t="n">
        <f aca="false">SQRT(AK328^2+AL328^2)</f>
        <v>0.00823286043292756</v>
      </c>
      <c r="AN328" s="2" t="n">
        <f aca="false">Y328</f>
        <v>1332</v>
      </c>
      <c r="AO328" s="0" t="n">
        <f aca="false">AM328/Z328</f>
        <v>0.00674088687696069</v>
      </c>
    </row>
    <row r="329" customFormat="false" ht="12.75" hidden="false" customHeight="false" outlineLevel="0" collapsed="false">
      <c r="Y329" s="0" t="n">
        <f aca="false">Y328+$X$5</f>
        <v>1336</v>
      </c>
      <c r="Z329" s="0" t="n">
        <f aca="false">(Y329/$V$5)^$O$5</f>
        <v>1.22154083019554</v>
      </c>
      <c r="AA329" s="0" t="n">
        <f aca="false">$Q$5*(Y329-$V$5)</f>
        <v>8.14300815810474</v>
      </c>
      <c r="AB329" s="0" t="n">
        <f aca="false">COS(AA329)</f>
        <v>-0.285019262469976</v>
      </c>
      <c r="AC329" s="0" t="n">
        <f aca="false">SIN(AA329)</f>
        <v>0.958521789017376</v>
      </c>
      <c r="AD329" s="0" t="n">
        <f aca="false">$T$5*(Z329-1)</f>
        <v>0.00940663971862066</v>
      </c>
      <c r="AE329" s="0" t="n">
        <f aca="false">2*$T$5*$U$5*Z329*$X$5/(Y329+Y330)</f>
        <v>1.20816255223609E-005</v>
      </c>
      <c r="AF329" s="0" t="n">
        <f aca="false">AB329*AE329</f>
        <v>-3.44349599582172E-006</v>
      </c>
      <c r="AG329" s="0" t="n">
        <f aca="false">AG328+AF328</f>
        <v>0.00426725207541115</v>
      </c>
      <c r="AH329" s="0" t="n">
        <f aca="false">AC329*AE329</f>
        <v>1.15805013099313E-005</v>
      </c>
      <c r="AI329" s="0" t="n">
        <f aca="false">AI328+AH328</f>
        <v>0.00387902830191667</v>
      </c>
      <c r="AJ329" s="6" t="n">
        <f aca="false">Y329/$P$5</f>
        <v>1.336</v>
      </c>
      <c r="AK329" s="0" t="n">
        <f aca="false">SQRT(AG329^2+AI329^2)</f>
        <v>0.00576682762376086</v>
      </c>
      <c r="AL329" s="0" t="n">
        <f aca="false">$W$5*(Y329/$V$5-Z329)</f>
        <v>0.00589939297585469</v>
      </c>
      <c r="AM329" s="0" t="n">
        <f aca="false">SQRT(AK329^2+AL329^2)</f>
        <v>0.00824979625964999</v>
      </c>
      <c r="AN329" s="2" t="n">
        <f aca="false">Y329</f>
        <v>1336</v>
      </c>
      <c r="AO329" s="0" t="n">
        <f aca="false">AM329/Z329</f>
        <v>0.00675359845182528</v>
      </c>
    </row>
    <row r="330" customFormat="false" ht="12.75" hidden="false" customHeight="false" outlineLevel="0" collapsed="false">
      <c r="Y330" s="0" t="n">
        <f aca="false">Y329+$X$5</f>
        <v>1340</v>
      </c>
      <c r="Z330" s="0" t="n">
        <f aca="false">(Y330/$V$5)^$O$5</f>
        <v>1.22174913351911</v>
      </c>
      <c r="AA330" s="0" t="n">
        <f aca="false">$Q$5*(Y330-$V$5)</f>
        <v>8.16814089933346</v>
      </c>
      <c r="AB330" s="0" t="n">
        <f aca="false">COS(AA330)</f>
        <v>-0.309016994374947</v>
      </c>
      <c r="AC330" s="0" t="n">
        <f aca="false">SIN(AA330)</f>
        <v>0.951056516295154</v>
      </c>
      <c r="AD330" s="0" t="n">
        <f aca="false">$T$5*(Z330-1)</f>
        <v>0.00941548429284791</v>
      </c>
      <c r="AE330" s="0" t="n">
        <f aca="false">2*$T$5*$U$5*Z330*$X$5/(Y330+Y331)</f>
        <v>1.20476687952091E-005</v>
      </c>
      <c r="AF330" s="0" t="n">
        <f aca="false">AB330*AE330</f>
        <v>-3.72293440032037E-006</v>
      </c>
      <c r="AG330" s="0" t="n">
        <f aca="false">AG329+AF329</f>
        <v>0.00426380857941533</v>
      </c>
      <c r="AH330" s="0" t="n">
        <f aca="false">AC330*AE330</f>
        <v>1.14580139138494E-005</v>
      </c>
      <c r="AI330" s="0" t="n">
        <f aca="false">AI329+AH329</f>
        <v>0.0038906088032266</v>
      </c>
      <c r="AJ330" s="6" t="n">
        <f aca="false">Y330/$P$5</f>
        <v>1.34</v>
      </c>
      <c r="AK330" s="0" t="n">
        <f aca="false">SQRT(AG330^2+AI330^2)</f>
        <v>0.00577207938802301</v>
      </c>
      <c r="AL330" s="0" t="n">
        <f aca="false">$W$5*(Y330/$V$5-Z330)</f>
        <v>0.00591768814751953</v>
      </c>
      <c r="AM330" s="0" t="n">
        <f aca="false">SQRT(AK330^2+AL330^2)</f>
        <v>0.00826655511521778</v>
      </c>
      <c r="AN330" s="2" t="n">
        <f aca="false">Y330</f>
        <v>1340</v>
      </c>
      <c r="AO330" s="0" t="n">
        <f aca="false">AM330/Z330</f>
        <v>0.00676616409082843</v>
      </c>
    </row>
    <row r="331" customFormat="false" ht="12.75" hidden="false" customHeight="false" outlineLevel="0" collapsed="false">
      <c r="Y331" s="0" t="n">
        <f aca="false">Y330+$X$5</f>
        <v>1344</v>
      </c>
      <c r="Z331" s="0" t="n">
        <f aca="false">(Y331/$V$5)^$O$5</f>
        <v>1.22195685132975</v>
      </c>
      <c r="AA331" s="0" t="n">
        <f aca="false">$Q$5*(Y331-$V$5)</f>
        <v>8.19327364056218</v>
      </c>
      <c r="AB331" s="0" t="n">
        <f aca="false">COS(AA331)</f>
        <v>-0.332819544522987</v>
      </c>
      <c r="AC331" s="0" t="n">
        <f aca="false">SIN(AA331)</f>
        <v>0.942990535892865</v>
      </c>
      <c r="AD331" s="0" t="n">
        <f aca="false">$T$5*(Z331-1)</f>
        <v>0.00942430400615359</v>
      </c>
      <c r="AE331" s="0" t="n">
        <f aca="false">2*$T$5*$U$5*Z331*$X$5/(Y331+Y332)</f>
        <v>1.20139081345164E-005</v>
      </c>
      <c r="AF331" s="0" t="n">
        <f aca="false">AB331*AE331</f>
        <v>-3.99846343327074E-006</v>
      </c>
      <c r="AG331" s="0" t="n">
        <f aca="false">AG330+AF330</f>
        <v>0.00426008564501501</v>
      </c>
      <c r="AH331" s="0" t="n">
        <f aca="false">AC331*AE331</f>
        <v>1.13290016699352E-005</v>
      </c>
      <c r="AI331" s="0" t="n">
        <f aca="false">AI330+AH330</f>
        <v>0.00390206681714045</v>
      </c>
      <c r="AJ331" s="6" t="n">
        <f aca="false">Y331/$P$5</f>
        <v>1.344</v>
      </c>
      <c r="AK331" s="0" t="n">
        <f aca="false">SQRT(AG331^2+AI331^2)</f>
        <v>0.00577706284787447</v>
      </c>
      <c r="AL331" s="0" t="n">
        <f aca="false">$W$5*(Y331/$V$5-Z331)</f>
        <v>0.00593598342652857</v>
      </c>
      <c r="AM331" s="0" t="n">
        <f aca="false">SQRT(AK331^2+AL331^2)</f>
        <v>0.00828313674813554</v>
      </c>
      <c r="AN331" s="2" t="n">
        <f aca="false">Y331</f>
        <v>1344</v>
      </c>
      <c r="AO331" s="0" t="n">
        <f aca="false">AM331/Z331</f>
        <v>0.00677858366203495</v>
      </c>
    </row>
    <row r="332" customFormat="false" ht="12.75" hidden="false" customHeight="false" outlineLevel="0" collapsed="false">
      <c r="Y332" s="0" t="n">
        <f aca="false">Y331+$X$5</f>
        <v>1348</v>
      </c>
      <c r="Z332" s="0" t="n">
        <f aca="false">(Y332/$V$5)^$O$5</f>
        <v>1.22216398700853</v>
      </c>
      <c r="AA332" s="0" t="n">
        <f aca="false">$Q$5*(Y332-$V$5)</f>
        <v>8.2184063817909</v>
      </c>
      <c r="AB332" s="0" t="n">
        <f aca="false">COS(AA332)</f>
        <v>-0.356411878713251</v>
      </c>
      <c r="AC332" s="0" t="n">
        <f aca="false">SIN(AA332)</f>
        <v>0.934328942456612</v>
      </c>
      <c r="AD332" s="0" t="n">
        <f aca="false">$T$5*(Z332-1)</f>
        <v>0.00943309900209814</v>
      </c>
      <c r="AE332" s="0" t="n">
        <f aca="false">2*$T$5*$U$5*Z332*$X$5/(Y332+Y333)</f>
        <v>1.19803418306127E-005</v>
      </c>
      <c r="AF332" s="0" t="n">
        <f aca="false">AB332*AE332</f>
        <v>-4.26993613947561E-006</v>
      </c>
      <c r="AG332" s="0" t="n">
        <f aca="false">AG331+AF331</f>
        <v>0.00425608718158174</v>
      </c>
      <c r="AH332" s="0" t="n">
        <f aca="false">AC332*AE332</f>
        <v>1.1193580112865E-005</v>
      </c>
      <c r="AI332" s="0" t="n">
        <f aca="false">AI331+AH331</f>
        <v>0.00391339581881038</v>
      </c>
      <c r="AJ332" s="6" t="n">
        <f aca="false">Y332/$P$5</f>
        <v>1.348</v>
      </c>
      <c r="AK332" s="0" t="n">
        <f aca="false">SQRT(AG332^2+AI332^2)</f>
        <v>0.00578177697009379</v>
      </c>
      <c r="AL332" s="0" t="n">
        <f aca="false">$W$5*(Y332/$V$5-Z332)</f>
        <v>0.00595427881226194</v>
      </c>
      <c r="AM332" s="0" t="n">
        <f aca="false">SQRT(AK332^2+AL332^2)</f>
        <v>0.0082995410177948</v>
      </c>
      <c r="AN332" s="2" t="n">
        <f aca="false">Y332</f>
        <v>1348</v>
      </c>
      <c r="AO332" s="0" t="n">
        <f aca="false">AM332/Z332</f>
        <v>0.00679085712393592</v>
      </c>
    </row>
    <row r="333" customFormat="false" ht="12.75" hidden="false" customHeight="false" outlineLevel="0" collapsed="false">
      <c r="Y333" s="0" t="n">
        <f aca="false">Y332+$X$5</f>
        <v>1352</v>
      </c>
      <c r="Z333" s="0" t="n">
        <f aca="false">(Y333/$V$5)^$O$5</f>
        <v>1.22237054390703</v>
      </c>
      <c r="AA333" s="0" t="n">
        <f aca="false">$Q$5*(Y333-$V$5)</f>
        <v>8.24353912301962</v>
      </c>
      <c r="AB333" s="0" t="n">
        <f aca="false">COS(AA333)</f>
        <v>-0.379779095521801</v>
      </c>
      <c r="AC333" s="0" t="n">
        <f aca="false">SIN(AA333)</f>
        <v>0.925077206834458</v>
      </c>
      <c r="AD333" s="0" t="n">
        <f aca="false">$T$5*(Z333-1)</f>
        <v>0.00944186942299006</v>
      </c>
      <c r="AE333" s="0" t="n">
        <f aca="false">2*$T$5*$U$5*Z333*$X$5/(Y333+Y334)</f>
        <v>1.1946968193743E-005</v>
      </c>
      <c r="AF333" s="0" t="n">
        <f aca="false">AB333*AE333</f>
        <v>-4.53720877484743E-006</v>
      </c>
      <c r="AG333" s="0" t="n">
        <f aca="false">AG332+AF332</f>
        <v>0.00425181724544226</v>
      </c>
      <c r="AH333" s="0" t="n">
        <f aca="false">AC333*AE333</f>
        <v>1.10518679668078E-005</v>
      </c>
      <c r="AI333" s="0" t="n">
        <f aca="false">AI332+AH332</f>
        <v>0.00392458939892325</v>
      </c>
      <c r="AJ333" s="6" t="n">
        <f aca="false">Y333/$P$5</f>
        <v>1.352</v>
      </c>
      <c r="AK333" s="0" t="n">
        <f aca="false">SQRT(AG333^2+AI333^2)</f>
        <v>0.00578622085983425</v>
      </c>
      <c r="AL333" s="0" t="n">
        <f aca="false">$W$5*(Y333/$V$5-Z333)</f>
        <v>0.00597257430410518</v>
      </c>
      <c r="AM333" s="0" t="n">
        <f aca="false">SQRT(AK333^2+AL333^2)</f>
        <v>0.00831576789339616</v>
      </c>
      <c r="AN333" s="2" t="n">
        <f aca="false">Y333</f>
        <v>1352</v>
      </c>
      <c r="AO333" s="0" t="n">
        <f aca="false">AM333/Z333</f>
        <v>0.00680298452449346</v>
      </c>
    </row>
    <row r="334" customFormat="false" ht="12.75" hidden="false" customHeight="false" outlineLevel="0" collapsed="false">
      <c r="Y334" s="0" t="n">
        <f aca="false">Y333+$X$5</f>
        <v>1356</v>
      </c>
      <c r="Z334" s="0" t="n">
        <f aca="false">(Y334/$V$5)^$O$5</f>
        <v>1.22257652534769</v>
      </c>
      <c r="AA334" s="0" t="n">
        <f aca="false">$Q$5*(Y334-$V$5)</f>
        <v>8.26867186424834</v>
      </c>
      <c r="AB334" s="0" t="n">
        <f aca="false">COS(AA334)</f>
        <v>-0.402906435713663</v>
      </c>
      <c r="AC334" s="0" t="n">
        <f aca="false">SIN(AA334)</f>
        <v>0.915241172620917</v>
      </c>
      <c r="AD334" s="0" t="n">
        <f aca="false">$T$5*(Z334-1)</f>
        <v>0.00945061540990049</v>
      </c>
      <c r="AE334" s="0" t="n">
        <f aca="false">2*$T$5*$U$5*Z334*$X$5/(Y334+Y335)</f>
        <v>1.19137855537769E-005</v>
      </c>
      <c r="AF334" s="0" t="n">
        <f aca="false">AB334*AE334</f>
        <v>-4.80014087332918E-006</v>
      </c>
      <c r="AG334" s="0" t="n">
        <f aca="false">AG333+AF333</f>
        <v>0.00424728003666742</v>
      </c>
      <c r="AH334" s="0" t="n">
        <f aca="false">AC334*AE334</f>
        <v>1.09039870605929E-005</v>
      </c>
      <c r="AI334" s="0" t="n">
        <f aca="false">AI333+AH333</f>
        <v>0.00393564126689006</v>
      </c>
      <c r="AJ334" s="6" t="n">
        <f aca="false">Y334/$P$5</f>
        <v>1.356</v>
      </c>
      <c r="AK334" s="0" t="n">
        <f aca="false">SQRT(AG334^2+AI334^2)</f>
        <v>0.0057903937596265</v>
      </c>
      <c r="AL334" s="0" t="n">
        <f aca="false">$W$5*(Y334/$V$5-Z334)</f>
        <v>0.00599086990144919</v>
      </c>
      <c r="AM334" s="0" t="n">
        <f aca="false">SQRT(AK334^2+AL334^2)</f>
        <v>0.00833181745284973</v>
      </c>
      <c r="AN334" s="2" t="n">
        <f aca="false">Y334</f>
        <v>1356</v>
      </c>
      <c r="AO334" s="0" t="n">
        <f aca="false">AM334/Z334</f>
        <v>0.00681496600016939</v>
      </c>
    </row>
    <row r="335" customFormat="false" ht="12.75" hidden="false" customHeight="false" outlineLevel="0" collapsed="false">
      <c r="Y335" s="0" t="n">
        <f aca="false">Y334+$X$5</f>
        <v>1360</v>
      </c>
      <c r="Z335" s="0" t="n">
        <f aca="false">(Y335/$V$5)^$O$5</f>
        <v>1.22278193462415</v>
      </c>
      <c r="AA335" s="0" t="n">
        <f aca="false">$Q$5*(Y335-$V$5)</f>
        <v>8.29380460547706</v>
      </c>
      <c r="AB335" s="0" t="n">
        <f aca="false">COS(AA335)</f>
        <v>-0.425779291565073</v>
      </c>
      <c r="AC335" s="0" t="n">
        <f aca="false">SIN(AA335)</f>
        <v>0.904827052466019</v>
      </c>
      <c r="AD335" s="0" t="n">
        <f aca="false">$T$5*(Z335-1)</f>
        <v>0.00945933710267758</v>
      </c>
      <c r="AE335" s="0" t="n">
        <f aca="false">2*$T$5*$U$5*Z335*$X$5/(Y335+Y336)</f>
        <v>1.18807922599241E-005</v>
      </c>
      <c r="AF335" s="0" t="n">
        <f aca="false">AB335*AE335</f>
        <v>-5.05859531166228E-006</v>
      </c>
      <c r="AG335" s="0" t="n">
        <f aca="false">AG334+AF334</f>
        <v>0.00424247989579409</v>
      </c>
      <c r="AH335" s="0" t="n">
        <f aca="false">AC335*AE335</f>
        <v>1.07500622415082E-005</v>
      </c>
      <c r="AI335" s="0" t="n">
        <f aca="false">AI334+AH334</f>
        <v>0.00394654525395065</v>
      </c>
      <c r="AJ335" s="6" t="n">
        <f aca="false">Y335/$P$5</f>
        <v>1.36</v>
      </c>
      <c r="AK335" s="0" t="n">
        <f aca="false">SQRT(AG335^2+AI335^2)</f>
        <v>0.00579429504838142</v>
      </c>
      <c r="AL335" s="0" t="n">
        <f aca="false">$W$5*(Y335/$V$5-Z335)</f>
        <v>0.00600916560369012</v>
      </c>
      <c r="AM335" s="0" t="n">
        <f aca="false">SQRT(AK335^2+AL335^2)</f>
        <v>0.00834768988165408</v>
      </c>
      <c r="AN335" s="2" t="n">
        <f aca="false">Y335</f>
        <v>1360</v>
      </c>
      <c r="AO335" s="0" t="n">
        <f aca="false">AM335/Z335</f>
        <v>0.00682680177493783</v>
      </c>
    </row>
    <row r="336" customFormat="false" ht="12.75" hidden="false" customHeight="false" outlineLevel="0" collapsed="false">
      <c r="Y336" s="0" t="n">
        <f aca="false">Y335+$X$5</f>
        <v>1364</v>
      </c>
      <c r="Z336" s="0" t="n">
        <f aca="false">(Y336/$V$5)^$O$5</f>
        <v>1.22298677500159</v>
      </c>
      <c r="AA336" s="0" t="n">
        <f aca="false">$Q$5*(Y336-$V$5)</f>
        <v>8.31893734670577</v>
      </c>
      <c r="AB336" s="0" t="n">
        <f aca="false">COS(AA336)</f>
        <v>-0.448383216090033</v>
      </c>
      <c r="AC336" s="0" t="n">
        <f aca="false">SIN(AA336)</f>
        <v>0.893841424151263</v>
      </c>
      <c r="AD336" s="0" t="n">
        <f aca="false">$T$5*(Z336-1)</f>
        <v>0.00946803463996067</v>
      </c>
      <c r="AE336" s="0" t="n">
        <f aca="false">2*$T$5*$U$5*Z336*$X$5/(Y336+Y337)</f>
        <v>1.18479866804539E-005</v>
      </c>
      <c r="AF336" s="0" t="n">
        <f aca="false">AB336*AE336</f>
        <v>-5.31243837197381E-006</v>
      </c>
      <c r="AG336" s="0" t="n">
        <f aca="false">AG335+AF335</f>
        <v>0.00423742130048242</v>
      </c>
      <c r="AH336" s="0" t="n">
        <f aca="false">AC336*AE336</f>
        <v>1.05902212877821E-005</v>
      </c>
      <c r="AI336" s="0" t="n">
        <f aca="false">AI335+AH335</f>
        <v>0.00395729531619216</v>
      </c>
      <c r="AJ336" s="6" t="n">
        <f aca="false">Y336/$P$5</f>
        <v>1.364</v>
      </c>
      <c r="AK336" s="0" t="n">
        <f aca="false">SQRT(AG336^2+AI336^2)</f>
        <v>0.00579792424039315</v>
      </c>
      <c r="AL336" s="0" t="n">
        <f aca="false">$W$5*(Y336/$V$5-Z336)</f>
        <v>0.00602746141022936</v>
      </c>
      <c r="AM336" s="0" t="n">
        <f aca="false">SQRT(AK336^2+AL336^2)</f>
        <v>0.00836338547175381</v>
      </c>
      <c r="AN336" s="2" t="n">
        <f aca="false">Y336</f>
        <v>1364</v>
      </c>
      <c r="AO336" s="0" t="n">
        <f aca="false">AM336/Z336</f>
        <v>0.00683849215928191</v>
      </c>
    </row>
    <row r="337" customFormat="false" ht="12.75" hidden="false" customHeight="false" outlineLevel="0" collapsed="false">
      <c r="Y337" s="0" t="n">
        <f aca="false">Y336+$X$5</f>
        <v>1368</v>
      </c>
      <c r="Z337" s="0" t="n">
        <f aca="false">(Y337/$V$5)^$O$5</f>
        <v>1.22319104971702</v>
      </c>
      <c r="AA337" s="0" t="n">
        <f aca="false">$Q$5*(Y337-$V$5)</f>
        <v>8.34407008793449</v>
      </c>
      <c r="AB337" s="0" t="n">
        <f aca="false">COS(AA337)</f>
        <v>-0.470703932165332</v>
      </c>
      <c r="AC337" s="0" t="n">
        <f aca="false">SIN(AA337)</f>
        <v>0.882291226434954</v>
      </c>
      <c r="AD337" s="0" t="n">
        <f aca="false">$T$5*(Z337-1)</f>
        <v>0.00947670815919421</v>
      </c>
      <c r="AE337" s="0" t="n">
        <f aca="false">2*$T$5*$U$5*Z337*$X$5/(Y337+Y338)</f>
        <v>1.18153672024209E-005</v>
      </c>
      <c r="AF337" s="0" t="n">
        <f aca="false">AB337*AE337</f>
        <v>-5.56153980215682E-006</v>
      </c>
      <c r="AG337" s="0" t="n">
        <f aca="false">AG336+AF336</f>
        <v>0.00423210886211045</v>
      </c>
      <c r="AH337" s="0" t="n">
        <f aca="false">AC337*AE337</f>
        <v>1.04245948198033E-005</v>
      </c>
      <c r="AI337" s="0" t="n">
        <f aca="false">AI336+AH336</f>
        <v>0.00396788553747994</v>
      </c>
      <c r="AJ337" s="6" t="n">
        <f aca="false">Y337/$P$5</f>
        <v>1.368</v>
      </c>
      <c r="AK337" s="0" t="n">
        <f aca="false">SQRT(AG337^2+AI337^2)</f>
        <v>0.00580128098434271</v>
      </c>
      <c r="AL337" s="0" t="n">
        <f aca="false">$W$5*(Y337/$V$5-Z337)</f>
        <v>0.00604575732047346</v>
      </c>
      <c r="AM337" s="0" t="n">
        <f aca="false">SQRT(AK337^2+AL337^2)</f>
        <v>0.00837890462037579</v>
      </c>
      <c r="AN337" s="2" t="n">
        <f aca="false">Y337</f>
        <v>1368</v>
      </c>
      <c r="AO337" s="0" t="n">
        <f aca="false">AM337/Z337</f>
        <v>0.00685003754917452</v>
      </c>
    </row>
    <row r="338" customFormat="false" ht="12.75" hidden="false" customHeight="false" outlineLevel="0" collapsed="false">
      <c r="Y338" s="0" t="n">
        <f aca="false">Y337+$X$5</f>
        <v>1372</v>
      </c>
      <c r="Z338" s="0" t="n">
        <f aca="false">(Y338/$V$5)^$O$5</f>
        <v>1.22339476197967</v>
      </c>
      <c r="AA338" s="0" t="n">
        <f aca="false">$Q$5*(Y338-$V$5)</f>
        <v>8.36920282916321</v>
      </c>
      <c r="AB338" s="0" t="n">
        <f aca="false">COS(AA338)</f>
        <v>-0.492727341548291</v>
      </c>
      <c r="AC338" s="0" t="n">
        <f aca="false">SIN(AA338)</f>
        <v>0.870183754669526</v>
      </c>
      <c r="AD338" s="0" t="n">
        <f aca="false">$T$5*(Z338-1)</f>
        <v>0.00948535779664158</v>
      </c>
      <c r="AE338" s="0" t="n">
        <f aca="false">2*$T$5*$U$5*Z338*$X$5/(Y338+Y339)</f>
        <v>1.17829322313939E-005</v>
      </c>
      <c r="AF338" s="0" t="n">
        <f aca="false">AB338*AE338</f>
        <v>-5.8057728740184E-006</v>
      </c>
      <c r="AG338" s="0" t="n">
        <f aca="false">AG337+AF337</f>
        <v>0.00422654732230829</v>
      </c>
      <c r="AH338" s="0" t="n">
        <f aca="false">AC338*AE338</f>
        <v>1.02533162101309E-005</v>
      </c>
      <c r="AI338" s="0" t="n">
        <f aca="false">AI337+AH337</f>
        <v>0.00397831013229974</v>
      </c>
      <c r="AJ338" s="6" t="n">
        <f aca="false">Y338/$P$5</f>
        <v>1.372</v>
      </c>
      <c r="AK338" s="0" t="n">
        <f aca="false">SQRT(AG338^2+AI338^2)</f>
        <v>0.00580436506230184</v>
      </c>
      <c r="AL338" s="0" t="n">
        <f aca="false">$W$5*(Y338/$V$5-Z338)</f>
        <v>0.00606405333383405</v>
      </c>
      <c r="AM338" s="0" t="n">
        <f aca="false">SQRT(AK338^2+AL338^2)</f>
        <v>0.00839424782884411</v>
      </c>
      <c r="AN338" s="2" t="n">
        <f aca="false">Y338</f>
        <v>1372</v>
      </c>
      <c r="AO338" s="0" t="n">
        <f aca="false">AM338/Z338</f>
        <v>0.0068614384250434</v>
      </c>
    </row>
    <row r="339" customFormat="false" ht="12.75" hidden="false" customHeight="false" outlineLevel="0" collapsed="false">
      <c r="Y339" s="0" t="n">
        <f aca="false">Y338+$X$5</f>
        <v>1376</v>
      </c>
      <c r="Z339" s="0" t="n">
        <f aca="false">(Y339/$V$5)^$O$5</f>
        <v>1.22359791497124</v>
      </c>
      <c r="AA339" s="0" t="n">
        <f aca="false">$Q$5*(Y339-$V$5)</f>
        <v>8.39433557039193</v>
      </c>
      <c r="AB339" s="0" t="n">
        <f aca="false">COS(AA339)</f>
        <v>-0.514439533781506</v>
      </c>
      <c r="AC339" s="0" t="n">
        <f aca="false">SIN(AA339)</f>
        <v>0.857526656193652</v>
      </c>
      <c r="AD339" s="0" t="n">
        <f aca="false">$T$5*(Z339-1)</f>
        <v>0.00949398368739859</v>
      </c>
      <c r="AE339" s="0" t="n">
        <f aca="false">2*$T$5*$U$5*Z339*$X$5/(Y339+Y340)</f>
        <v>1.17506801911908E-005</v>
      </c>
      <c r="AF339" s="0" t="n">
        <f aca="false">AB339*AE339</f>
        <v>-6.04501443917179E-006</v>
      </c>
      <c r="AG339" s="0" t="n">
        <f aca="false">AG338+AF338</f>
        <v>0.00422074154943427</v>
      </c>
      <c r="AH339" s="0" t="n">
        <f aca="false">AC339*AE339</f>
        <v>1.00765214923529E-005</v>
      </c>
      <c r="AI339" s="0" t="n">
        <f aca="false">AI338+AH338</f>
        <v>0.00398856344850987</v>
      </c>
      <c r="AJ339" s="6" t="n">
        <f aca="false">Y339/$P$5</f>
        <v>1.376</v>
      </c>
      <c r="AK339" s="0" t="n">
        <f aca="false">SQRT(AG339^2+AI339^2)</f>
        <v>0.00580717638873746</v>
      </c>
      <c r="AL339" s="0" t="n">
        <f aca="false">$W$5*(Y339/$V$5-Z339)</f>
        <v>0.00608234944972783</v>
      </c>
      <c r="AM339" s="0" t="n">
        <f aca="false">SQRT(AK339^2+AL339^2)</f>
        <v>0.00840941570137392</v>
      </c>
      <c r="AN339" s="2" t="n">
        <f aca="false">Y339</f>
        <v>1376</v>
      </c>
      <c r="AO339" s="0" t="n">
        <f aca="false">AM339/Z339</f>
        <v>0.00687269535072033</v>
      </c>
    </row>
    <row r="340" customFormat="false" ht="12.75" hidden="false" customHeight="false" outlineLevel="0" collapsed="false">
      <c r="Y340" s="0" t="n">
        <f aca="false">Y339+$X$5</f>
        <v>1380</v>
      </c>
      <c r="Z340" s="0" t="n">
        <f aca="false">(Y340/$V$5)^$O$5</f>
        <v>1.22380051184627</v>
      </c>
      <c r="AA340" s="0" t="n">
        <f aca="false">$Q$5*(Y340-$V$5)</f>
        <v>8.41946831162065</v>
      </c>
      <c r="AB340" s="0" t="n">
        <f aca="false">COS(AA340)</f>
        <v>-0.535826794978997</v>
      </c>
      <c r="AC340" s="0" t="n">
        <f aca="false">SIN(AA340)</f>
        <v>0.844327925502015</v>
      </c>
      <c r="AD340" s="0" t="n">
        <f aca="false">$T$5*(Z340-1)</f>
        <v>0.00950258596540687</v>
      </c>
      <c r="AE340" s="0" t="n">
        <f aca="false">2*$T$5*$U$5*Z340*$X$5/(Y340+Y341)</f>
        <v>1.17186095236174E-005</v>
      </c>
      <c r="AF340" s="0" t="n">
        <f aca="false">AB340*AE340</f>
        <v>-6.27914498265024E-006</v>
      </c>
      <c r="AG340" s="0" t="n">
        <f aca="false">AG339+AF339</f>
        <v>0.0042146965349951</v>
      </c>
      <c r="AH340" s="0" t="n">
        <f aca="false">AC340*AE340</f>
        <v>9.894349268844E-006</v>
      </c>
      <c r="AI340" s="0" t="n">
        <f aca="false">AI339+AH339</f>
        <v>0.00399863997000223</v>
      </c>
      <c r="AJ340" s="6" t="n">
        <f aca="false">Y340/$P$5</f>
        <v>1.38</v>
      </c>
      <c r="AK340" s="0" t="n">
        <f aca="false">SQRT(AG340^2+AI340^2)</f>
        <v>0.00580971500951631</v>
      </c>
      <c r="AL340" s="0" t="n">
        <f aca="false">$W$5*(Y340/$V$5-Z340)</f>
        <v>0.00610064566757646</v>
      </c>
      <c r="AM340" s="0" t="n">
        <f aca="false">SQRT(AK340^2+AL340^2)</f>
        <v>0.00842440894384399</v>
      </c>
      <c r="AN340" s="2" t="n">
        <f aca="false">Y340</f>
        <v>1380</v>
      </c>
      <c r="AO340" s="0" t="n">
        <f aca="false">AM340/Z340</f>
        <v>0.00688380897237461</v>
      </c>
    </row>
    <row r="341" customFormat="false" ht="12.75" hidden="false" customHeight="false" outlineLevel="0" collapsed="false">
      <c r="Y341" s="0" t="n">
        <f aca="false">Y340+$X$5</f>
        <v>1384</v>
      </c>
      <c r="Z341" s="0" t="n">
        <f aca="false">(Y341/$V$5)^$O$5</f>
        <v>1.22400255573242</v>
      </c>
      <c r="AA341" s="0" t="n">
        <f aca="false">$Q$5*(Y341-$V$5)</f>
        <v>8.44460105284936</v>
      </c>
      <c r="AB341" s="0" t="n">
        <f aca="false">COS(AA341)</f>
        <v>-0.556875616488188</v>
      </c>
      <c r="AC341" s="0" t="n">
        <f aca="false">SIN(AA341)</f>
        <v>0.830595899195813</v>
      </c>
      <c r="AD341" s="0" t="n">
        <f aca="false">$T$5*(Z341-1)</f>
        <v>0.00951116476346704</v>
      </c>
      <c r="AE341" s="0" t="n">
        <f aca="false">2*$T$5*$U$5*Z341*$X$5/(Y341+Y342)</f>
        <v>1.16867186882105E-005</v>
      </c>
      <c r="AF341" s="0" t="n">
        <f aca="false">AB341*AE341</f>
        <v>-6.50804867422123E-006</v>
      </c>
      <c r="AG341" s="0" t="n">
        <f aca="false">AG340+AF340</f>
        <v>0.00420841739001245</v>
      </c>
      <c r="AH341" s="0" t="n">
        <f aca="false">AC341*AE341</f>
        <v>9.70694061748267E-006</v>
      </c>
      <c r="AI341" s="0" t="n">
        <f aca="false">AI340+AH340</f>
        <v>0.00400853431927107</v>
      </c>
      <c r="AJ341" s="6" t="n">
        <f aca="false">Y341/$P$5</f>
        <v>1.384</v>
      </c>
      <c r="AK341" s="0" t="n">
        <f aca="false">SQRT(AG341^2+AI341^2)</f>
        <v>0.00581198110090984</v>
      </c>
      <c r="AL341" s="0" t="n">
        <f aca="false">$W$5*(Y341/$V$5-Z341)</f>
        <v>0.00611894198680654</v>
      </c>
      <c r="AM341" s="0" t="n">
        <f aca="false">SQRT(AK341^2+AL341^2)</f>
        <v>0.00843922836254815</v>
      </c>
      <c r="AN341" s="2" t="n">
        <f aca="false">Y341</f>
        <v>1384</v>
      </c>
      <c r="AO341" s="0" t="n">
        <f aca="false">AM341/Z341</f>
        <v>0.00689478001743085</v>
      </c>
    </row>
    <row r="342" customFormat="false" ht="12.75" hidden="false" customHeight="false" outlineLevel="0" collapsed="false">
      <c r="Y342" s="0" t="n">
        <f aca="false">Y341+$X$5</f>
        <v>1388</v>
      </c>
      <c r="Z342" s="0" t="n">
        <f aca="false">(Y342/$V$5)^$O$5</f>
        <v>1.22420404973077</v>
      </c>
      <c r="AA342" s="0" t="n">
        <f aca="false">$Q$5*(Y342-$V$5)</f>
        <v>8.46973379407808</v>
      </c>
      <c r="AB342" s="0" t="n">
        <f aca="false">COS(AA342)</f>
        <v>-0.577572703422268</v>
      </c>
      <c r="AC342" s="0" t="n">
        <f aca="false">SIN(AA342)</f>
        <v>0.816339250717184</v>
      </c>
      <c r="AD342" s="0" t="n">
        <f aca="false">$T$5*(Z342-1)</f>
        <v>0.0095197202132517</v>
      </c>
      <c r="AE342" s="0" t="n">
        <f aca="false">2*$T$5*$U$5*Z342*$X$5/(Y342+Y343)</f>
        <v>1.16550061619861E-005</v>
      </c>
      <c r="AF342" s="0" t="n">
        <f aca="false">AB342*AE342</f>
        <v>-6.73161341738149E-006</v>
      </c>
      <c r="AG342" s="0" t="n">
        <f aca="false">AG341+AF341</f>
        <v>0.00420190934133823</v>
      </c>
      <c r="AH342" s="0" t="n">
        <f aca="false">AC342*AE342</f>
        <v>9.51443899737987E-006</v>
      </c>
      <c r="AI342" s="0" t="n">
        <f aca="false">AI341+AH341</f>
        <v>0.00401824125988855</v>
      </c>
      <c r="AJ342" s="6" t="n">
        <f aca="false">Y342/$P$5</f>
        <v>1.388</v>
      </c>
      <c r="AK342" s="0" t="n">
        <f aca="false">SQRT(AG342^2+AI342^2)</f>
        <v>0.00581397496859904</v>
      </c>
      <c r="AL342" s="0" t="n">
        <f aca="false">$W$5*(Y342/$V$5-Z342)</f>
        <v>0.00613723840684953</v>
      </c>
      <c r="AM342" s="0" t="n">
        <f aca="false">SQRT(AK342^2+AL342^2)</f>
        <v>0.00845387486292559</v>
      </c>
      <c r="AN342" s="2" t="n">
        <f aca="false">Y342</f>
        <v>1388</v>
      </c>
      <c r="AO342" s="0" t="n">
        <f aca="false">AM342/Z342</f>
        <v>0.00690560929347095</v>
      </c>
    </row>
    <row r="343" customFormat="false" ht="12.75" hidden="false" customHeight="false" outlineLevel="0" collapsed="false">
      <c r="Y343" s="0" t="n">
        <f aca="false">Y342+$X$5</f>
        <v>1392</v>
      </c>
      <c r="Z343" s="0" t="n">
        <f aca="false">(Y343/$V$5)^$O$5</f>
        <v>1.22440499691616</v>
      </c>
      <c r="AA343" s="0" t="n">
        <f aca="false">$Q$5*(Y343-$V$5)</f>
        <v>8.4948665353068</v>
      </c>
      <c r="AB343" s="0" t="n">
        <f aca="false">COS(AA343)</f>
        <v>-0.597904983057519</v>
      </c>
      <c r="AC343" s="0" t="n">
        <f aca="false">SIN(AA343)</f>
        <v>0.801566984870876</v>
      </c>
      <c r="AD343" s="0" t="n">
        <f aca="false">$T$5*(Z343-1)</f>
        <v>0.00952825244531821</v>
      </c>
      <c r="AE343" s="0" t="n">
        <f aca="false">2*$T$5*$U$5*Z343*$X$5/(Y343+Y344)</f>
        <v>1.16234704391913E-005</v>
      </c>
      <c r="AF343" s="0" t="n">
        <f aca="false">AB343*AE343</f>
        <v>-6.94973089601423E-006</v>
      </c>
      <c r="AG343" s="0" t="n">
        <f aca="false">AG342+AF342</f>
        <v>0.00419517772792085</v>
      </c>
      <c r="AH343" s="0" t="n">
        <f aca="false">AC343*AE343</f>
        <v>9.31699015367831E-006</v>
      </c>
      <c r="AI343" s="0" t="n">
        <f aca="false">AI342+AH342</f>
        <v>0.00402775569888593</v>
      </c>
      <c r="AJ343" s="6" t="n">
        <f aca="false">Y343/$P$5</f>
        <v>1.392</v>
      </c>
      <c r="AK343" s="0" t="n">
        <f aca="false">SQRT(AG343^2+AI343^2)</f>
        <v>0.00581569704667903</v>
      </c>
      <c r="AL343" s="0" t="n">
        <f aca="false">$W$5*(Y343/$V$5-Z343)</f>
        <v>0.00615553492714171</v>
      </c>
      <c r="AM343" s="0" t="n">
        <f aca="false">SQRT(AK343^2+AL343^2)</f>
        <v>0.00846834944826988</v>
      </c>
      <c r="AN343" s="2" t="n">
        <f aca="false">Y343</f>
        <v>1392</v>
      </c>
      <c r="AO343" s="0" t="n">
        <f aca="false">AM343/Z343</f>
        <v>0.00691629768712038</v>
      </c>
    </row>
    <row r="344" customFormat="false" ht="12.75" hidden="false" customHeight="false" outlineLevel="0" collapsed="false">
      <c r="Y344" s="0" t="n">
        <f aca="false">Y343+$X$5</f>
        <v>1396</v>
      </c>
      <c r="Z344" s="0" t="n">
        <f aca="false">(Y344/$V$5)^$O$5</f>
        <v>1.22460540033745</v>
      </c>
      <c r="AA344" s="0" t="n">
        <f aca="false">$Q$5*(Y344-$V$5)</f>
        <v>8.51999927653552</v>
      </c>
      <c r="AB344" s="0" t="n">
        <f aca="false">COS(AA344)</f>
        <v>-0.617859613090335</v>
      </c>
      <c r="AC344" s="0" t="n">
        <f aca="false">SIN(AA344)</f>
        <v>0.786288432136618</v>
      </c>
      <c r="AD344" s="0" t="n">
        <f aca="false">$T$5*(Z344-1)</f>
        <v>0.00953676158912134</v>
      </c>
      <c r="AE344" s="0" t="n">
        <f aca="false">2*$T$5*$U$5*Z344*$X$5/(Y344+Y345)</f>
        <v>1.15921100310606E-005</v>
      </c>
      <c r="AF344" s="0" t="n">
        <f aca="false">AB344*AE344</f>
        <v>-7.16229661869166E-006</v>
      </c>
      <c r="AG344" s="0" t="n">
        <f aca="false">AG343+AF343</f>
        <v>0.00418822799702484</v>
      </c>
      <c r="AH344" s="0" t="n">
        <f aca="false">AC344*AE344</f>
        <v>9.11474202147777E-006</v>
      </c>
      <c r="AI344" s="0" t="n">
        <f aca="false">AI343+AH343</f>
        <v>0.00403707268903961</v>
      </c>
      <c r="AJ344" s="6" t="n">
        <f aca="false">Y344/$P$5</f>
        <v>1.396</v>
      </c>
      <c r="AK344" s="0" t="n">
        <f aca="false">SQRT(AG344^2+AI344^2)</f>
        <v>0.00581714789666312</v>
      </c>
      <c r="AL344" s="0" t="n">
        <f aca="false">$W$5*(Y344/$V$5-Z344)</f>
        <v>0.00617383154712412</v>
      </c>
      <c r="AM344" s="0" t="n">
        <f aca="false">SQRT(AK344^2+AL344^2)</f>
        <v>0.00848265321841682</v>
      </c>
      <c r="AN344" s="2" t="n">
        <f aca="false">Y344</f>
        <v>1396</v>
      </c>
      <c r="AO344" s="0" t="n">
        <f aca="false">AM344/Z344</f>
        <v>0.00692684616291859</v>
      </c>
    </row>
    <row r="345" customFormat="false" ht="12.75" hidden="false" customHeight="false" outlineLevel="0" collapsed="false">
      <c r="Y345" s="0" t="n">
        <f aca="false">Y344+$X$5</f>
        <v>1400</v>
      </c>
      <c r="Z345" s="0" t="n">
        <f aca="false">(Y345/$V$5)^$O$5</f>
        <v>1.22480526301781</v>
      </c>
      <c r="AA345" s="0" t="n">
        <f aca="false">$Q$5*(Y345-$V$5)</f>
        <v>8.54513201776424</v>
      </c>
      <c r="AB345" s="0" t="n">
        <f aca="false">COS(AA345)</f>
        <v>-0.637423989748689</v>
      </c>
      <c r="AC345" s="0" t="n">
        <f aca="false">SIN(AA345)</f>
        <v>0.77051324277579</v>
      </c>
      <c r="AD345" s="0" t="n">
        <f aca="false">$T$5*(Z345-1)</f>
        <v>0.00954524777302569</v>
      </c>
      <c r="AE345" s="0" t="n">
        <f aca="false">2*$T$5*$U$5*Z345*$X$5/(Y345+Y346)</f>
        <v>1.15609234655762E-005</v>
      </c>
      <c r="AF345" s="0" t="n">
        <f aca="false">AB345*AE345</f>
        <v>-7.36920996060684E-006</v>
      </c>
      <c r="AG345" s="0" t="n">
        <f aca="false">AG344+AF344</f>
        <v>0.00418106570040614</v>
      </c>
      <c r="AH345" s="0" t="n">
        <f aca="false">AC345*AE345</f>
        <v>8.90784462894386E-006</v>
      </c>
      <c r="AI345" s="0" t="n">
        <f aca="false">AI344+AH344</f>
        <v>0.00404618743106109</v>
      </c>
      <c r="AJ345" s="6" t="n">
        <f aca="false">Y345/$P$5</f>
        <v>1.4</v>
      </c>
      <c r="AK345" s="0" t="n">
        <f aca="false">SQRT(AG345^2+AI345^2)</f>
        <v>0.0058183282064859</v>
      </c>
      <c r="AL345" s="0" t="n">
        <f aca="false">$W$5*(Y345/$V$5-Z345)</f>
        <v>0.00619212826624252</v>
      </c>
      <c r="AM345" s="0" t="n">
        <f aca="false">SQRT(AK345^2+AL345^2)</f>
        <v>0.00849678736841102</v>
      </c>
      <c r="AN345" s="2" t="n">
        <f aca="false">Y345</f>
        <v>1400</v>
      </c>
      <c r="AO345" s="0" t="n">
        <f aca="false">AM345/Z345</f>
        <v>0.00693725576217375</v>
      </c>
    </row>
    <row r="346" customFormat="false" ht="12.75" hidden="false" customHeight="false" outlineLevel="0" collapsed="false">
      <c r="Y346" s="0" t="n">
        <f aca="false">Y345+$X$5</f>
        <v>1404</v>
      </c>
      <c r="Z346" s="0" t="n">
        <f aca="false">(Y346/$V$5)^$O$5</f>
        <v>1.22500458795504</v>
      </c>
      <c r="AA346" s="0" t="n">
        <f aca="false">$Q$5*(Y346-$V$5)</f>
        <v>8.57026475899296</v>
      </c>
      <c r="AB346" s="0" t="n">
        <f aca="false">COS(AA346)</f>
        <v>-0.656585755752956</v>
      </c>
      <c r="AC346" s="0" t="n">
        <f aca="false">SIN(AA346)</f>
        <v>0.754251380736104</v>
      </c>
      <c r="AD346" s="0" t="n">
        <f aca="false">$T$5*(Z346-1)</f>
        <v>0.00955371112431796</v>
      </c>
      <c r="AE346" s="0" t="n">
        <f aca="false">2*$T$5*$U$5*Z346*$X$5/(Y346+Y347)</f>
        <v>1.1529909287233E-005</v>
      </c>
      <c r="AF346" s="0" t="n">
        <f aca="false">AB346*AE346</f>
        <v>-7.57037420312088E-006</v>
      </c>
      <c r="AG346" s="0" t="n">
        <f aca="false">AG345+AF345</f>
        <v>0.00417369649044554</v>
      </c>
      <c r="AH346" s="0" t="n">
        <f aca="false">AC346*AE346</f>
        <v>8.69644999965749E-006</v>
      </c>
      <c r="AI346" s="0" t="n">
        <f aca="false">AI345+AH345</f>
        <v>0.00405509527569003</v>
      </c>
      <c r="AJ346" s="6" t="n">
        <f aca="false">Y346/$P$5</f>
        <v>1.404</v>
      </c>
      <c r="AK346" s="0" t="n">
        <f aca="false">SQRT(AG346^2+AI346^2)</f>
        <v>0.00581923878950512</v>
      </c>
      <c r="AL346" s="0" t="n">
        <f aca="false">$W$5*(Y346/$V$5-Z346)</f>
        <v>0.00621042508394731</v>
      </c>
      <c r="AM346" s="0" t="n">
        <f aca="false">SQRT(AK346^2+AL346^2)</f>
        <v>0.00851075318715112</v>
      </c>
      <c r="AN346" s="2" t="n">
        <f aca="false">Y346</f>
        <v>1404</v>
      </c>
      <c r="AO346" s="0" t="n">
        <f aca="false">AM346/Z346</f>
        <v>0.00694752760180148</v>
      </c>
    </row>
    <row r="347" customFormat="false" ht="12.75" hidden="false" customHeight="false" outlineLevel="0" collapsed="false">
      <c r="Y347" s="0" t="n">
        <f aca="false">Y346+$X$5</f>
        <v>1408</v>
      </c>
      <c r="Z347" s="0" t="n">
        <f aca="false">(Y347/$V$5)^$O$5</f>
        <v>1.22520337812185</v>
      </c>
      <c r="AA347" s="0" t="n">
        <f aca="false">$Q$5*(Y347-$V$5)</f>
        <v>8.59539750022167</v>
      </c>
      <c r="AB347" s="0" t="n">
        <f aca="false">COS(AA347)</f>
        <v>-0.675332808121024</v>
      </c>
      <c r="AC347" s="0" t="n">
        <f aca="false">SIN(AA347)</f>
        <v>0.737513117358174</v>
      </c>
      <c r="AD347" s="0" t="n">
        <f aca="false">$T$5*(Z347-1)</f>
        <v>0.00956215176921902</v>
      </c>
      <c r="AE347" s="0" t="n">
        <f aca="false">2*$T$5*$U$5*Z347*$X$5/(Y347+Y348)</f>
        <v>1.14990660568062E-005</v>
      </c>
      <c r="AF347" s="0" t="n">
        <f aca="false">AB347*AE347</f>
        <v>-7.76569657091206E-006</v>
      </c>
      <c r="AG347" s="0" t="n">
        <f aca="false">AG346+AF346</f>
        <v>0.00416612611624242</v>
      </c>
      <c r="AH347" s="0" t="n">
        <f aca="false">AC347*AE347</f>
        <v>8.48071205426268E-006</v>
      </c>
      <c r="AI347" s="0" t="n">
        <f aca="false">AI346+AH346</f>
        <v>0.00406379172568969</v>
      </c>
      <c r="AJ347" s="6" t="n">
        <f aca="false">Y347/$P$5</f>
        <v>1.408</v>
      </c>
      <c r="AK347" s="0" t="n">
        <f aca="false">SQRT(AG347^2+AI347^2)</f>
        <v>0.00581988058350179</v>
      </c>
      <c r="AL347" s="0" t="n">
        <f aca="false">$W$5*(Y347/$V$5-Z347)</f>
        <v>0.00622872199969349</v>
      </c>
      <c r="AM347" s="0" t="n">
        <f aca="false">SQRT(AK347^2+AL347^2)</f>
        <v>0.00852455205601366</v>
      </c>
      <c r="AN347" s="2" t="n">
        <f aca="false">Y347</f>
        <v>1408</v>
      </c>
      <c r="AO347" s="0" t="n">
        <f aca="false">AM347/Z347</f>
        <v>0.00695766287314779</v>
      </c>
    </row>
    <row r="348" customFormat="false" ht="12.75" hidden="false" customHeight="false" outlineLevel="0" collapsed="false">
      <c r="Y348" s="0" t="n">
        <f aca="false">Y347+$X$5</f>
        <v>1412</v>
      </c>
      <c r="Z348" s="0" t="n">
        <f aca="false">(Y348/$V$5)^$O$5</f>
        <v>1.22540163646611</v>
      </c>
      <c r="AA348" s="0" t="n">
        <f aca="false">$Q$5*(Y348-$V$5)</f>
        <v>8.62053024145039</v>
      </c>
      <c r="AB348" s="0" t="n">
        <f aca="false">COS(AA348)</f>
        <v>-0.693653305812805</v>
      </c>
      <c r="AC348" s="0" t="n">
        <f aca="false">SIN(AA348)</f>
        <v>0.720309024887907</v>
      </c>
      <c r="AD348" s="0" t="n">
        <f aca="false">$T$5*(Z348-1)</f>
        <v>0.0095705698328959</v>
      </c>
      <c r="AE348" s="0" t="n">
        <f aca="false">2*$T$5*$U$5*Z348*$X$5/(Y348+Y349)</f>
        <v>1.14683923511244E-005</v>
      </c>
      <c r="AF348" s="0" t="n">
        <f aca="false">AB348*AE348</f>
        <v>-7.95508826671576E-006</v>
      </c>
      <c r="AG348" s="0" t="n">
        <f aca="false">AG347+AF347</f>
        <v>0.0041583604196715</v>
      </c>
      <c r="AH348" s="0" t="n">
        <f aca="false">AC348*AE348</f>
        <v>8.26078651147038E-006</v>
      </c>
      <c r="AI348" s="0" t="n">
        <f aca="false">AI347+AH347</f>
        <v>0.00407227243774395</v>
      </c>
      <c r="AJ348" s="6" t="n">
        <f aca="false">Y348/$P$5</f>
        <v>1.412</v>
      </c>
      <c r="AK348" s="0" t="n">
        <f aca="false">SQRT(AG348^2+AI348^2)</f>
        <v>0.00582025464967811</v>
      </c>
      <c r="AL348" s="0" t="n">
        <f aca="false">$W$5*(Y348/$V$5-Z348)</f>
        <v>0.00624701901294061</v>
      </c>
      <c r="AM348" s="0" t="n">
        <f aca="false">SQRT(AK348^2+AL348^2)</f>
        <v>0.00853818544745551</v>
      </c>
      <c r="AN348" s="2" t="n">
        <f aca="false">Y348</f>
        <v>1412</v>
      </c>
      <c r="AO348" s="0" t="n">
        <f aca="false">AM348/Z348</f>
        <v>0.00696766284079601</v>
      </c>
    </row>
    <row r="349" customFormat="false" ht="12.75" hidden="false" customHeight="false" outlineLevel="0" collapsed="false">
      <c r="Y349" s="0" t="n">
        <f aca="false">Y348+$X$5</f>
        <v>1416</v>
      </c>
      <c r="Z349" s="0" t="n">
        <f aca="false">(Y349/$V$5)^$O$5</f>
        <v>1.22559936591114</v>
      </c>
      <c r="AA349" s="0" t="n">
        <f aca="false">$Q$5*(Y349-$V$5)</f>
        <v>8.64566298267911</v>
      </c>
      <c r="AB349" s="0" t="n">
        <f aca="false">COS(AA349)</f>
        <v>-0.711535677209286</v>
      </c>
      <c r="AC349" s="0" t="n">
        <f aca="false">SIN(AA349)</f>
        <v>0.702649969798849</v>
      </c>
      <c r="AD349" s="0" t="n">
        <f aca="false">$T$5*(Z349-1)</f>
        <v>0.00957896543947344</v>
      </c>
      <c r="AE349" s="0" t="n">
        <f aca="false">2*$T$5*$U$5*Z349*$X$5/(Y349+Y350)</f>
        <v>1.14378867628457E-005</v>
      </c>
      <c r="AF349" s="0" t="n">
        <f aca="false">AB349*AE349</f>
        <v>-8.13846450364451E-006</v>
      </c>
      <c r="AG349" s="0" t="n">
        <f aca="false">AG348+AF348</f>
        <v>0.00415040533140479</v>
      </c>
      <c r="AH349" s="0" t="n">
        <f aca="false">AC349*AE349</f>
        <v>8.03683078847616E-006</v>
      </c>
      <c r="AI349" s="0" t="n">
        <f aca="false">AI348+AH348</f>
        <v>0.00408053322425542</v>
      </c>
      <c r="AJ349" s="6" t="n">
        <f aca="false">Y349/$P$5</f>
        <v>1.416</v>
      </c>
      <c r="AK349" s="0" t="n">
        <f aca="false">SQRT(AG349^2+AI349^2)</f>
        <v>0.00582036217165269</v>
      </c>
      <c r="AL349" s="0" t="n">
        <f aca="false">$W$5*(Y349/$V$5-Z349)</f>
        <v>0.00626531612315274</v>
      </c>
      <c r="AM349" s="0" t="n">
        <f aca="false">SQRT(AK349^2+AL349^2)</f>
        <v>0.00855165492359481</v>
      </c>
      <c r="AN349" s="2" t="n">
        <f aca="false">Y349</f>
        <v>1416</v>
      </c>
      <c r="AO349" s="0" t="n">
        <f aca="false">AM349/Z349</f>
        <v>0.0069775288413578</v>
      </c>
    </row>
    <row r="350" customFormat="false" ht="12.75" hidden="false" customHeight="false" outlineLevel="0" collapsed="false">
      <c r="Y350" s="0" t="n">
        <f aca="false">Y349+$X$5</f>
        <v>1420</v>
      </c>
      <c r="Z350" s="0" t="n">
        <f aca="false">(Y350/$V$5)^$O$5</f>
        <v>1.22579656935601</v>
      </c>
      <c r="AA350" s="0" t="n">
        <f aca="false">$Q$5*(Y350-$V$5)</f>
        <v>8.67079572390783</v>
      </c>
      <c r="AB350" s="0" t="n">
        <f aca="false">COS(AA350)</f>
        <v>-0.728968627421412</v>
      </c>
      <c r="AC350" s="0" t="n">
        <f aca="false">SIN(AA350)</f>
        <v>0.684547105928688</v>
      </c>
      <c r="AD350" s="0" t="n">
        <f aca="false">$T$5*(Z350-1)</f>
        <v>0.00958733871204602</v>
      </c>
      <c r="AE350" s="0" t="n">
        <f aca="false">2*$T$5*$U$5*Z350*$X$5/(Y350+Y351)</f>
        <v>1.14075479002369E-005</v>
      </c>
      <c r="AF350" s="0" t="n">
        <f aca="false">AB350*AE350</f>
        <v>-8.31574453507968E-006</v>
      </c>
      <c r="AG350" s="0" t="n">
        <f aca="false">AG349+AF349</f>
        <v>0.00414226686690114</v>
      </c>
      <c r="AH350" s="0" t="n">
        <f aca="false">AC350*AE350</f>
        <v>7.80900390085004E-006</v>
      </c>
      <c r="AI350" s="0" t="n">
        <f aca="false">AI349+AH349</f>
        <v>0.0040885700550439</v>
      </c>
      <c r="AJ350" s="6" t="n">
        <f aca="false">Y350/$P$5</f>
        <v>1.42</v>
      </c>
      <c r="AK350" s="0" t="n">
        <f aca="false">SQRT(AG350^2+AI350^2)</f>
        <v>0.0058202044544525</v>
      </c>
      <c r="AL350" s="0" t="n">
        <f aca="false">$W$5*(Y350/$V$5-Z350)</f>
        <v>0.00628361332979837</v>
      </c>
      <c r="AM350" s="0" t="n">
        <f aca="false">SQRT(AK350^2+AL350^2)</f>
        <v>0.00856496213477027</v>
      </c>
      <c r="AN350" s="2" t="n">
        <f aca="false">Y350</f>
        <v>1420</v>
      </c>
      <c r="AO350" s="0" t="n">
        <f aca="false">AM350/Z350</f>
        <v>0.00698726228224801</v>
      </c>
    </row>
    <row r="351" customFormat="false" ht="12.75" hidden="false" customHeight="false" outlineLevel="0" collapsed="false">
      <c r="Y351" s="0" t="n">
        <f aca="false">Y350+$X$5</f>
        <v>1424</v>
      </c>
      <c r="Z351" s="0" t="n">
        <f aca="false">(Y351/$V$5)^$O$5</f>
        <v>1.22599324967578</v>
      </c>
      <c r="AA351" s="0" t="n">
        <f aca="false">$Q$5*(Y351-$V$5)</f>
        <v>8.69592846513655</v>
      </c>
      <c r="AB351" s="0" t="n">
        <f aca="false">COS(AA351)</f>
        <v>-0.745941145424183</v>
      </c>
      <c r="AC351" s="0" t="n">
        <f aca="false">SIN(AA351)</f>
        <v>0.666011867434251</v>
      </c>
      <c r="AD351" s="0" t="n">
        <f aca="false">$T$5*(Z351-1)</f>
        <v>0.00959568977268884</v>
      </c>
      <c r="AE351" s="0" t="n">
        <f aca="false">2*$T$5*$U$5*Z351*$X$5/(Y351+Y352)</f>
        <v>1.13773743869579E-005</v>
      </c>
      <c r="AF351" s="0" t="n">
        <f aca="false">AB351*AE351</f>
        <v>-8.48685168212717E-006</v>
      </c>
      <c r="AG351" s="0" t="n">
        <f aca="false">AG350+AF350</f>
        <v>0.00413395112236606</v>
      </c>
      <c r="AH351" s="0" t="n">
        <f aca="false">AC351*AE351</f>
        <v>7.57746636195648E-006</v>
      </c>
      <c r="AI351" s="0" t="n">
        <f aca="false">AI350+AH350</f>
        <v>0.00409637905894475</v>
      </c>
      <c r="AJ351" s="6" t="n">
        <f aca="false">Y351/$P$5</f>
        <v>1.424</v>
      </c>
      <c r="AK351" s="0" t="n">
        <f aca="false">SQRT(AG351^2+AI351^2)</f>
        <v>0.0058197829235009</v>
      </c>
      <c r="AL351" s="0" t="n">
        <f aca="false">$W$5*(Y351/$V$5-Z351)</f>
        <v>0.00630191063235042</v>
      </c>
      <c r="AM351" s="0" t="n">
        <f aca="false">SQRT(AK351^2+AL351^2)</f>
        <v>0.00857810881807896</v>
      </c>
      <c r="AN351" s="2" t="n">
        <f aca="false">Y351</f>
        <v>1424</v>
      </c>
      <c r="AO351" s="0" t="n">
        <f aca="false">AM351/Z351</f>
        <v>0.00699686464044355</v>
      </c>
    </row>
    <row r="352" customFormat="false" ht="12.75" hidden="false" customHeight="false" outlineLevel="0" collapsed="false">
      <c r="Y352" s="0" t="n">
        <f aca="false">Y351+$X$5</f>
        <v>1428</v>
      </c>
      <c r="Z352" s="0" t="n">
        <f aca="false">(Y352/$V$5)^$O$5</f>
        <v>1.22618940972177</v>
      </c>
      <c r="AA352" s="0" t="n">
        <f aca="false">$Q$5*(Y352-$V$5)</f>
        <v>8.72106120636527</v>
      </c>
      <c r="AB352" s="0" t="n">
        <f aca="false">COS(AA352)</f>
        <v>-0.762442511011448</v>
      </c>
      <c r="AC352" s="0" t="n">
        <f aca="false">SIN(AA352)</f>
        <v>0.647055961569444</v>
      </c>
      <c r="AD352" s="0" t="n">
        <f aca="false">$T$5*(Z352-1)</f>
        <v>0.00960401874246929</v>
      </c>
      <c r="AE352" s="0" t="n">
        <f aca="false">2*$T$5*$U$5*Z352*$X$5/(Y352+Y353)</f>
        <v>1.13473648618487E-005</v>
      </c>
      <c r="AF352" s="0" t="n">
        <f aca="false">AB352*AE352</f>
        <v>-8.65171335863099E-006</v>
      </c>
      <c r="AG352" s="0" t="n">
        <f aca="false">AG351+AF351</f>
        <v>0.00412546427068394</v>
      </c>
      <c r="AH352" s="0" t="n">
        <f aca="false">AC352*AE352</f>
        <v>7.34238008196282E-006</v>
      </c>
      <c r="AI352" s="0" t="n">
        <f aca="false">AI351+AH351</f>
        <v>0.00410395652530671</v>
      </c>
      <c r="AJ352" s="6" t="n">
        <f aca="false">Y352/$P$5</f>
        <v>1.428</v>
      </c>
      <c r="AK352" s="0" t="n">
        <f aca="false">SQRT(AG352^2+AI352^2)</f>
        <v>0.00581909912360128</v>
      </c>
      <c r="AL352" s="0" t="n">
        <f aca="false">$W$5*(Y352/$V$5-Z352)</f>
        <v>0.00632020803028613</v>
      </c>
      <c r="AM352" s="0" t="n">
        <f aca="false">SQRT(AK352^2+AL352^2)</f>
        <v>0.00859109679589228</v>
      </c>
      <c r="AN352" s="2" t="n">
        <f aca="false">Y352</f>
        <v>1428</v>
      </c>
      <c r="AO352" s="0" t="n">
        <f aca="false">AM352/Z352</f>
        <v>0.00700633746122601</v>
      </c>
    </row>
    <row r="353" customFormat="false" ht="12.75" hidden="false" customHeight="false" outlineLevel="0" collapsed="false">
      <c r="Y353" s="0" t="n">
        <f aca="false">Y352+$X$5</f>
        <v>1432</v>
      </c>
      <c r="Z353" s="0" t="n">
        <f aca="false">(Y353/$V$5)^$O$5</f>
        <v>1.22638505232184</v>
      </c>
      <c r="AA353" s="0" t="n">
        <f aca="false">$Q$5*(Y353-$V$5)</f>
        <v>8.74619394759399</v>
      </c>
      <c r="AB353" s="0" t="n">
        <f aca="false">COS(AA353)</f>
        <v>-0.778462301567024</v>
      </c>
      <c r="AC353" s="0" t="n">
        <f aca="false">SIN(AA353)</f>
        <v>0.6276913612907</v>
      </c>
      <c r="AD353" s="0" t="n">
        <f aca="false">$T$5*(Z353-1)</f>
        <v>0.00961232574145808</v>
      </c>
      <c r="AE353" s="0" t="n">
        <f aca="false">2*$T$5*$U$5*Z353*$X$5/(Y353+Y354)</f>
        <v>1.13175179787196E-005</v>
      </c>
      <c r="AF353" s="0" t="n">
        <f aca="false">AB353*AE353</f>
        <v>-8.8102610937402E-006</v>
      </c>
      <c r="AG353" s="0" t="n">
        <f aca="false">AG352+AF352</f>
        <v>0.00411681255732531</v>
      </c>
      <c r="AH353" s="0" t="n">
        <f aca="false">AC353*AE353</f>
        <v>7.10390826649445E-006</v>
      </c>
      <c r="AI353" s="0" t="n">
        <f aca="false">AI352+AH352</f>
        <v>0.00411129890538867</v>
      </c>
      <c r="AJ353" s="6" t="n">
        <f aca="false">Y353/$P$5</f>
        <v>1.432</v>
      </c>
      <c r="AK353" s="0" t="n">
        <f aca="false">SQRT(AG353^2+AI353^2)</f>
        <v>0.00581815471791541</v>
      </c>
      <c r="AL353" s="0" t="n">
        <f aca="false">$W$5*(Y353/$V$5-Z353)</f>
        <v>0.00633850552308707</v>
      </c>
      <c r="AM353" s="0" t="n">
        <f aca="false">SQRT(AK353^2+AL353^2)</f>
        <v>0.00860392797435024</v>
      </c>
      <c r="AN353" s="2" t="n">
        <f aca="false">Y353</f>
        <v>1432</v>
      </c>
      <c r="AO353" s="0" t="n">
        <f aca="false">AM353/Z353</f>
        <v>0.00701568235690819</v>
      </c>
    </row>
    <row r="354" customFormat="false" ht="12.75" hidden="false" customHeight="false" outlineLevel="0" collapsed="false">
      <c r="Y354" s="0" t="n">
        <f aca="false">Y353+$X$5</f>
        <v>1436</v>
      </c>
      <c r="Z354" s="0" t="n">
        <f aca="false">(Y354/$V$5)^$O$5</f>
        <v>1.2265801802806</v>
      </c>
      <c r="AA354" s="0" t="n">
        <f aca="false">$Q$5*(Y354-$V$5)</f>
        <v>8.7713266888227</v>
      </c>
      <c r="AB354" s="0" t="n">
        <f aca="false">COS(AA354)</f>
        <v>-0.793990398647835</v>
      </c>
      <c r="AC354" s="0" t="n">
        <f aca="false">SIN(AA354)</f>
        <v>0.607930297694606</v>
      </c>
      <c r="AD354" s="0" t="n">
        <f aca="false">$T$5*(Z354-1)</f>
        <v>0.00962061088874011</v>
      </c>
      <c r="AE354" s="0" t="n">
        <f aca="false">2*$T$5*$U$5*Z354*$X$5/(Y354+Y355)</f>
        <v>1.12878324061458E-005</v>
      </c>
      <c r="AF354" s="0" t="n">
        <f aca="false">AB354*AE354</f>
        <v>-8.96243055202567E-006</v>
      </c>
      <c r="AG354" s="0" t="n">
        <f aca="false">AG353+AF353</f>
        <v>0.00410800229623157</v>
      </c>
      <c r="AH354" s="0" t="n">
        <f aca="false">AC354*AE354</f>
        <v>6.86221531499505E-006</v>
      </c>
      <c r="AI354" s="0" t="n">
        <f aca="false">AI353+AH353</f>
        <v>0.00411840281365516</v>
      </c>
      <c r="AJ354" s="6" t="n">
        <f aca="false">Y354/$P$5</f>
        <v>1.436</v>
      </c>
      <c r="AK354" s="0" t="n">
        <f aca="false">SQRT(AG354^2+AI354^2)</f>
        <v>0.00581695148693597</v>
      </c>
      <c r="AL354" s="0" t="n">
        <f aca="false">$W$5*(Y354/$V$5-Z354)</f>
        <v>0.00635680311023906</v>
      </c>
      <c r="AM354" s="0" t="n">
        <f aca="false">SQRT(AK354^2+AL354^2)</f>
        <v>0.00861660434183394</v>
      </c>
      <c r="AN354" s="2" t="n">
        <f aca="false">Y354</f>
        <v>1436</v>
      </c>
      <c r="AO354" s="0" t="n">
        <f aca="false">AM354/Z354</f>
        <v>0.00702490100554431</v>
      </c>
    </row>
    <row r="355" customFormat="false" ht="12.75" hidden="false" customHeight="false" outlineLevel="0" collapsed="false">
      <c r="Y355" s="0" t="n">
        <f aca="false">Y354+$X$5</f>
        <v>1440</v>
      </c>
      <c r="Z355" s="0" t="n">
        <f aca="false">(Y355/$V$5)^$O$5</f>
        <v>1.22677479637975</v>
      </c>
      <c r="AA355" s="0" t="n">
        <f aca="false">$Q$5*(Y355-$V$5)</f>
        <v>8.79645943005142</v>
      </c>
      <c r="AB355" s="0" t="n">
        <f aca="false">COS(AA355)</f>
        <v>-0.809016994374947</v>
      </c>
      <c r="AC355" s="0" t="n">
        <f aca="false">SIN(AA355)</f>
        <v>0.587785252292473</v>
      </c>
      <c r="AD355" s="0" t="n">
        <f aca="false">$T$5*(Z355-1)</f>
        <v>0.00962887430242538</v>
      </c>
      <c r="AE355" s="0" t="n">
        <f aca="false">2*$T$5*$U$5*Z355*$X$5/(Y355+Y356)</f>
        <v>1.12583068272651E-005</v>
      </c>
      <c r="AF355" s="0" t="n">
        <f aca="false">AB355*AE355</f>
        <v>-9.10816155114499E-006</v>
      </c>
      <c r="AG355" s="0" t="n">
        <f aca="false">AG354+AF354</f>
        <v>0.00409903986567954</v>
      </c>
      <c r="AH355" s="0" t="n">
        <f aca="false">AC355*AE355</f>
        <v>6.61746671885011E-006</v>
      </c>
      <c r="AI355" s="0" t="n">
        <f aca="false">AI354+AH354</f>
        <v>0.00412526502897016</v>
      </c>
      <c r="AJ355" s="6" t="n">
        <f aca="false">Y355/$P$5</f>
        <v>1.44</v>
      </c>
      <c r="AK355" s="0" t="n">
        <f aca="false">SQRT(AG355^2+AI355^2)</f>
        <v>0.00581549132745242</v>
      </c>
      <c r="AL355" s="0" t="n">
        <f aca="false">$W$5*(Y355/$V$5-Z355)</f>
        <v>0.00637510079123211</v>
      </c>
      <c r="AM355" s="0" t="n">
        <f aca="false">SQRT(AK355^2+AL355^2)</f>
        <v>0.0086291279674161</v>
      </c>
      <c r="AN355" s="2" t="n">
        <f aca="false">Y355</f>
        <v>1440</v>
      </c>
      <c r="AO355" s="0" t="n">
        <f aca="false">AM355/Z355</f>
        <v>0.00703399514962398</v>
      </c>
    </row>
    <row r="356" customFormat="false" ht="12.75" hidden="false" customHeight="false" outlineLevel="0" collapsed="false">
      <c r="Y356" s="0" t="n">
        <f aca="false">Y355+$X$5</f>
        <v>1444</v>
      </c>
      <c r="Z356" s="0" t="n">
        <f aca="false">(Y356/$V$5)^$O$5</f>
        <v>1.22696890337823</v>
      </c>
      <c r="AA356" s="0" t="n">
        <f aca="false">$Q$5*(Y356-$V$5)</f>
        <v>8.82159217128014</v>
      </c>
      <c r="AB356" s="0" t="n">
        <f aca="false">COS(AA356)</f>
        <v>-0.823532597628427</v>
      </c>
      <c r="AC356" s="0" t="n">
        <f aca="false">SIN(AA356)</f>
        <v>0.567268949126757</v>
      </c>
      <c r="AD356" s="0" t="n">
        <f aca="false">$T$5*(Z356-1)</f>
        <v>0.00963711609965957</v>
      </c>
      <c r="AE356" s="0" t="n">
        <f aca="false">2*$T$5*$U$5*Z356*$X$5/(Y356+Y357)</f>
        <v>1.12289399395784E-005</v>
      </c>
      <c r="AF356" s="0" t="n">
        <f aca="false">AB356*AE356</f>
        <v>-9.24739807705459E-006</v>
      </c>
      <c r="AG356" s="0" t="n">
        <f aca="false">AG355+AF355</f>
        <v>0.0040899317041284</v>
      </c>
      <c r="AH356" s="0" t="n">
        <f aca="false">AC356*AE356</f>
        <v>6.3698289593321E-006</v>
      </c>
      <c r="AI356" s="0" t="n">
        <f aca="false">AI355+AH355</f>
        <v>0.00413188249568901</v>
      </c>
      <c r="AJ356" s="6" t="n">
        <f aca="false">Y356/$P$5</f>
        <v>1.444</v>
      </c>
      <c r="AK356" s="0" t="n">
        <f aca="false">SQRT(AG356^2+AI356^2)</f>
        <v>0.0058137762515095</v>
      </c>
      <c r="AL356" s="0" t="n">
        <f aca="false">$W$5*(Y356/$V$5-Z356)</f>
        <v>0.00639339856556043</v>
      </c>
      <c r="AM356" s="0" t="n">
        <f aca="false">SQRT(AK356^2+AL356^2)</f>
        <v>0.00864150099928977</v>
      </c>
      <c r="AN356" s="2" t="n">
        <f aca="false">Y356</f>
        <v>1444</v>
      </c>
      <c r="AO356" s="0" t="n">
        <f aca="false">AM356/Z356</f>
        <v>0.00704296659474989</v>
      </c>
    </row>
    <row r="357" customFormat="false" ht="12.75" hidden="false" customHeight="false" outlineLevel="0" collapsed="false">
      <c r="Y357" s="0" t="n">
        <f aca="false">Y356+$X$5</f>
        <v>1448</v>
      </c>
      <c r="Z357" s="0" t="n">
        <f aca="false">(Y357/$V$5)^$O$5</f>
        <v>1.22716250401255</v>
      </c>
      <c r="AA357" s="0" t="n">
        <f aca="false">$Q$5*(Y357-$V$5)</f>
        <v>8.84672491250886</v>
      </c>
      <c r="AB357" s="0" t="n">
        <f aca="false">COS(AA357)</f>
        <v>-0.837528040042142</v>
      </c>
      <c r="AC357" s="0" t="n">
        <f aca="false">SIN(AA357)</f>
        <v>0.546394346734269</v>
      </c>
      <c r="AD357" s="0" t="n">
        <f aca="false">$T$5*(Z357-1)</f>
        <v>0.00964533639663466</v>
      </c>
      <c r="AE357" s="0" t="n">
        <f aca="false">2*$T$5*$U$5*Z357*$X$5/(Y357+Y358)</f>
        <v>1.11997304547539E-005</v>
      </c>
      <c r="AF357" s="0" t="n">
        <f aca="false">AB357*AE357</f>
        <v>-9.38008829677031E-006</v>
      </c>
      <c r="AG357" s="0" t="n">
        <f aca="false">AG356+AF356</f>
        <v>0.00408068430605134</v>
      </c>
      <c r="AH357" s="0" t="n">
        <f aca="false">AC357*AE357</f>
        <v>6.11946940542515E-006</v>
      </c>
      <c r="AI357" s="0" t="n">
        <f aca="false">AI356+AH356</f>
        <v>0.00413825232464834</v>
      </c>
      <c r="AJ357" s="6" t="n">
        <f aca="false">Y357/$P$5</f>
        <v>1.448</v>
      </c>
      <c r="AK357" s="0" t="n">
        <f aca="false">SQRT(AG357^2+AI357^2)</f>
        <v>0.00581180838535744</v>
      </c>
      <c r="AL357" s="0" t="n">
        <f aca="false">$W$5*(Y357/$V$5-Z357)</f>
        <v>0.00641169643272232</v>
      </c>
      <c r="AM357" s="0" t="n">
        <f aca="false">SQRT(AK357^2+AL357^2)</f>
        <v>0.00865372566317509</v>
      </c>
      <c r="AN357" s="2" t="n">
        <f aca="false">Y357</f>
        <v>1448</v>
      </c>
      <c r="AO357" s="0" t="n">
        <f aca="false">AM357/Z357</f>
        <v>0.00705181720829911</v>
      </c>
    </row>
    <row r="358" customFormat="false" ht="12.75" hidden="false" customHeight="false" outlineLevel="0" collapsed="false">
      <c r="Y358" s="0" t="n">
        <f aca="false">Y357+$X$5</f>
        <v>1452</v>
      </c>
      <c r="Z358" s="0" t="n">
        <f aca="false">(Y358/$V$5)^$O$5</f>
        <v>1.22735560099698</v>
      </c>
      <c r="AA358" s="0" t="n">
        <f aca="false">$Q$5*(Y358-$V$5)</f>
        <v>8.87185765373758</v>
      </c>
      <c r="AB358" s="0" t="n">
        <f aca="false">COS(AA358)</f>
        <v>-0.850994481794692</v>
      </c>
      <c r="AC358" s="0" t="n">
        <f aca="false">SIN(AA358)</f>
        <v>0.525174629961296</v>
      </c>
      <c r="AD358" s="0" t="n">
        <f aca="false">$T$5*(Z358-1)</f>
        <v>0.0096535353085992</v>
      </c>
      <c r="AE358" s="0" t="n">
        <f aca="false">2*$T$5*$U$5*Z358*$X$5/(Y358+Y359)</f>
        <v>1.11706770984347E-005</v>
      </c>
      <c r="AF358" s="0" t="n">
        <f aca="false">AB358*AE358</f>
        <v>-9.50618456867825E-006</v>
      </c>
      <c r="AG358" s="0" t="n">
        <f aca="false">AG357+AF357</f>
        <v>0.00407130421775457</v>
      </c>
      <c r="AH358" s="0" t="n">
        <f aca="false">AC358*AE358</f>
        <v>5.86655621158755E-006</v>
      </c>
      <c r="AI358" s="0" t="n">
        <f aca="false">AI357+AH357</f>
        <v>0.00414437179405376</v>
      </c>
      <c r="AJ358" s="6" t="n">
        <f aca="false">Y358/$P$5</f>
        <v>1.452</v>
      </c>
      <c r="AK358" s="0" t="n">
        <f aca="false">SQRT(AG358^2+AI358^2)</f>
        <v>0.00580958996839317</v>
      </c>
      <c r="AL358" s="0" t="n">
        <f aca="false">$W$5*(Y358/$V$5-Z358)</f>
        <v>0.00642999439222015</v>
      </c>
      <c r="AM358" s="0" t="n">
        <f aca="false">SQRT(AK358^2+AL358^2)</f>
        <v>0.00866580426070409</v>
      </c>
      <c r="AN358" s="2" t="n">
        <f aca="false">Y358</f>
        <v>1452</v>
      </c>
      <c r="AO358" s="0" t="n">
        <f aca="false">AM358/Z358</f>
        <v>0.00706054891806814</v>
      </c>
    </row>
    <row r="359" customFormat="false" ht="12.75" hidden="false" customHeight="false" outlineLevel="0" collapsed="false">
      <c r="Y359" s="0" t="n">
        <f aca="false">Y358+$X$5</f>
        <v>1456</v>
      </c>
      <c r="Z359" s="0" t="n">
        <f aca="false">(Y359/$V$5)^$O$5</f>
        <v>1.22754819702383</v>
      </c>
      <c r="AA359" s="0" t="n">
        <f aca="false">$Q$5*(Y359-$V$5)</f>
        <v>8.8969903949663</v>
      </c>
      <c r="AB359" s="0" t="n">
        <f aca="false">COS(AA359)</f>
        <v>-0.863923417192836</v>
      </c>
      <c r="AC359" s="0" t="n">
        <f aca="false">SIN(AA359)</f>
        <v>0.50362320163576</v>
      </c>
      <c r="AD359" s="0" t="n">
        <f aca="false">$T$5*(Z359-1)</f>
        <v>0.0096617129498686</v>
      </c>
      <c r="AE359" s="0" t="n">
        <f aca="false">2*$T$5*$U$5*Z359*$X$5/(Y359+Y360)</f>
        <v>1.1141778610049E-005</v>
      </c>
      <c r="AF359" s="0" t="n">
        <f aca="false">AB359*AE359</f>
        <v>-9.62564345039959E-006</v>
      </c>
      <c r="AG359" s="0" t="n">
        <f aca="false">AG358+AF358</f>
        <v>0.00406179803318589</v>
      </c>
      <c r="AH359" s="0" t="n">
        <f aca="false">AC359*AE359</f>
        <v>5.61125821550972E-006</v>
      </c>
      <c r="AI359" s="0" t="n">
        <f aca="false">AI358+AH358</f>
        <v>0.00415023835026535</v>
      </c>
      <c r="AJ359" s="6" t="n">
        <f aca="false">Y359/$P$5</f>
        <v>1.456</v>
      </c>
      <c r="AK359" s="0" t="n">
        <f aca="false">SQRT(AG359^2+AI359^2)</f>
        <v>0.00580712335209147</v>
      </c>
      <c r="AL359" s="0" t="n">
        <f aca="false">$W$5*(Y359/$V$5-Z359)</f>
        <v>0.00644829244356035</v>
      </c>
      <c r="AM359" s="0" t="n">
        <f aca="false">SQRT(AK359^2+AL359^2)</f>
        <v>0.00867773916778348</v>
      </c>
      <c r="AN359" s="2" t="n">
        <f aca="false">Y359</f>
        <v>1456</v>
      </c>
      <c r="AO359" s="0" t="n">
        <f aca="false">AM359/Z359</f>
        <v>0.00706916371090152</v>
      </c>
    </row>
    <row r="360" customFormat="false" ht="12.75" hidden="false" customHeight="false" outlineLevel="0" collapsed="false">
      <c r="Y360" s="0" t="n">
        <f aca="false">Y359+$X$5</f>
        <v>1460</v>
      </c>
      <c r="Z360" s="0" t="n">
        <f aca="false">(Y360/$V$5)^$O$5</f>
        <v>1.22774029476368</v>
      </c>
      <c r="AA360" s="0" t="n">
        <f aca="false">$Q$5*(Y360-$V$5)</f>
        <v>8.92212313619501</v>
      </c>
      <c r="AB360" s="0" t="n">
        <f aca="false">COS(AA360)</f>
        <v>-0.876306680043864</v>
      </c>
      <c r="AC360" s="0" t="n">
        <f aca="false">SIN(AA360)</f>
        <v>0.481753674101715</v>
      </c>
      <c r="AD360" s="0" t="n">
        <f aca="false">$T$5*(Z360-1)</f>
        <v>0.00966986943383523</v>
      </c>
      <c r="AE360" s="0" t="n">
        <f aca="false">2*$T$5*$U$5*Z360*$X$5/(Y360+Y361)</f>
        <v>1.1113033742624E-005</v>
      </c>
      <c r="AF360" s="0" t="n">
        <f aca="false">AB360*AE360</f>
        <v>-9.73842570421431E-006</v>
      </c>
      <c r="AG360" s="0" t="n">
        <f aca="false">AG359+AF359</f>
        <v>0.00405217238973549</v>
      </c>
      <c r="AH360" s="0" t="n">
        <f aca="false">AC360*AE360</f>
        <v>5.35374483592546E-006</v>
      </c>
      <c r="AI360" s="0" t="n">
        <f aca="false">AI359+AH359</f>
        <v>0.00415584960848086</v>
      </c>
      <c r="AJ360" s="6" t="n">
        <f aca="false">Y360/$P$5</f>
        <v>1.46</v>
      </c>
      <c r="AK360" s="0" t="n">
        <f aca="false">SQRT(AG360^2+AI360^2)</f>
        <v>0.00580441099892532</v>
      </c>
      <c r="AL360" s="0" t="n">
        <f aca="false">$W$5*(Y360/$V$5-Z360)</f>
        <v>0.0064665905862533</v>
      </c>
      <c r="AM360" s="0" t="n">
        <f aca="false">SQRT(AK360^2+AL360^2)</f>
        <v>0.00868953283293555</v>
      </c>
      <c r="AN360" s="2" t="n">
        <f aca="false">Y360</f>
        <v>1460</v>
      </c>
      <c r="AO360" s="0" t="n">
        <f aca="false">AM360/Z360</f>
        <v>0.00707766363130419</v>
      </c>
    </row>
    <row r="361" customFormat="false" ht="12.75" hidden="false" customHeight="false" outlineLevel="0" collapsed="false">
      <c r="Y361" s="0" t="n">
        <f aca="false">Y360+$X$5</f>
        <v>1464</v>
      </c>
      <c r="Z361" s="0" t="n">
        <f aca="false">(Y361/$V$5)^$O$5</f>
        <v>1.22793189686556</v>
      </c>
      <c r="AA361" s="0" t="n">
        <f aca="false">$Q$5*(Y361-$V$5)</f>
        <v>8.94725587742373</v>
      </c>
      <c r="AB361" s="0" t="n">
        <f aca="false">COS(AA361)</f>
        <v>-0.888136448813545</v>
      </c>
      <c r="AC361" s="0" t="n">
        <f aca="false">SIN(AA361)</f>
        <v>0.459579860621487</v>
      </c>
      <c r="AD361" s="0" t="n">
        <f aca="false">$T$5*(Z361-1)</f>
        <v>0.00967800487297835</v>
      </c>
      <c r="AE361" s="0" t="n">
        <f aca="false">2*$T$5*$U$5*Z361*$X$5/(Y361+Y362)</f>
        <v>1.10844412626022E-005</v>
      </c>
      <c r="AF361" s="0" t="n">
        <f aca="false">AB361*AE361</f>
        <v>-9.84449630004987E-006</v>
      </c>
      <c r="AG361" s="0" t="n">
        <f aca="false">AG360+AF360</f>
        <v>0.00404243396403128</v>
      </c>
      <c r="AH361" s="0" t="n">
        <f aca="false">AC361*AE361</f>
        <v>5.09418597053379E-006</v>
      </c>
      <c r="AI361" s="0" t="n">
        <f aca="false">AI360+AH360</f>
        <v>0.00416120335331679</v>
      </c>
      <c r="AJ361" s="6" t="n">
        <f aca="false">Y361/$P$5</f>
        <v>1.464</v>
      </c>
      <c r="AK361" s="0" t="n">
        <f aca="false">SQRT(AG361^2+AI361^2)</f>
        <v>0.00580145548127438</v>
      </c>
      <c r="AL361" s="0" t="n">
        <f aca="false">$W$5*(Y361/$V$5-Z361)</f>
        <v>0.00648488881981335</v>
      </c>
      <c r="AM361" s="0" t="n">
        <f aca="false">SQRT(AK361^2+AL361^2)</f>
        <v>0.00870118777561711</v>
      </c>
      <c r="AN361" s="2" t="n">
        <f aca="false">Y361</f>
        <v>1464</v>
      </c>
      <c r="AO361" s="0" t="n">
        <f aca="false">AM361/Z361</f>
        <v>0.00708605078003748</v>
      </c>
    </row>
    <row r="362" customFormat="false" ht="12.75" hidden="false" customHeight="false" outlineLevel="0" collapsed="false">
      <c r="Y362" s="0" t="n">
        <f aca="false">Y361+$X$5</f>
        <v>1468</v>
      </c>
      <c r="Z362" s="0" t="n">
        <f aca="false">(Y362/$V$5)^$O$5</f>
        <v>1.22812300595728</v>
      </c>
      <c r="AA362" s="0" t="n">
        <f aca="false">$Q$5*(Y362-$V$5)</f>
        <v>8.97238861865245</v>
      </c>
      <c r="AB362" s="0" t="n">
        <f aca="false">COS(AA362)</f>
        <v>-0.899405251566371</v>
      </c>
      <c r="AC362" s="0" t="n">
        <f aca="false">SIN(AA362)</f>
        <v>0.437115766650934</v>
      </c>
      <c r="AD362" s="0" t="n">
        <f aca="false">$T$5*(Z362-1)</f>
        <v>0.00968611937887396</v>
      </c>
      <c r="AE362" s="0" t="n">
        <f aca="false">2*$T$5*$U$5*Z362*$X$5/(Y362+Y363)</f>
        <v>1.1055999949661E-005</v>
      </c>
      <c r="AF362" s="0" t="n">
        <f aca="false">AB362*AE362</f>
        <v>-9.94382441604267E-006</v>
      </c>
      <c r="AG362" s="0" t="n">
        <f aca="false">AG361+AF361</f>
        <v>0.00403258946773123</v>
      </c>
      <c r="AH362" s="0" t="n">
        <f aca="false">AC362*AE362</f>
        <v>4.83275189408877E-006</v>
      </c>
      <c r="AI362" s="0" t="n">
        <f aca="false">AI361+AH361</f>
        <v>0.00416629753928732</v>
      </c>
      <c r="AJ362" s="6" t="n">
        <f aca="false">Y362/$P$5</f>
        <v>1.468</v>
      </c>
      <c r="AK362" s="0" t="n">
        <f aca="false">SQRT(AG362^2+AI362^2)</f>
        <v>0.00579825948032066</v>
      </c>
      <c r="AL362" s="0" t="n">
        <f aca="false">$W$5*(Y362/$V$5-Z362)</f>
        <v>0.00650318714375872</v>
      </c>
      <c r="AM362" s="0" t="n">
        <f aca="false">SQRT(AK362^2+AL362^2)</f>
        <v>0.0087127065845165</v>
      </c>
      <c r="AN362" s="2" t="n">
        <f aca="false">Y362</f>
        <v>1468</v>
      </c>
      <c r="AO362" s="0" t="n">
        <f aca="false">AM362/Z362</f>
        <v>0.00709432731269882</v>
      </c>
    </row>
    <row r="363" customFormat="false" ht="12.75" hidden="false" customHeight="false" outlineLevel="0" collapsed="false">
      <c r="Y363" s="0" t="n">
        <f aca="false">Y362+$X$5</f>
        <v>1472</v>
      </c>
      <c r="Z363" s="0" t="n">
        <f aca="false">(Y363/$V$5)^$O$5</f>
        <v>1.22831362464557</v>
      </c>
      <c r="AA363" s="0" t="n">
        <f aca="false">$Q$5*(Y363-$V$5)</f>
        <v>8.99752135988117</v>
      </c>
      <c r="AB363" s="0" t="n">
        <f aca="false">COS(AA363)</f>
        <v>-0.910105970684996</v>
      </c>
      <c r="AC363" s="0" t="n">
        <f aca="false">SIN(AA363)</f>
        <v>0.414375580993285</v>
      </c>
      <c r="AD363" s="0" t="n">
        <f aca="false">$T$5*(Z363-1)</f>
        <v>0.00969421306220446</v>
      </c>
      <c r="AE363" s="0" t="n">
        <f aca="false">2*$T$5*$U$5*Z363*$X$5/(Y363+Y364)</f>
        <v>1.10277085965354E-005</v>
      </c>
      <c r="AF363" s="0" t="n">
        <f aca="false">AB363*AE363</f>
        <v>-1.00363834366811E-005</v>
      </c>
      <c r="AG363" s="0" t="n">
        <f aca="false">AG362+AF362</f>
        <v>0.00402264564331519</v>
      </c>
      <c r="AH363" s="0" t="n">
        <f aca="false">AC363*AE363</f>
        <v>4.56961315671398E-006</v>
      </c>
      <c r="AI363" s="0" t="n">
        <f aca="false">AI362+AH362</f>
        <v>0.00417113029118141</v>
      </c>
      <c r="AJ363" s="6" t="n">
        <f aca="false">Y363/$P$5</f>
        <v>1.472</v>
      </c>
      <c r="AK363" s="0" t="n">
        <f aca="false">SQRT(AG363^2+AI363^2)</f>
        <v>0.00579482578493036</v>
      </c>
      <c r="AL363" s="0" t="n">
        <f aca="false">$W$5*(Y363/$V$5-Z363)</f>
        <v>0.00652148555761153</v>
      </c>
      <c r="AM363" s="0" t="n">
        <f aca="false">SQRT(AK363^2+AL363^2)</f>
        <v>0.0087240919158288</v>
      </c>
      <c r="AN363" s="2" t="n">
        <f aca="false">Y363</f>
        <v>1472</v>
      </c>
      <c r="AO363" s="0" t="n">
        <f aca="false">AM363/Z363</f>
        <v>0.00710249543828528</v>
      </c>
    </row>
    <row r="364" customFormat="false" ht="12.75" hidden="false" customHeight="false" outlineLevel="0" collapsed="false">
      <c r="Y364" s="0" t="n">
        <f aca="false">Y363+$X$5</f>
        <v>1476</v>
      </c>
      <c r="Z364" s="0" t="n">
        <f aca="false">(Y364/$V$5)^$O$5</f>
        <v>1.22850375551635</v>
      </c>
      <c r="AA364" s="0" t="n">
        <f aca="false">$Q$5*(Y364-$V$5)</f>
        <v>9.02265410110989</v>
      </c>
      <c r="AB364" s="0" t="n">
        <f aca="false">COS(AA364)</f>
        <v>-0.92023184736587</v>
      </c>
      <c r="AC364" s="0" t="n">
        <f aca="false">SIN(AA364)</f>
        <v>0.391373666837203</v>
      </c>
      <c r="AD364" s="0" t="n">
        <f aca="false">$T$5*(Z364-1)</f>
        <v>0.00970228603276824</v>
      </c>
      <c r="AE364" s="0" t="n">
        <f aca="false">2*$T$5*$U$5*Z364*$X$5/(Y364+Y365)</f>
        <v>1.09995660088429E-005</v>
      </c>
      <c r="AF364" s="0" t="n">
        <f aca="false">AB364*AE364</f>
        <v>-1.01221509485403E-005</v>
      </c>
      <c r="AG364" s="0" t="n">
        <f aca="false">AG363+AF363</f>
        <v>0.0040126092598785</v>
      </c>
      <c r="AH364" s="0" t="n">
        <f aca="false">AC364*AE364</f>
        <v>4.3049404824987E-006</v>
      </c>
      <c r="AI364" s="0" t="n">
        <f aca="false">AI363+AH363</f>
        <v>0.00417569990433812</v>
      </c>
      <c r="AJ364" s="6" t="n">
        <f aca="false">Y364/$P$5</f>
        <v>1.476</v>
      </c>
      <c r="AK364" s="0" t="n">
        <f aca="false">SQRT(AG364^2+AI364^2)</f>
        <v>0.00579115729052079</v>
      </c>
      <c r="AL364" s="0" t="n">
        <f aca="false">$W$5*(Y364/$V$5-Z364)</f>
        <v>0.00653978406089768</v>
      </c>
      <c r="AM364" s="0" t="n">
        <f aca="false">SQRT(AK364^2+AL364^2)</f>
        <v>0.00873534649150928</v>
      </c>
      <c r="AN364" s="2" t="n">
        <f aca="false">Y364</f>
        <v>1476</v>
      </c>
      <c r="AO364" s="0" t="n">
        <f aca="false">AM364/Z364</f>
        <v>0.00711055741774084</v>
      </c>
    </row>
    <row r="365" customFormat="false" ht="12.75" hidden="false" customHeight="false" outlineLevel="0" collapsed="false">
      <c r="Y365" s="0" t="n">
        <f aca="false">Y364+$X$5</f>
        <v>1480</v>
      </c>
      <c r="Z365" s="0" t="n">
        <f aca="false">(Y365/$V$5)^$O$5</f>
        <v>1.22869340113495</v>
      </c>
      <c r="AA365" s="0" t="n">
        <f aca="false">$Q$5*(Y365-$V$5)</f>
        <v>9.04778684233861</v>
      </c>
      <c r="AB365" s="0" t="n">
        <f aca="false">COS(AA365)</f>
        <v>-0.929776485888252</v>
      </c>
      <c r="AC365" s="0" t="n">
        <f aca="false">SIN(AA365)</f>
        <v>0.368124552684678</v>
      </c>
      <c r="AD365" s="0" t="n">
        <f aca="false">$T$5*(Z365-1)</f>
        <v>0.00971033839948913</v>
      </c>
      <c r="AE365" s="0" t="n">
        <f aca="false">2*$T$5*$U$5*Z365*$X$5/(Y365+Y366)</f>
        <v>1.09715710049122E-005</v>
      </c>
      <c r="AF365" s="0" t="n">
        <f aca="false">AB365*AE365</f>
        <v>-1.02011087336207E-005</v>
      </c>
      <c r="AG365" s="0" t="n">
        <f aca="false">AG364+AF364</f>
        <v>0.00400248710892996</v>
      </c>
      <c r="AH365" s="0" t="n">
        <f aca="false">AC365*AE365</f>
        <v>4.03890466843148E-006</v>
      </c>
      <c r="AI365" s="0" t="n">
        <f aca="false">AI364+AH364</f>
        <v>0.00418000484482062</v>
      </c>
      <c r="AJ365" s="6" t="n">
        <f aca="false">Y365/$P$5</f>
        <v>1.48</v>
      </c>
      <c r="AK365" s="0" t="n">
        <f aca="false">SQRT(AG365^2+AI365^2)</f>
        <v>0.00578725699791139</v>
      </c>
      <c r="AL365" s="0" t="n">
        <f aca="false">$W$5*(Y365/$V$5-Z365)</f>
        <v>0.00655808265314686</v>
      </c>
      <c r="AM365" s="0" t="n">
        <f aca="false">SQRT(AK365^2+AL365^2)</f>
        <v>0.00874647309750508</v>
      </c>
      <c r="AN365" s="2" t="n">
        <f aca="false">Y365</f>
        <v>1480</v>
      </c>
      <c r="AO365" s="0" t="n">
        <f aca="false">AM365/Z365</f>
        <v>0.00711851556248769</v>
      </c>
    </row>
    <row r="366" customFormat="false" ht="12.75" hidden="false" customHeight="false" outlineLevel="0" collapsed="false">
      <c r="Y366" s="0" t="n">
        <f aca="false">Y365+$X$5</f>
        <v>1484</v>
      </c>
      <c r="Z366" s="0" t="n">
        <f aca="false">(Y366/$V$5)^$O$5</f>
        <v>1.22888256404631</v>
      </c>
      <c r="AA366" s="0" t="n">
        <f aca="false">$Q$5*(Y366-$V$5)</f>
        <v>9.07291958356732</v>
      </c>
      <c r="AB366" s="0" t="n">
        <f aca="false">COS(AA366)</f>
        <v>-0.938733857653874</v>
      </c>
      <c r="AC366" s="0" t="n">
        <f aca="false">SIN(AA366)</f>
        <v>0.344642923174517</v>
      </c>
      <c r="AD366" s="0" t="n">
        <f aca="false">$T$5*(Z366-1)</f>
        <v>0.00971837027042567</v>
      </c>
      <c r="AE366" s="0" t="n">
        <f aca="false">2*$T$5*$U$5*Z366*$X$5/(Y366+Y367)</f>
        <v>1.09437224156135E-005</v>
      </c>
      <c r="AF366" s="0" t="n">
        <f aca="false">AB366*AE366</f>
        <v>-1.0273242760302E-005</v>
      </c>
      <c r="AG366" s="0" t="n">
        <f aca="false">AG365+AF365</f>
        <v>0.00399228600019634</v>
      </c>
      <c r="AH366" s="0" t="n">
        <f aca="false">AC366*AE366</f>
        <v>3.77167648372752E-006</v>
      </c>
      <c r="AI366" s="0" t="n">
        <f aca="false">AI365+AH365</f>
        <v>0.00418404374948905</v>
      </c>
      <c r="AJ366" s="6" t="n">
        <f aca="false">Y366/$P$5</f>
        <v>1.484</v>
      </c>
      <c r="AK366" s="0" t="n">
        <f aca="false">SQRT(AG366^2+AI366^2)</f>
        <v>0.00578312801215762</v>
      </c>
      <c r="AL366" s="0" t="n">
        <f aca="false">$W$5*(Y366/$V$5-Z366)</f>
        <v>0.0065763813338925</v>
      </c>
      <c r="AM366" s="0" t="n">
        <f aca="false">SQRT(AK366^2+AL366^2)</f>
        <v>0.0087574745819655</v>
      </c>
      <c r="AN366" s="2" t="n">
        <f aca="false">Y366</f>
        <v>1484</v>
      </c>
      <c r="AO366" s="0" t="n">
        <f aca="false">AM366/Z366</f>
        <v>0.00712637223294142</v>
      </c>
    </row>
    <row r="367" customFormat="false" ht="12.75" hidden="false" customHeight="false" outlineLevel="0" collapsed="false">
      <c r="Y367" s="0" t="n">
        <f aca="false">Y366+$X$5</f>
        <v>1488</v>
      </c>
      <c r="Z367" s="0" t="n">
        <f aca="false">(Y367/$V$5)^$O$5</f>
        <v>1.22907124677522</v>
      </c>
      <c r="AA367" s="0" t="n">
        <f aca="false">$Q$5*(Y367-$V$5)</f>
        <v>9.09805232479604</v>
      </c>
      <c r="AB367" s="0" t="n">
        <f aca="false">COS(AA367)</f>
        <v>-0.947098304994745</v>
      </c>
      <c r="AC367" s="0" t="n">
        <f aca="false">SIN(AA367)</f>
        <v>0.320943609807209</v>
      </c>
      <c r="AD367" s="0" t="n">
        <f aca="false">$T$5*(Z367-1)</f>
        <v>0.00972638175278029</v>
      </c>
      <c r="AE367" s="0" t="n">
        <f aca="false">2*$T$5*$U$5*Z367*$X$5/(Y367+Y368)</f>
        <v>1.09160190841925E-005</v>
      </c>
      <c r="AF367" s="0" t="n">
        <f aca="false">AB367*AE367</f>
        <v>-1.0338543171929E-005</v>
      </c>
      <c r="AG367" s="0" t="n">
        <f aca="false">AG366+AF366</f>
        <v>0.00398201275743604</v>
      </c>
      <c r="AH367" s="0" t="n">
        <f aca="false">AC367*AE367</f>
        <v>3.50342656960514E-006</v>
      </c>
      <c r="AI367" s="0" t="n">
        <f aca="false">AI366+AH366</f>
        <v>0.00418781542597278</v>
      </c>
      <c r="AJ367" s="6" t="n">
        <f aca="false">Y367/$P$5</f>
        <v>1.488</v>
      </c>
      <c r="AK367" s="0" t="n">
        <f aca="false">SQRT(AG367^2+AI367^2)</f>
        <v>0.00577877354136662</v>
      </c>
      <c r="AL367" s="0" t="n">
        <f aca="false">$W$5*(Y367/$V$5-Z367)</f>
        <v>0.00659468010267172</v>
      </c>
      <c r="AM367" s="0" t="n">
        <f aca="false">SQRT(AK367^2+AL367^2)</f>
        <v>0.00876835385343072</v>
      </c>
      <c r="AN367" s="2" t="n">
        <f aca="false">Y367</f>
        <v>1488</v>
      </c>
      <c r="AO367" s="0" t="n">
        <f aca="false">AM367/Z367</f>
        <v>0.00713412983701045</v>
      </c>
    </row>
    <row r="368" customFormat="false" ht="12.75" hidden="false" customHeight="false" outlineLevel="0" collapsed="false">
      <c r="Y368" s="0" t="n">
        <f aca="false">Y367+$X$5</f>
        <v>1492</v>
      </c>
      <c r="Z368" s="0" t="n">
        <f aca="false">(Y368/$V$5)^$O$5</f>
        <v>1.2292594518265</v>
      </c>
      <c r="AA368" s="0" t="n">
        <f aca="false">$Q$5*(Y368-$V$5)</f>
        <v>9.12318506602476</v>
      </c>
      <c r="AB368" s="0" t="n">
        <f aca="false">COS(AA368)</f>
        <v>-0.954864544746643</v>
      </c>
      <c r="AC368" s="0" t="n">
        <f aca="false">SIN(AA368)</f>
        <v>0.297041581577034</v>
      </c>
      <c r="AD368" s="0" t="n">
        <f aca="false">$T$5*(Z368-1)</f>
        <v>0.00973437295290841</v>
      </c>
      <c r="AE368" s="0" t="n">
        <f aca="false">2*$T$5*$U$5*Z368*$X$5/(Y368+Y369)</f>
        <v>1.08884598661065E-005</v>
      </c>
      <c r="AF368" s="0" t="n">
        <f aca="false">AB368*AE368</f>
        <v>-1.03970042730419E-005</v>
      </c>
      <c r="AG368" s="0" t="n">
        <f aca="false">AG367+AF367</f>
        <v>0.00397167421426411</v>
      </c>
      <c r="AH368" s="0" t="n">
        <f aca="false">AC368*AE368</f>
        <v>3.23432533956634E-006</v>
      </c>
      <c r="AI368" s="0" t="n">
        <f aca="false">AI367+AH367</f>
        <v>0.00419131885254239</v>
      </c>
      <c r="AJ368" s="6" t="n">
        <f aca="false">Y368/$P$5</f>
        <v>1.492</v>
      </c>
      <c r="AK368" s="0" t="n">
        <f aca="false">SQRT(AG368^2+AI368^2)</f>
        <v>0.00577419689549358</v>
      </c>
      <c r="AL368" s="0" t="n">
        <f aca="false">$W$5*(Y368/$V$5-Z368)</f>
        <v>0.00661297895902531</v>
      </c>
      <c r="AM368" s="0" t="n">
        <f aca="false">SQRT(AK368^2+AL368^2)</f>
        <v>0.00877911387899935</v>
      </c>
      <c r="AN368" s="2" t="n">
        <f aca="false">Y368</f>
        <v>1492</v>
      </c>
      <c r="AO368" s="0" t="n">
        <f aca="false">AM368/Z368</f>
        <v>0.00714179082857965</v>
      </c>
    </row>
    <row r="369" customFormat="false" ht="12.75" hidden="false" customHeight="false" outlineLevel="0" collapsed="false">
      <c r="Y369" s="0" t="n">
        <f aca="false">Y368+$X$5</f>
        <v>1496</v>
      </c>
      <c r="Z369" s="0" t="n">
        <f aca="false">(Y369/$V$5)^$O$5</f>
        <v>1.22944718168526</v>
      </c>
      <c r="AA369" s="0" t="n">
        <f aca="false">$Q$5*(Y369-$V$5)</f>
        <v>9.14831780725348</v>
      </c>
      <c r="AB369" s="0" t="n">
        <f aca="false">COS(AA369)</f>
        <v>-0.962027671586086</v>
      </c>
      <c r="AC369" s="0" t="n">
        <f aca="false">SIN(AA369)</f>
        <v>0.272951935517324</v>
      </c>
      <c r="AD369" s="0" t="n">
        <f aca="false">$T$5*(Z369-1)</f>
        <v>0.00974234397632738</v>
      </c>
      <c r="AE369" s="0" t="n">
        <f aca="false">2*$T$5*$U$5*Z369*$X$5/(Y369+Y370)</f>
        <v>1.0861043628863E-005</v>
      </c>
      <c r="AF369" s="0" t="n">
        <f aca="false">AB369*AE369</f>
        <v>-1.044862451327E-005</v>
      </c>
      <c r="AG369" s="0" t="n">
        <f aca="false">AG368+AF368</f>
        <v>0.00396127720999107</v>
      </c>
      <c r="AH369" s="0" t="n">
        <f aca="false">AC369*AE369</f>
        <v>2.96454288023627E-006</v>
      </c>
      <c r="AI369" s="0" t="n">
        <f aca="false">AI368+AH368</f>
        <v>0.00419455317788195</v>
      </c>
      <c r="AJ369" s="6" t="n">
        <f aca="false">Y369/$P$5</f>
        <v>1.496</v>
      </c>
      <c r="AK369" s="0" t="n">
        <f aca="false">SQRT(AG369^2+AI369^2)</f>
        <v>0.00576940148511734</v>
      </c>
      <c r="AL369" s="0" t="n">
        <f aca="false">$W$5*(Y369/$V$5-Z369)</f>
        <v>0.00663127790249765</v>
      </c>
      <c r="AM369" s="0" t="n">
        <f aca="false">SQRT(AK369^2+AL369^2)</f>
        <v>0.00878975768247498</v>
      </c>
      <c r="AN369" s="2" t="n">
        <f aca="false">Y369</f>
        <v>1496</v>
      </c>
      <c r="AO369" s="0" t="n">
        <f aca="false">AM369/Z369</f>
        <v>0.00714935770597844</v>
      </c>
    </row>
    <row r="370" customFormat="false" ht="12.75" hidden="false" customHeight="false" outlineLevel="0" collapsed="false">
      <c r="Y370" s="0" t="n">
        <f aca="false">Y369+$X$5</f>
        <v>1500</v>
      </c>
      <c r="Z370" s="0" t="n">
        <f aca="false">(Y370/$V$5)^$O$5</f>
        <v>1.22963443881705</v>
      </c>
      <c r="AA370" s="0" t="n">
        <f aca="false">$Q$5*(Y370-$V$5)</f>
        <v>9.1734505484822</v>
      </c>
      <c r="AB370" s="0" t="n">
        <f aca="false">COS(AA370)</f>
        <v>-0.968583161128631</v>
      </c>
      <c r="AC370" s="0" t="n">
        <f aca="false">SIN(AA370)</f>
        <v>0.248689887164854</v>
      </c>
      <c r="AD370" s="0" t="n">
        <f aca="false">$T$5*(Z370-1)</f>
        <v>0.00975029492772525</v>
      </c>
      <c r="AE370" s="0" t="n">
        <f aca="false">2*$T$5*$U$5*Z370*$X$5/(Y370+Y371)</f>
        <v>1.08337692518614E-005</v>
      </c>
      <c r="AF370" s="0" t="n">
        <f aca="false">AB370*AE370</f>
        <v>-1.04934064689061E-005</v>
      </c>
      <c r="AG370" s="0" t="n">
        <f aca="false">AG369+AF369</f>
        <v>0.0039508285854778</v>
      </c>
      <c r="AH370" s="0" t="n">
        <f aca="false">AC370*AE370</f>
        <v>2.69424885281549E-006</v>
      </c>
      <c r="AI370" s="0" t="n">
        <f aca="false">AI369+AH369</f>
        <v>0.00419751772076219</v>
      </c>
      <c r="AJ370" s="6" t="n">
        <f aca="false">Y370/$P$5</f>
        <v>1.5</v>
      </c>
      <c r="AK370" s="0" t="n">
        <f aca="false">SQRT(AG370^2+AI370^2)</f>
        <v>0.00576439082019437</v>
      </c>
      <c r="AL370" s="0" t="n">
        <f aca="false">$W$5*(Y370/$V$5-Z370)</f>
        <v>0.00664957693263673</v>
      </c>
      <c r="AM370" s="0" t="n">
        <f aca="false">SQRT(AK370^2+AL370^2)</f>
        <v>0.00880028834249172</v>
      </c>
      <c r="AN370" s="2" t="n">
        <f aca="false">Y370</f>
        <v>1500</v>
      </c>
      <c r="AO370" s="0" t="n">
        <f aca="false">AM370/Z370</f>
        <v>0.00715683301043348</v>
      </c>
    </row>
    <row r="371" customFormat="false" ht="12.75" hidden="false" customHeight="false" outlineLevel="0" collapsed="false">
      <c r="Y371" s="0" t="n">
        <f aca="false">Y370+$X$5</f>
        <v>1504</v>
      </c>
      <c r="Z371" s="0" t="n">
        <f aca="false">(Y371/$V$5)^$O$5</f>
        <v>1.22982122566812</v>
      </c>
      <c r="AA371" s="0" t="n">
        <f aca="false">$Q$5*(Y371-$V$5)</f>
        <v>9.19858328971091</v>
      </c>
      <c r="AB371" s="0" t="n">
        <f aca="false">COS(AA371)</f>
        <v>-0.974526872786577</v>
      </c>
      <c r="AC371" s="0" t="n">
        <f aca="false">SIN(AA371)</f>
        <v>0.224270760949382</v>
      </c>
      <c r="AD371" s="0" t="n">
        <f aca="false">$T$5*(Z371-1)</f>
        <v>0.00975822591096955</v>
      </c>
      <c r="AE371" s="0" t="n">
        <f aca="false">2*$T$5*$U$5*Z371*$X$5/(Y371+Y372)</f>
        <v>1.08066356262368E-005</v>
      </c>
      <c r="AF371" s="0" t="n">
        <f aca="false">AB371*AE371</f>
        <v>-1.05313568221806E-005</v>
      </c>
      <c r="AG371" s="0" t="n">
        <f aca="false">AG370+AF370</f>
        <v>0.0039403351790089</v>
      </c>
      <c r="AH371" s="0" t="n">
        <f aca="false">AC371*AE371</f>
        <v>2.42361239519882E-006</v>
      </c>
      <c r="AI371" s="0" t="n">
        <f aca="false">AI370+AH370</f>
        <v>0.004200211969615</v>
      </c>
      <c r="AJ371" s="6" t="n">
        <f aca="false">Y371/$P$5</f>
        <v>1.504</v>
      </c>
      <c r="AK371" s="0" t="n">
        <f aca="false">SQRT(AG371^2+AI371^2)</f>
        <v>0.00575916850878946</v>
      </c>
      <c r="AL371" s="0" t="n">
        <f aca="false">$W$5*(Y371/$V$5-Z371)</f>
        <v>0.00666787604899408</v>
      </c>
      <c r="AM371" s="0" t="n">
        <f aca="false">SQRT(AK371^2+AL371^2)</f>
        <v>0.00881070899061937</v>
      </c>
      <c r="AN371" s="2" t="n">
        <f aca="false">Y371</f>
        <v>1504</v>
      </c>
      <c r="AO371" s="0" t="n">
        <f aca="false">AM371/Z371</f>
        <v>0.00716421932450612</v>
      </c>
    </row>
    <row r="372" customFormat="false" ht="12.75" hidden="false" customHeight="false" outlineLevel="0" collapsed="false">
      <c r="Y372" s="0" t="n">
        <f aca="false">Y371+$X$5</f>
        <v>1508</v>
      </c>
      <c r="Z372" s="0" t="n">
        <f aca="false">(Y372/$V$5)^$O$5</f>
        <v>1.23000754466559</v>
      </c>
      <c r="AA372" s="0" t="n">
        <f aca="false">$Q$5*(Y372-$V$5)</f>
        <v>9.22371603093963</v>
      </c>
      <c r="AB372" s="0" t="n">
        <f aca="false">COS(AA372)</f>
        <v>-0.979855052384247</v>
      </c>
      <c r="AC372" s="0" t="n">
        <f aca="false">SIN(AA372)</f>
        <v>0.199709980514407</v>
      </c>
      <c r="AD372" s="0" t="n">
        <f aca="false">$T$5*(Z372-1)</f>
        <v>0.00976613702911585</v>
      </c>
      <c r="AE372" s="0" t="n">
        <f aca="false">2*$T$5*$U$5*Z372*$X$5/(Y372+Y373)</f>
        <v>1.07796416547061E-005</v>
      </c>
      <c r="AF372" s="0" t="n">
        <f aca="false">AB372*AE372</f>
        <v>-1.05624863382554E-005</v>
      </c>
      <c r="AG372" s="0" t="n">
        <f aca="false">AG371+AF371</f>
        <v>0.00392980382218671</v>
      </c>
      <c r="AH372" s="0" t="n">
        <f aca="false">AC372*AE372</f>
        <v>2.15280202481364E-006</v>
      </c>
      <c r="AI372" s="0" t="n">
        <f aca="false">AI371+AH371</f>
        <v>0.0042026355820102</v>
      </c>
      <c r="AJ372" s="6" t="n">
        <f aca="false">Y372/$P$5</f>
        <v>1.508</v>
      </c>
      <c r="AK372" s="0" t="n">
        <f aca="false">SQRT(AG372^2+AI372^2)</f>
        <v>0.0057537382557822</v>
      </c>
      <c r="AL372" s="0" t="n">
        <f aca="false">$W$5*(Y372/$V$5-Z372)</f>
        <v>0.00668617525112471</v>
      </c>
      <c r="AM372" s="0" t="n">
        <f aca="false">SQRT(AK372^2+AL372^2)</f>
        <v>0.00882102280944813</v>
      </c>
      <c r="AN372" s="2" t="n">
        <f aca="false">Y372</f>
        <v>1508</v>
      </c>
      <c r="AO372" s="0" t="n">
        <f aca="false">AM372/Z372</f>
        <v>0.007171519270515</v>
      </c>
    </row>
    <row r="373" customFormat="false" ht="12.75" hidden="false" customHeight="false" outlineLevel="0" collapsed="false">
      <c r="Y373" s="0" t="n">
        <f aca="false">Y372+$X$5</f>
        <v>1512</v>
      </c>
      <c r="Z373" s="0" t="n">
        <f aca="false">(Y373/$V$5)^$O$5</f>
        <v>1.23019339821765</v>
      </c>
      <c r="AA373" s="0" t="n">
        <f aca="false">$Q$5*(Y373-$V$5)</f>
        <v>9.24884877216835</v>
      </c>
      <c r="AB373" s="0" t="n">
        <f aca="false">COS(AA373)</f>
        <v>-0.984564334529205</v>
      </c>
      <c r="AC373" s="0" t="n">
        <f aca="false">SIN(AA373)</f>
        <v>0.175023058975276</v>
      </c>
      <c r="AD373" s="0" t="n">
        <f aca="false">$T$5*(Z373-1)</f>
        <v>0.00977402838441623</v>
      </c>
      <c r="AE373" s="0" t="n">
        <f aca="false">2*$T$5*$U$5*Z373*$X$5/(Y373+Y374)</f>
        <v>1.07527862514169E-005</v>
      </c>
      <c r="AF373" s="0" t="n">
        <f aca="false">AB373*AE373</f>
        <v>-1.05868098399611E-005</v>
      </c>
      <c r="AG373" s="0" t="n">
        <f aca="false">AG372+AF372</f>
        <v>0.00391924133584846</v>
      </c>
      <c r="AH373" s="0" t="n">
        <f aca="false">AC373*AE373</f>
        <v>1.88198554223028E-006</v>
      </c>
      <c r="AI373" s="0" t="n">
        <f aca="false">AI372+AH372</f>
        <v>0.00420478838403502</v>
      </c>
      <c r="AJ373" s="6" t="n">
        <f aca="false">Y373/$P$5</f>
        <v>1.512</v>
      </c>
      <c r="AK373" s="0" t="n">
        <f aca="false">SQRT(AG373^2+AI373^2)</f>
        <v>0.00574810386154765</v>
      </c>
      <c r="AL373" s="0" t="n">
        <f aca="false">$W$5*(Y373/$V$5-Z373)</f>
        <v>0.00670447453858713</v>
      </c>
      <c r="AM373" s="0" t="n">
        <f aca="false">SQRT(AK373^2+AL373^2)</f>
        <v>0.00883123303065331</v>
      </c>
      <c r="AN373" s="2" t="n">
        <f aca="false">Y373</f>
        <v>1512</v>
      </c>
      <c r="AO373" s="0" t="n">
        <f aca="false">AM373/Z373</f>
        <v>0.00717873550894384</v>
      </c>
    </row>
    <row r="374" customFormat="false" ht="12.75" hidden="false" customHeight="false" outlineLevel="0" collapsed="false">
      <c r="Y374" s="0" t="n">
        <f aca="false">Y373+$X$5</f>
        <v>1516</v>
      </c>
      <c r="Z374" s="0" t="n">
        <f aca="false">(Y374/$V$5)^$O$5</f>
        <v>1.23037878871376</v>
      </c>
      <c r="AA374" s="0" t="n">
        <f aca="false">$Q$5*(Y374-$V$5)</f>
        <v>9.27398151339707</v>
      </c>
      <c r="AB374" s="0" t="n">
        <f aca="false">COS(AA374)</f>
        <v>-0.988651744737914</v>
      </c>
      <c r="AC374" s="0" t="n">
        <f aca="false">SIN(AA374)</f>
        <v>0.150225589120757</v>
      </c>
      <c r="AD374" s="0" t="n">
        <f aca="false">$T$5*(Z374-1)</f>
        <v>0.00978190007832767</v>
      </c>
      <c r="AE374" s="0" t="n">
        <f aca="false">2*$T$5*$U$5*Z374*$X$5/(Y374+Y375)</f>
        <v>1.07260683417989E-005</v>
      </c>
      <c r="AF374" s="0" t="n">
        <f aca="false">AB374*AE374</f>
        <v>-1.06043461802976E-005</v>
      </c>
      <c r="AG374" s="0" t="n">
        <f aca="false">AG373+AF373</f>
        <v>0.0039086545260085</v>
      </c>
      <c r="AH374" s="0" t="n">
        <f aca="false">AC374*AE374</f>
        <v>1.61132993559624E-006</v>
      </c>
      <c r="AI374" s="0" t="n">
        <f aca="false">AI373+AH373</f>
        <v>0.00420667036957725</v>
      </c>
      <c r="AJ374" s="6" t="n">
        <f aca="false">Y374/$P$5</f>
        <v>1.516</v>
      </c>
      <c r="AK374" s="0" t="n">
        <f aca="false">SQRT(AG374^2+AI374^2)</f>
        <v>0.00574226922061008</v>
      </c>
      <c r="AL374" s="0" t="n">
        <f aca="false">$W$5*(Y374/$V$5-Z374)</f>
        <v>0.00672277391094326</v>
      </c>
      <c r="AM374" s="0" t="n">
        <f aca="false">SQRT(AK374^2+AL374^2)</f>
        <v>0.0088413429330405</v>
      </c>
      <c r="AN374" s="2" t="n">
        <f aca="false">Y374</f>
        <v>1516</v>
      </c>
      <c r="AO374" s="0" t="n">
        <f aca="false">AM374/Z374</f>
        <v>0.00718587073683485</v>
      </c>
    </row>
    <row r="375" customFormat="false" ht="12.75" hidden="false" customHeight="false" outlineLevel="0" collapsed="false">
      <c r="Y375" s="0" t="n">
        <f aca="false">Y374+$X$5</f>
        <v>1520</v>
      </c>
      <c r="Z375" s="0" t="n">
        <f aca="false">(Y375/$V$5)^$O$5</f>
        <v>1.23056371852486</v>
      </c>
      <c r="AA375" s="0" t="n">
        <f aca="false">$Q$5*(Y375-$V$5)</f>
        <v>9.29911425462579</v>
      </c>
      <c r="AB375" s="0" t="n">
        <f aca="false">COS(AA375)</f>
        <v>-0.992114701314478</v>
      </c>
      <c r="AC375" s="0" t="n">
        <f aca="false">SIN(AA375)</f>
        <v>0.125333233564304</v>
      </c>
      <c r="AD375" s="0" t="n">
        <f aca="false">$T$5*(Z375-1)</f>
        <v>0.0097897522115203</v>
      </c>
      <c r="AE375" s="0" t="n">
        <f aca="false">2*$T$5*$U$5*Z375*$X$5/(Y375+Y376)</f>
        <v>1.06994868624168E-005</v>
      </c>
      <c r="AF375" s="0" t="n">
        <f aca="false">AB375*AE375</f>
        <v>-1.06151182127248E-005</v>
      </c>
      <c r="AG375" s="0" t="n">
        <f aca="false">AG374+AF374</f>
        <v>0.0038980501798282</v>
      </c>
      <c r="AH375" s="0" t="n">
        <f aca="false">AC375*AE375</f>
        <v>1.34100128594549E-006</v>
      </c>
      <c r="AI375" s="0" t="n">
        <f aca="false">AI374+AH374</f>
        <v>0.00420828169951284</v>
      </c>
      <c r="AJ375" s="6" t="n">
        <f aca="false">Y375/$P$5</f>
        <v>1.52</v>
      </c>
      <c r="AK375" s="0" t="n">
        <f aca="false">SQRT(AG375^2+AI375^2)</f>
        <v>0.0057362383202682</v>
      </c>
      <c r="AL375" s="0" t="n">
        <f aca="false">$W$5*(Y375/$V$5-Z375)</f>
        <v>0.00674107336775844</v>
      </c>
      <c r="AM375" s="0" t="n">
        <f aca="false">SQRT(AK375^2+AL375^2)</f>
        <v>0.00885135584057129</v>
      </c>
      <c r="AN375" s="2" t="n">
        <f aca="false">Y375</f>
        <v>1520</v>
      </c>
      <c r="AO375" s="0" t="n">
        <f aca="false">AM375/Z375</f>
        <v>0.00719292768616796</v>
      </c>
    </row>
    <row r="376" customFormat="false" ht="12.75" hidden="false" customHeight="false" outlineLevel="0" collapsed="false">
      <c r="Y376" s="0" t="n">
        <f aca="false">Y375+$X$5</f>
        <v>1524</v>
      </c>
      <c r="Z376" s="0" t="n">
        <f aca="false">(Y376/$V$5)^$O$5</f>
        <v>1.23074819000356</v>
      </c>
      <c r="AA376" s="0" t="n">
        <f aca="false">$Q$5*(Y376-$V$5)</f>
        <v>9.32424699585451</v>
      </c>
      <c r="AB376" s="0" t="n">
        <f aca="false">COS(AA376)</f>
        <v>-0.9949510169813</v>
      </c>
      <c r="AC376" s="0" t="n">
        <f aca="false">SIN(AA376)</f>
        <v>0.100361714851214</v>
      </c>
      <c r="AD376" s="0" t="n">
        <f aca="false">$T$5*(Z376-1)</f>
        <v>0.00979758488388556</v>
      </c>
      <c r="AE376" s="0" t="n">
        <f aca="false">2*$T$5*$U$5*Z376*$X$5/(Y376+Y377)</f>
        <v>1.06730407608265E-005</v>
      </c>
      <c r="AF376" s="0" t="n">
        <f aca="false">AB376*AE376</f>
        <v>-1.06191527592672E-005</v>
      </c>
      <c r="AG376" s="0" t="n">
        <f aca="false">AG375+AF375</f>
        <v>0.00388743506161548</v>
      </c>
      <c r="AH376" s="0" t="n">
        <f aca="false">AC376*AE376</f>
        <v>1.07116467343346E-006</v>
      </c>
      <c r="AI376" s="0" t="n">
        <f aca="false">AI375+AH375</f>
        <v>0.00420962270079879</v>
      </c>
      <c r="AJ376" s="6" t="n">
        <f aca="false">Y376/$P$5</f>
        <v>1.524</v>
      </c>
      <c r="AK376" s="0" t="n">
        <f aca="false">SQRT(AG376^2+AI376^2)</f>
        <v>0.00573001523919071</v>
      </c>
      <c r="AL376" s="0" t="n">
        <f aca="false">$W$5*(Y376/$V$5-Z376)</f>
        <v>0.00675937290860135</v>
      </c>
      <c r="AM376" s="0" t="n">
        <f aca="false">SQRT(AK376^2+AL376^2)</f>
        <v>0.00886127512037019</v>
      </c>
      <c r="AN376" s="2" t="n">
        <f aca="false">Y376</f>
        <v>1524</v>
      </c>
      <c r="AO376" s="0" t="n">
        <f aca="false">AM376/Z376</f>
        <v>0.00719990912222634</v>
      </c>
    </row>
    <row r="377" customFormat="false" ht="12.75" hidden="false" customHeight="false" outlineLevel="0" collapsed="false">
      <c r="Y377" s="0" t="n">
        <f aca="false">Y376+$X$5</f>
        <v>1528</v>
      </c>
      <c r="Z377" s="0" t="n">
        <f aca="false">(Y377/$V$5)^$O$5</f>
        <v>1.23093220548429</v>
      </c>
      <c r="AA377" s="0" t="n">
        <f aca="false">$Q$5*(Y377-$V$5)</f>
        <v>9.34937973708323</v>
      </c>
      <c r="AB377" s="0" t="n">
        <f aca="false">COS(AA377)</f>
        <v>-0.997158900260614</v>
      </c>
      <c r="AC377" s="0" t="n">
        <f aca="false">SIN(AA377)</f>
        <v>0.075326805527932</v>
      </c>
      <c r="AD377" s="0" t="n">
        <f aca="false">$T$5*(Z377-1)</f>
        <v>0.00980539819454427</v>
      </c>
      <c r="AE377" s="0" t="n">
        <f aca="false">2*$T$5*$U$5*Z377*$X$5/(Y377+Y378)</f>
        <v>1.06467289954328E-005</v>
      </c>
      <c r="AF377" s="0" t="n">
        <f aca="false">AB377*AE377</f>
        <v>-1.06164805764585E-005</v>
      </c>
      <c r="AG377" s="0" t="n">
        <f aca="false">AG376+AF376</f>
        <v>0.00387681590885621</v>
      </c>
      <c r="AH377" s="0" t="n">
        <f aca="false">AC377*AE377</f>
        <v>8.01984084547559E-007</v>
      </c>
      <c r="AI377" s="0" t="n">
        <f aca="false">AI376+AH376</f>
        <v>0.00421069386547222</v>
      </c>
      <c r="AJ377" s="6" t="n">
        <f aca="false">Y377/$P$5</f>
        <v>1.528</v>
      </c>
      <c r="AK377" s="0" t="n">
        <f aca="false">SQRT(AG377^2+AI377^2)</f>
        <v>0.00572360414598057</v>
      </c>
      <c r="AL377" s="0" t="n">
        <f aca="false">$W$5*(Y377/$V$5-Z377)</f>
        <v>0.00677767253304401</v>
      </c>
      <c r="AM377" s="0" t="n">
        <f aca="false">SQRT(AK377^2+AL377^2)</f>
        <v>0.00887110418071309</v>
      </c>
      <c r="AN377" s="2" t="n">
        <f aca="false">Y377</f>
        <v>1528</v>
      </c>
      <c r="AO377" s="0" t="n">
        <f aca="false">AM377/Z377</f>
        <v>0.0072068178419484</v>
      </c>
    </row>
    <row r="378" customFormat="false" ht="12.75" hidden="false" customHeight="false" outlineLevel="0" collapsed="false">
      <c r="Y378" s="0" t="n">
        <f aca="false">Y377+$X$5</f>
        <v>1532</v>
      </c>
      <c r="Z378" s="0" t="n">
        <f aca="false">(Y378/$V$5)^$O$5</f>
        <v>1.23111576728355</v>
      </c>
      <c r="AA378" s="0" t="n">
        <f aca="false">$Q$5*(Y378-$V$5)</f>
        <v>9.37451247831194</v>
      </c>
      <c r="AB378" s="0" t="n">
        <f aca="false">COS(AA378)</f>
        <v>-0.998736956606018</v>
      </c>
      <c r="AC378" s="0" t="n">
        <f aca="false">SIN(AA378)</f>
        <v>0.0502443181797686</v>
      </c>
      <c r="AD378" s="0" t="n">
        <f aca="false">$T$5*(Z378-1)</f>
        <v>0.00981319224185452</v>
      </c>
      <c r="AE378" s="0" t="n">
        <f aca="false">2*$T$5*$U$5*Z378*$X$5/(Y378+Y379)</f>
        <v>1.06205505353495E-005</v>
      </c>
      <c r="AF378" s="0" t="n">
        <f aca="false">AB378*AE378</f>
        <v>-1.06071363191554E-005</v>
      </c>
      <c r="AG378" s="0" t="n">
        <f aca="false">AG377+AF377</f>
        <v>0.00386619942827975</v>
      </c>
      <c r="AH378" s="0" t="n">
        <f aca="false">AC378*AE378</f>
        <v>5.33622320342411E-007</v>
      </c>
      <c r="AI378" s="0" t="n">
        <f aca="false">AI377+AH377</f>
        <v>0.00421149584955677</v>
      </c>
      <c r="AJ378" s="6" t="n">
        <f aca="false">Y378/$P$5</f>
        <v>1.532</v>
      </c>
      <c r="AK378" s="0" t="n">
        <f aca="false">SQRT(AG378^2+AI378^2)</f>
        <v>0.00571700929770667</v>
      </c>
      <c r="AL378" s="0" t="n">
        <f aca="false">$W$5*(Y378/$V$5-Z378)</f>
        <v>0.00679597224066174</v>
      </c>
      <c r="AM378" s="0" t="n">
        <f aca="false">SQRT(AK378^2+AL378^2)</f>
        <v>0.00888084646899773</v>
      </c>
      <c r="AN378" s="2" t="n">
        <f aca="false">Y378</f>
        <v>1532</v>
      </c>
      <c r="AO378" s="0" t="n">
        <f aca="false">AM378/Z378</f>
        <v>0.00721365667226672</v>
      </c>
    </row>
    <row r="379" customFormat="false" ht="12.75" hidden="false" customHeight="false" outlineLevel="0" collapsed="false">
      <c r="Y379" s="0" t="n">
        <f aca="false">Y378+$X$5</f>
        <v>1536</v>
      </c>
      <c r="Z379" s="0" t="n">
        <f aca="false">(Y379/$V$5)^$O$5</f>
        <v>1.23129887770003</v>
      </c>
      <c r="AA379" s="0" t="n">
        <f aca="false">$Q$5*(Y379-$V$5)</f>
        <v>9.39964521954066</v>
      </c>
      <c r="AB379" s="0" t="n">
        <f aca="false">COS(AA379)</f>
        <v>-0.9996841892833</v>
      </c>
      <c r="AC379" s="0" t="n">
        <f aca="false">SIN(AA379)</f>
        <v>0.0251300954433381</v>
      </c>
      <c r="AD379" s="0" t="n">
        <f aca="false">$T$5*(Z379-1)</f>
        <v>0.00982096712341957</v>
      </c>
      <c r="AE379" s="0" t="n">
        <f aca="false">2*$T$5*$U$5*Z379*$X$5/(Y379+Y380)</f>
        <v>1.05945043602621E-005</v>
      </c>
      <c r="AF379" s="0" t="n">
        <f aca="false">AB379*AE379</f>
        <v>-1.0591158502247E-005</v>
      </c>
      <c r="AG379" s="0" t="n">
        <f aca="false">AG378+AF378</f>
        <v>0.00385559229196059</v>
      </c>
      <c r="AH379" s="0" t="n">
        <f aca="false">AC379*AE379</f>
        <v>2.66240905748247E-007</v>
      </c>
      <c r="AI379" s="0" t="n">
        <f aca="false">AI378+AH378</f>
        <v>0.00421202947187711</v>
      </c>
      <c r="AJ379" s="6" t="n">
        <f aca="false">Y379/$P$5</f>
        <v>1.536</v>
      </c>
      <c r="AK379" s="0" t="n">
        <f aca="false">SQRT(AG379^2+AI379^2)</f>
        <v>0.00571023503840143</v>
      </c>
      <c r="AL379" s="0" t="n">
        <f aca="false">$W$5*(Y379/$V$5-Z379)</f>
        <v>0.00681427203103309</v>
      </c>
      <c r="AM379" s="0" t="n">
        <f aca="false">SQRT(AK379^2+AL379^2)</f>
        <v>0.00889050546969671</v>
      </c>
      <c r="AN379" s="2" t="n">
        <f aca="false">Y379</f>
        <v>1536</v>
      </c>
      <c r="AO379" s="0" t="n">
        <f aca="false">AM379/Z379</f>
        <v>0.00722042846843446</v>
      </c>
    </row>
    <row r="380" customFormat="false" ht="12.75" hidden="false" customHeight="false" outlineLevel="0" collapsed="false">
      <c r="Y380" s="0" t="n">
        <f aca="false">Y379+$X$5</f>
        <v>1540</v>
      </c>
      <c r="Z380" s="0" t="n">
        <f aca="false">(Y380/$V$5)^$O$5</f>
        <v>1.23148153901486</v>
      </c>
      <c r="AA380" s="0" t="n">
        <f aca="false">$Q$5*(Y380-$V$5)</f>
        <v>9.42477796076938</v>
      </c>
      <c r="AB380" s="0" t="n">
        <f aca="false">COS(AA380)</f>
        <v>-1</v>
      </c>
      <c r="AC380" s="0" t="n">
        <f aca="false">SIN(AA380)</f>
        <v>3.67394039744206E-016</v>
      </c>
      <c r="AD380" s="0" t="n">
        <f aca="false">$T$5*(Z380-1)</f>
        <v>0.00982872293609557</v>
      </c>
      <c r="AE380" s="0" t="n">
        <f aca="false">2*$T$5*$U$5*Z380*$X$5/(Y380+Y381)</f>
        <v>1.05685894602918E-005</v>
      </c>
      <c r="AF380" s="0" t="n">
        <f aca="false">AB380*AE380</f>
        <v>-1.05685894602918E-005</v>
      </c>
      <c r="AG380" s="0" t="n">
        <f aca="false">AG379+AF379</f>
        <v>0.00384500113345835</v>
      </c>
      <c r="AH380" s="0" t="n">
        <f aca="false">AC380*AE380</f>
        <v>3.88283677621464E-021</v>
      </c>
      <c r="AI380" s="0" t="n">
        <f aca="false">AI379+AH379</f>
        <v>0.00421229571278286</v>
      </c>
      <c r="AJ380" s="6" t="n">
        <f aca="false">Y380/$P$5</f>
        <v>1.54</v>
      </c>
      <c r="AK380" s="0" t="n">
        <f aca="false">SQRT(AG380^2+AI380^2)</f>
        <v>0.00570328579752276</v>
      </c>
      <c r="AL380" s="0" t="n">
        <f aca="false">$W$5*(Y380/$V$5-Z380)</f>
        <v>0.00683257190373988</v>
      </c>
      <c r="AM380" s="0" t="n">
        <f aca="false">SQRT(AK380^2+AL380^2)</f>
        <v>0.00890008470229359</v>
      </c>
      <c r="AN380" s="2" t="n">
        <f aca="false">Y380</f>
        <v>1540</v>
      </c>
      <c r="AO380" s="0" t="n">
        <f aca="false">AM380/Z380</f>
        <v>0.00722713611233942</v>
      </c>
    </row>
    <row r="381" customFormat="false" ht="12.75" hidden="false" customHeight="false" outlineLevel="0" collapsed="false">
      <c r="Y381" s="0" t="n">
        <f aca="false">Y380+$X$5</f>
        <v>1544</v>
      </c>
      <c r="Z381" s="0" t="n">
        <f aca="false">(Y381/$V$5)^$O$5</f>
        <v>1.23166375349172</v>
      </c>
      <c r="AA381" s="0" t="n">
        <f aca="false">$Q$5*(Y381-$V$5)</f>
        <v>9.4499107019981</v>
      </c>
      <c r="AB381" s="0" t="n">
        <f aca="false">COS(AA381)</f>
        <v>-0.9996841892833</v>
      </c>
      <c r="AC381" s="0" t="n">
        <f aca="false">SIN(AA381)</f>
        <v>-0.0251300954433373</v>
      </c>
      <c r="AD381" s="0" t="n">
        <f aca="false">$T$5*(Z381-1)</f>
        <v>0.00983645977599918</v>
      </c>
      <c r="AE381" s="0" t="n">
        <f aca="false">2*$T$5*$U$5*Z381*$X$5/(Y381+Y382)</f>
        <v>1.05428048358624E-005</v>
      </c>
      <c r="AF381" s="0" t="n">
        <f aca="false">AB381*AE381</f>
        <v>-1.05394753051112E-005</v>
      </c>
      <c r="AG381" s="0" t="n">
        <f aca="false">AG380+AF380</f>
        <v>0.00383443254399806</v>
      </c>
      <c r="AH381" s="0" t="n">
        <f aca="false">AC381*AE381</f>
        <v>-2.64941691765701E-007</v>
      </c>
      <c r="AI381" s="0" t="n">
        <f aca="false">AI380+AH380</f>
        <v>0.00421229571278286</v>
      </c>
      <c r="AJ381" s="6" t="n">
        <f aca="false">Y381/$P$5</f>
        <v>1.544</v>
      </c>
      <c r="AK381" s="0" t="n">
        <f aca="false">SQRT(AG381^2+AI381^2)</f>
        <v>0.00569616608837912</v>
      </c>
      <c r="AL381" s="0" t="n">
        <f aca="false">$W$5*(Y381/$V$5-Z381)</f>
        <v>0.00685087185836707</v>
      </c>
      <c r="AM381" s="0" t="n">
        <f aca="false">SQRT(AK381^2+AL381^2)</f>
        <v>0.00890958771920262</v>
      </c>
      <c r="AN381" s="2" t="n">
        <f aca="false">Y381</f>
        <v>1544</v>
      </c>
      <c r="AO381" s="0" t="n">
        <f aca="false">AM381/Z381</f>
        <v>0.00723378251080647</v>
      </c>
    </row>
    <row r="382" customFormat="false" ht="12.75" hidden="false" customHeight="false" outlineLevel="0" collapsed="false">
      <c r="Y382" s="0" t="n">
        <f aca="false">Y381+$X$5</f>
        <v>1548</v>
      </c>
      <c r="Z382" s="0" t="n">
        <f aca="false">(Y382/$V$5)^$O$5</f>
        <v>1.23184552337707</v>
      </c>
      <c r="AA382" s="0" t="n">
        <f aca="false">$Q$5*(Y382-$V$5)</f>
        <v>9.47504344322682</v>
      </c>
      <c r="AB382" s="0" t="n">
        <f aca="false">COS(AA382)</f>
        <v>-0.998736956606018</v>
      </c>
      <c r="AC382" s="0" t="n">
        <f aca="false">SIN(AA382)</f>
        <v>-0.0502443181797696</v>
      </c>
      <c r="AD382" s="0" t="n">
        <f aca="false">$T$5*(Z382-1)</f>
        <v>0.00984417773851513</v>
      </c>
      <c r="AE382" s="0" t="n">
        <f aca="false">2*$T$5*$U$5*Z382*$X$5/(Y382+Y383)</f>
        <v>1.05171494975688E-005</v>
      </c>
      <c r="AF382" s="0" t="n">
        <f aca="false">AB382*AE382</f>
        <v>-1.05038658813723E-005</v>
      </c>
      <c r="AG382" s="0" t="n">
        <f aca="false">AG381+AF381</f>
        <v>0.00382389306869294</v>
      </c>
      <c r="AH382" s="0" t="n">
        <f aca="false">AC382*AE382</f>
        <v>-5.28427005700049E-007</v>
      </c>
      <c r="AI382" s="0" t="n">
        <f aca="false">AI381+AH381</f>
        <v>0.00421203077109109</v>
      </c>
      <c r="AJ382" s="6" t="n">
        <f aca="false">Y382/$P$5</f>
        <v>1.548</v>
      </c>
      <c r="AK382" s="0" t="n">
        <f aca="false">SQRT(AG382^2+AI382^2)</f>
        <v>0.00568888050651586</v>
      </c>
      <c r="AL382" s="0" t="n">
        <f aca="false">$W$5*(Y382/$V$5-Z382)</f>
        <v>0.00686917189450284</v>
      </c>
      <c r="AM382" s="0" t="n">
        <f aca="false">SQRT(AK382^2+AL382^2)</f>
        <v>0.00891901810367284</v>
      </c>
      <c r="AN382" s="2" t="n">
        <f aca="false">Y382</f>
        <v>1548</v>
      </c>
      <c r="AO382" s="0" t="n">
        <f aca="false">AM382/Z382</f>
        <v>0.00724037059388877</v>
      </c>
    </row>
    <row r="383" customFormat="false" ht="12.75" hidden="false" customHeight="false" outlineLevel="0" collapsed="false">
      <c r="Y383" s="0" t="n">
        <f aca="false">Y382+$X$5</f>
        <v>1552</v>
      </c>
      <c r="Z383" s="0" t="n">
        <f aca="false">(Y383/$V$5)^$O$5</f>
        <v>1.23202685090031</v>
      </c>
      <c r="AA383" s="0" t="n">
        <f aca="false">$Q$5*(Y383-$V$5)</f>
        <v>9.50017618445554</v>
      </c>
      <c r="AB383" s="0" t="n">
        <f aca="false">COS(AA383)</f>
        <v>-0.997158900260614</v>
      </c>
      <c r="AC383" s="0" t="n">
        <f aca="false">SIN(AA383)</f>
        <v>-0.075326805527933</v>
      </c>
      <c r="AD383" s="0" t="n">
        <f aca="false">$T$5*(Z383-1)</f>
        <v>0.0098518769183037</v>
      </c>
      <c r="AE383" s="0" t="n">
        <f aca="false">2*$T$5*$U$5*Z383*$X$5/(Y383+Y384)</f>
        <v>1.04916224660472E-005</v>
      </c>
      <c r="AF383" s="0" t="n">
        <f aca="false">AB383*AE383</f>
        <v>-1.04618147201932E-005</v>
      </c>
      <c r="AG383" s="0" t="n">
        <f aca="false">AG382+AF382</f>
        <v>0.00381338920281157</v>
      </c>
      <c r="AH383" s="0" t="n">
        <f aca="false">AC383*AE383</f>
        <v>-7.9030040517243E-007</v>
      </c>
      <c r="AI383" s="0" t="n">
        <f aca="false">AI382+AH382</f>
        <v>0.00421150234408539</v>
      </c>
      <c r="AJ383" s="6" t="n">
        <f aca="false">Y383/$P$5</f>
        <v>1.552</v>
      </c>
      <c r="AK383" s="0" t="n">
        <f aca="false">SQRT(AG383^2+AI383^2)</f>
        <v>0.00568143372806166</v>
      </c>
      <c r="AL383" s="0" t="n">
        <f aca="false">$W$5*(Y383/$V$5-Z383)</f>
        <v>0.00688747201173844</v>
      </c>
      <c r="AM383" s="0" t="n">
        <f aca="false">SQRT(AK383^2+AL383^2)</f>
        <v>0.00892837946767704</v>
      </c>
      <c r="AN383" s="2" t="n">
        <f aca="false">Y383</f>
        <v>1552</v>
      </c>
      <c r="AO383" s="0" t="n">
        <f aca="false">AM383/Z383</f>
        <v>0.00724690331314825</v>
      </c>
    </row>
    <row r="384" customFormat="false" ht="12.75" hidden="false" customHeight="false" outlineLevel="0" collapsed="false">
      <c r="Y384" s="0" t="n">
        <f aca="false">Y383+$X$5</f>
        <v>1556</v>
      </c>
      <c r="Z384" s="0" t="n">
        <f aca="false">(Y384/$V$5)^$O$5</f>
        <v>1.23220773827394</v>
      </c>
      <c r="AA384" s="0" t="n">
        <f aca="false">$Q$5*(Y384-$V$5)</f>
        <v>9.52530892568425</v>
      </c>
      <c r="AB384" s="0" t="n">
        <f aca="false">COS(AA384)</f>
        <v>-0.9949510169813</v>
      </c>
      <c r="AC384" s="0" t="n">
        <f aca="false">SIN(AA384)</f>
        <v>-0.100361714851215</v>
      </c>
      <c r="AD384" s="0" t="n">
        <f aca="false">$T$5*(Z384-1)</f>
        <v>0.00985955740930804</v>
      </c>
      <c r="AE384" s="0" t="n">
        <f aca="false">2*$T$5*$U$5*Z384*$X$5/(Y384+Y385)</f>
        <v>1.04662227718484E-005</v>
      </c>
      <c r="AF384" s="0" t="n">
        <f aca="false">AB384*AE384</f>
        <v>-1.04133789908034E-005</v>
      </c>
      <c r="AG384" s="0" t="n">
        <f aca="false">AG383+AF383</f>
        <v>0.00380292738809138</v>
      </c>
      <c r="AH384" s="0" t="n">
        <f aca="false">AC384*AE384</f>
        <v>-1.05040806539754E-006</v>
      </c>
      <c r="AI384" s="0" t="n">
        <f aca="false">AI383+AH383</f>
        <v>0.00421071204368022</v>
      </c>
      <c r="AJ384" s="6" t="n">
        <f aca="false">Y384/$P$5</f>
        <v>1.556</v>
      </c>
      <c r="AK384" s="0" t="n">
        <f aca="false">SQRT(AG384^2+AI384^2)</f>
        <v>0.00567383050803328</v>
      </c>
      <c r="AL384" s="0" t="n">
        <f aca="false">$W$5*(Y384/$V$5-Z384)</f>
        <v>0.00690577220966826</v>
      </c>
      <c r="AM384" s="0" t="n">
        <f aca="false">SQRT(AK384^2+AL384^2)</f>
        <v>0.00893767544978646</v>
      </c>
      <c r="AN384" s="2" t="n">
        <f aca="false">Y384</f>
        <v>1556</v>
      </c>
      <c r="AO384" s="0" t="n">
        <f aca="false">AM384/Z384</f>
        <v>0.00725338363992604</v>
      </c>
    </row>
    <row r="385" customFormat="false" ht="12.75" hidden="false" customHeight="false" outlineLevel="0" collapsed="false">
      <c r="Y385" s="0" t="n">
        <f aca="false">Y384+$X$5</f>
        <v>1560</v>
      </c>
      <c r="Z385" s="0" t="n">
        <f aca="false">(Y385/$V$5)^$O$5</f>
        <v>1.23238818769375</v>
      </c>
      <c r="AA385" s="0" t="n">
        <f aca="false">$Q$5*(Y385-$V$5)</f>
        <v>9.55044166691297</v>
      </c>
      <c r="AB385" s="0" t="n">
        <f aca="false">COS(AA385)</f>
        <v>-0.992114701314478</v>
      </c>
      <c r="AC385" s="0" t="n">
        <f aca="false">SIN(AA385)</f>
        <v>-0.125333233564305</v>
      </c>
      <c r="AD385" s="0" t="n">
        <f aca="false">$T$5*(Z385-1)</f>
        <v>0.00986721930476141</v>
      </c>
      <c r="AE385" s="0" t="n">
        <f aca="false">2*$T$5*$U$5*Z385*$X$5/(Y385+Y386)</f>
        <v>1.04409494553115E-005</v>
      </c>
      <c r="AF385" s="0" t="n">
        <f aca="false">AB385*AE385</f>
        <v>-1.0358619450296E-005</v>
      </c>
      <c r="AG385" s="0" t="n">
        <f aca="false">AG384+AF384</f>
        <v>0.00379251400910058</v>
      </c>
      <c r="AH385" s="0" t="n">
        <f aca="false">AC385*AE385</f>
        <v>-1.30859795671566E-006</v>
      </c>
      <c r="AI385" s="0" t="n">
        <f aca="false">AI384+AH384</f>
        <v>0.00420966163561482</v>
      </c>
      <c r="AJ385" s="6" t="n">
        <f aca="false">Y385/$P$5</f>
        <v>1.56</v>
      </c>
      <c r="AK385" s="0" t="n">
        <f aca="false">SQRT(AG385^2+AI385^2)</f>
        <v>0.00566607567859726</v>
      </c>
      <c r="AL385" s="0" t="n">
        <f aca="false">$W$5*(Y385/$V$5-Z385)</f>
        <v>0.00692407248788974</v>
      </c>
      <c r="AM385" s="0" t="n">
        <f aca="false">SQRT(AK385^2+AL385^2)</f>
        <v>0.00894690971303181</v>
      </c>
      <c r="AN385" s="2" t="n">
        <f aca="false">Y385</f>
        <v>1560</v>
      </c>
      <c r="AO385" s="0" t="n">
        <f aca="false">AM385/Z385</f>
        <v>0.00725981456360332</v>
      </c>
    </row>
    <row r="386" customFormat="false" ht="12.75" hidden="false" customHeight="false" outlineLevel="0" collapsed="false">
      <c r="Y386" s="0" t="n">
        <f aca="false">Y385+$X$5</f>
        <v>1564</v>
      </c>
      <c r="Z386" s="0" t="n">
        <f aca="false">(Y386/$V$5)^$O$5</f>
        <v>1.23256820133898</v>
      </c>
      <c r="AA386" s="0" t="n">
        <f aca="false">$Q$5*(Y386-$V$5)</f>
        <v>9.57557440814169</v>
      </c>
      <c r="AB386" s="0" t="n">
        <f aca="false">COS(AA386)</f>
        <v>-0.988651744737914</v>
      </c>
      <c r="AC386" s="0" t="n">
        <f aca="false">SIN(AA386)</f>
        <v>-0.150225589120758</v>
      </c>
      <c r="AD386" s="0" t="n">
        <f aca="false">$T$5*(Z386-1)</f>
        <v>0.00987486269719439</v>
      </c>
      <c r="AE386" s="0" t="n">
        <f aca="false">2*$T$5*$U$5*Z386*$X$5/(Y386+Y387)</f>
        <v>1.04158015664411E-005</v>
      </c>
      <c r="AF386" s="0" t="n">
        <f aca="false">AB386*AE386</f>
        <v>-1.02976003915059E-005</v>
      </c>
      <c r="AG386" s="0" t="n">
        <f aca="false">AG385+AF385</f>
        <v>0.00378215538965028</v>
      </c>
      <c r="AH386" s="0" t="n">
        <f aca="false">AC386*AE386</f>
        <v>-1.56471992648353E-006</v>
      </c>
      <c r="AI386" s="0" t="n">
        <f aca="false">AI385+AH385</f>
        <v>0.00420835303765811</v>
      </c>
      <c r="AJ386" s="6" t="n">
        <f aca="false">Y386/$P$5</f>
        <v>1.564</v>
      </c>
      <c r="AK386" s="0" t="n">
        <f aca="false">SQRT(AG386^2+AI386^2)</f>
        <v>0.00565817414728699</v>
      </c>
      <c r="AL386" s="0" t="n">
        <f aca="false">$W$5*(Y386/$V$5-Z386)</f>
        <v>0.00694237284600333</v>
      </c>
      <c r="AM386" s="0" t="n">
        <f aca="false">SQRT(AK386^2+AL386^2)</f>
        <v>0.00895608594275152</v>
      </c>
      <c r="AN386" s="2" t="n">
        <f aca="false">Y386</f>
        <v>1564</v>
      </c>
      <c r="AO386" s="0" t="n">
        <f aca="false">AM386/Z386</f>
        <v>0.00726619908985336</v>
      </c>
    </row>
    <row r="387" customFormat="false" ht="12.75" hidden="false" customHeight="false" outlineLevel="0" collapsed="false">
      <c r="Y387" s="0" t="n">
        <f aca="false">Y386+$X$5</f>
        <v>1568</v>
      </c>
      <c r="Z387" s="0" t="n">
        <f aca="false">(Y387/$V$5)^$O$5</f>
        <v>1.23274778137248</v>
      </c>
      <c r="AA387" s="0" t="n">
        <f aca="false">$Q$5*(Y387-$V$5)</f>
        <v>9.60070714937041</v>
      </c>
      <c r="AB387" s="0" t="n">
        <f aca="false">COS(AA387)</f>
        <v>-0.984564334529205</v>
      </c>
      <c r="AC387" s="0" t="n">
        <f aca="false">SIN(AA387)</f>
        <v>-0.175023058975275</v>
      </c>
      <c r="AD387" s="0" t="n">
        <f aca="false">$T$5*(Z387-1)</f>
        <v>0.00988248767844195</v>
      </c>
      <c r="AE387" s="0" t="n">
        <f aca="false">2*$T$5*$U$5*Z387*$X$5/(Y387+Y388)</f>
        <v>1.0390778164785E-005</v>
      </c>
      <c r="AF387" s="0" t="n">
        <f aca="false">AB387*AE387</f>
        <v>-1.02303895890521E-005</v>
      </c>
      <c r="AG387" s="0" t="n">
        <f aca="false">AG386+AF386</f>
        <v>0.00377185778925877</v>
      </c>
      <c r="AH387" s="0" t="n">
        <f aca="false">AC387*AE387</f>
        <v>-1.81862577953417E-006</v>
      </c>
      <c r="AI387" s="0" t="n">
        <f aca="false">AI386+AH386</f>
        <v>0.00420678831773162</v>
      </c>
      <c r="AJ387" s="6" t="n">
        <f aca="false">Y387/$P$5</f>
        <v>1.568</v>
      </c>
      <c r="AK387" s="0" t="n">
        <f aca="false">SQRT(AG387^2+AI387^2)</f>
        <v>0.00565013089517361</v>
      </c>
      <c r="AL387" s="0" t="n">
        <f aca="false">$W$5*(Y387/$V$5-Z387)</f>
        <v>0.00696067328361254</v>
      </c>
      <c r="AM387" s="0" t="n">
        <f aca="false">SQRT(AK387^2+AL387^2)</f>
        <v>0.00896520784442796</v>
      </c>
      <c r="AN387" s="2" t="n">
        <f aca="false">Y387</f>
        <v>1568</v>
      </c>
      <c r="AO387" s="0" t="n">
        <f aca="false">AM387/Z387</f>
        <v>0.00727254023888529</v>
      </c>
    </row>
    <row r="388" customFormat="false" ht="12.75" hidden="false" customHeight="false" outlineLevel="0" collapsed="false">
      <c r="Y388" s="0" t="n">
        <f aca="false">Y387+$X$5</f>
        <v>1572</v>
      </c>
      <c r="Z388" s="0" t="n">
        <f aca="false">(Y388/$V$5)^$O$5</f>
        <v>1.23292692994089</v>
      </c>
      <c r="AA388" s="0" t="n">
        <f aca="false">$Q$5*(Y388-$V$5)</f>
        <v>9.62583989059913</v>
      </c>
      <c r="AB388" s="0" t="n">
        <f aca="false">COS(AA388)</f>
        <v>-0.979855052384247</v>
      </c>
      <c r="AC388" s="0" t="n">
        <f aca="false">SIN(AA388)</f>
        <v>-0.199709980514407</v>
      </c>
      <c r="AD388" s="0" t="n">
        <f aca="false">$T$5*(Z388-1)</f>
        <v>0.00989009433965041</v>
      </c>
      <c r="AE388" s="0" t="n">
        <f aca="false">2*$T$5*$U$5*Z388*$X$5/(Y388+Y389)</f>
        <v>1.03658783193144E-005</v>
      </c>
      <c r="AF388" s="0" t="n">
        <f aca="false">AB388*AE388</f>
        <v>-1.01570582435805E-005</v>
      </c>
      <c r="AG388" s="0" t="n">
        <f aca="false">AG387+AF387</f>
        <v>0.00376162739966972</v>
      </c>
      <c r="AH388" s="0" t="n">
        <f aca="false">AC388*AE388</f>
        <v>-2.07016935716499E-006</v>
      </c>
      <c r="AI388" s="0" t="n">
        <f aca="false">AI387+AH387</f>
        <v>0.00420496969195209</v>
      </c>
      <c r="AJ388" s="6" t="n">
        <f aca="false">Y388/$P$5</f>
        <v>1.572</v>
      </c>
      <c r="AK388" s="0" t="n">
        <f aca="false">SQRT(AG388^2+AI388^2)</f>
        <v>0.00564195097498921</v>
      </c>
      <c r="AL388" s="0" t="n">
        <f aca="false">$W$5*(Y388/$V$5-Z388)</f>
        <v>0.00697897380032379</v>
      </c>
      <c r="AM388" s="0" t="n">
        <f aca="false">SQRT(AK388^2+AL388^2)</f>
        <v>0.00897427914151256</v>
      </c>
      <c r="AN388" s="2" t="n">
        <f aca="false">Y388</f>
        <v>1572</v>
      </c>
      <c r="AO388" s="0" t="n">
        <f aca="false">AM388/Z388</f>
        <v>0.00727884104368033</v>
      </c>
    </row>
    <row r="389" customFormat="false" ht="12.75" hidden="false" customHeight="false" outlineLevel="0" collapsed="false">
      <c r="Y389" s="0" t="n">
        <f aca="false">Y388+$X$5</f>
        <v>1576</v>
      </c>
      <c r="Z389" s="0" t="n">
        <f aca="false">(Y389/$V$5)^$O$5</f>
        <v>1.23310564917479</v>
      </c>
      <c r="AA389" s="0" t="n">
        <f aca="false">$Q$5*(Y389-$V$5)</f>
        <v>9.65097263182785</v>
      </c>
      <c r="AB389" s="0" t="n">
        <f aca="false">COS(AA389)</f>
        <v>-0.974526872786577</v>
      </c>
      <c r="AC389" s="0" t="n">
        <f aca="false">SIN(AA389)</f>
        <v>-0.224270760949381</v>
      </c>
      <c r="AD389" s="0" t="n">
        <f aca="false">$T$5*(Z389-1)</f>
        <v>0.00989768277128438</v>
      </c>
      <c r="AE389" s="0" t="n">
        <f aca="false">2*$T$5*$U$5*Z389*$X$5/(Y389+Y390)</f>
        <v>1.03411011083061E-005</v>
      </c>
      <c r="AF389" s="0" t="n">
        <f aca="false">AB389*AE389</f>
        <v>-1.00776809242474E-005</v>
      </c>
      <c r="AG389" s="0" t="n">
        <f aca="false">AG388+AF388</f>
        <v>0.00375147034142614</v>
      </c>
      <c r="AH389" s="0" t="n">
        <f aca="false">AC389*AE389</f>
        <v>-2.3192066146143E-006</v>
      </c>
      <c r="AI389" s="0" t="n">
        <f aca="false">AI388+AH388</f>
        <v>0.00420289952259492</v>
      </c>
      <c r="AJ389" s="6" t="n">
        <f aca="false">Y389/$P$5</f>
        <v>1.576</v>
      </c>
      <c r="AK389" s="0" t="n">
        <f aca="false">SQRT(AG389^2+AI389^2)</f>
        <v>0.00563363950920083</v>
      </c>
      <c r="AL389" s="0" t="n">
        <f aca="false">$W$5*(Y389/$V$5-Z389)</f>
        <v>0.00699727439574648</v>
      </c>
      <c r="AM389" s="0" t="n">
        <f aca="false">SQRT(AK389^2+AL389^2)</f>
        <v>0.00898330357324063</v>
      </c>
      <c r="AN389" s="2" t="n">
        <f aca="false">Y389</f>
        <v>1576</v>
      </c>
      <c r="AO389" s="0" t="n">
        <f aca="false">AM389/Z389</f>
        <v>0.00728510454822127</v>
      </c>
    </row>
    <row r="390" customFormat="false" ht="12.75" hidden="false" customHeight="false" outlineLevel="0" collapsed="false">
      <c r="Y390" s="0" t="n">
        <f aca="false">Y389+$X$5</f>
        <v>1580</v>
      </c>
      <c r="Z390" s="0" t="n">
        <f aca="false">(Y390/$V$5)^$O$5</f>
        <v>1.23328394118887</v>
      </c>
      <c r="AA390" s="0" t="n">
        <f aca="false">$Q$5*(Y390-$V$5)</f>
        <v>9.67610537305656</v>
      </c>
      <c r="AB390" s="0" t="n">
        <f aca="false">COS(AA390)</f>
        <v>-0.968583161128631</v>
      </c>
      <c r="AC390" s="0" t="n">
        <f aca="false">SIN(AA390)</f>
        <v>-0.248689887164855</v>
      </c>
      <c r="AD390" s="0" t="n">
        <f aca="false">$T$5*(Z390-1)</f>
        <v>0.00990525306313356</v>
      </c>
      <c r="AE390" s="0" t="n">
        <f aca="false">2*$T$5*$U$5*Z390*$X$5/(Y390+Y391)</f>
        <v>1.03164456192261E-005</v>
      </c>
      <c r="AF390" s="0" t="n">
        <f aca="false">AB390*AE390</f>
        <v>-9.99233550948161E-006</v>
      </c>
      <c r="AG390" s="0" t="n">
        <f aca="false">AG389+AF389</f>
        <v>0.00374139266050189</v>
      </c>
      <c r="AH390" s="0" t="n">
        <f aca="false">AC390*AE390</f>
        <v>-2.56559569698769E-006</v>
      </c>
      <c r="AI390" s="0" t="n">
        <f aca="false">AI389+AH389</f>
        <v>0.00420058031598031</v>
      </c>
      <c r="AJ390" s="6" t="n">
        <f aca="false">Y390/$P$5</f>
        <v>1.58</v>
      </c>
      <c r="AK390" s="0" t="n">
        <f aca="false">SQRT(AG390^2+AI390^2)</f>
        <v>0.00562520168803383</v>
      </c>
      <c r="AL390" s="0" t="n">
        <f aca="false">$W$5*(Y390/$V$5-Z390)</f>
        <v>0.00701557506949293</v>
      </c>
      <c r="AM390" s="0" t="n">
        <f aca="false">SQRT(AK390^2+AL390^2)</f>
        <v>0.00899228489243693</v>
      </c>
      <c r="AN390" s="2" t="n">
        <f aca="false">Y390</f>
        <v>1580</v>
      </c>
      <c r="AO390" s="0" t="n">
        <f aca="false">AM390/Z390</f>
        <v>0.00729133380571591</v>
      </c>
    </row>
    <row r="391" customFormat="false" ht="12.75" hidden="false" customHeight="false" outlineLevel="0" collapsed="false">
      <c r="Y391" s="0" t="n">
        <f aca="false">Y390+$X$5</f>
        <v>1584</v>
      </c>
      <c r="Z391" s="0" t="n">
        <f aca="false">(Y391/$V$5)^$O$5</f>
        <v>1.23346180808206</v>
      </c>
      <c r="AA391" s="0" t="n">
        <f aca="false">$Q$5*(Y391-$V$5)</f>
        <v>9.70123811428528</v>
      </c>
      <c r="AB391" s="0" t="n">
        <f aca="false">COS(AA391)</f>
        <v>-0.962027671586086</v>
      </c>
      <c r="AC391" s="0" t="n">
        <f aca="false">SIN(AA391)</f>
        <v>-0.272951935517325</v>
      </c>
      <c r="AD391" s="0" t="n">
        <f aca="false">$T$5*(Z391-1)</f>
        <v>0.00991280530431944</v>
      </c>
      <c r="AE391" s="0" t="n">
        <f aca="false">2*$T$5*$U$5*Z391*$X$5/(Y391+Y392)</f>
        <v>1.02919109486148E-005</v>
      </c>
      <c r="AF391" s="0" t="n">
        <f aca="false">AB391*AE391</f>
        <v>-9.90110312606719E-006</v>
      </c>
      <c r="AG391" s="0" t="n">
        <f aca="false">AG390+AF390</f>
        <v>0.00373140032499241</v>
      </c>
      <c r="AH391" s="0" t="n">
        <f aca="false">AC391*AE391</f>
        <v>-2.80919701359635E-006</v>
      </c>
      <c r="AI391" s="0" t="n">
        <f aca="false">AI390+AH390</f>
        <v>0.00419801472028332</v>
      </c>
      <c r="AJ391" s="6" t="n">
        <f aca="false">Y391/$P$5</f>
        <v>1.584</v>
      </c>
      <c r="AK391" s="0" t="n">
        <f aca="false">SQRT(AG391^2+AI391^2)</f>
        <v>0.00561664276744293</v>
      </c>
      <c r="AL391" s="0" t="n">
        <f aca="false">$W$5*(Y391/$V$5-Z391)</f>
        <v>0.00703387582117832</v>
      </c>
      <c r="AM391" s="0" t="n">
        <f aca="false">SQRT(AK391^2+AL391^2)</f>
        <v>0.00900122686331291</v>
      </c>
      <c r="AN391" s="2" t="n">
        <f aca="false">Y391</f>
        <v>1584</v>
      </c>
      <c r="AO391" s="0" t="n">
        <f aca="false">AM391/Z391</f>
        <v>0.00729753187681516</v>
      </c>
    </row>
    <row r="392" customFormat="false" ht="12.75" hidden="false" customHeight="false" outlineLevel="0" collapsed="false">
      <c r="Y392" s="0" t="n">
        <f aca="false">Y391+$X$5</f>
        <v>1588</v>
      </c>
      <c r="Z392" s="0" t="n">
        <f aca="false">(Y392/$V$5)^$O$5</f>
        <v>1.23363925193775</v>
      </c>
      <c r="AA392" s="0" t="n">
        <f aca="false">$Q$5*(Y392-$V$5)</f>
        <v>9.726370855514</v>
      </c>
      <c r="AB392" s="0" t="n">
        <f aca="false">COS(AA392)</f>
        <v>-0.954864544746643</v>
      </c>
      <c r="AC392" s="0" t="n">
        <f aca="false">SIN(AA392)</f>
        <v>-0.297041581577035</v>
      </c>
      <c r="AD392" s="0" t="n">
        <f aca="false">$T$5*(Z392-1)</f>
        <v>0.00992033958330198</v>
      </c>
      <c r="AE392" s="0" t="n">
        <f aca="false">2*$T$5*$U$5*Z392*$X$5/(Y392+Y393)</f>
        <v>1.02674962019744E-005</v>
      </c>
      <c r="AF392" s="0" t="n">
        <f aca="false">AB392*AE392</f>
        <v>-9.80406808658615E-006</v>
      </c>
      <c r="AG392" s="0" t="n">
        <f aca="false">AG391+AF391</f>
        <v>0.00372149922186635</v>
      </c>
      <c r="AH392" s="0" t="n">
        <f aca="false">AC392*AE392</f>
        <v>-3.04987331067067E-006</v>
      </c>
      <c r="AI392" s="0" t="n">
        <f aca="false">AI391+AH391</f>
        <v>0.00419520552326973</v>
      </c>
      <c r="AJ392" s="6" t="n">
        <f aca="false">Y392/$P$5</f>
        <v>1.588</v>
      </c>
      <c r="AK392" s="0" t="n">
        <f aca="false">SQRT(AG392^2+AI392^2)</f>
        <v>0.00560796806702968</v>
      </c>
      <c r="AL392" s="0" t="n">
        <f aca="false">$W$5*(Y392/$V$5-Z392)</f>
        <v>0.00705217665042071</v>
      </c>
      <c r="AM392" s="0" t="n">
        <f aca="false">SQRT(AK392^2+AL392^2)</f>
        <v>0.0090101332592567</v>
      </c>
      <c r="AN392" s="2" t="n">
        <f aca="false">Y392</f>
        <v>1588</v>
      </c>
      <c r="AO392" s="0" t="n">
        <f aca="false">AM392/Z392</f>
        <v>0.00730370182782687</v>
      </c>
    </row>
    <row r="393" customFormat="false" ht="12.75" hidden="false" customHeight="false" outlineLevel="0" collapsed="false">
      <c r="Y393" s="0" t="n">
        <f aca="false">Y392+$X$5</f>
        <v>1592</v>
      </c>
      <c r="Z393" s="0" t="n">
        <f aca="false">(Y393/$V$5)^$O$5</f>
        <v>1.23381627482386</v>
      </c>
      <c r="AA393" s="0" t="n">
        <f aca="false">$Q$5*(Y393-$V$5)</f>
        <v>9.75150359674272</v>
      </c>
      <c r="AB393" s="0" t="n">
        <f aca="false">COS(AA393)</f>
        <v>-0.947098304994744</v>
      </c>
      <c r="AC393" s="0" t="n">
        <f aca="false">SIN(AA393)</f>
        <v>-0.32094360980721</v>
      </c>
      <c r="AD393" s="0" t="n">
        <f aca="false">$T$5*(Z393-1)</f>
        <v>0.00992785598788614</v>
      </c>
      <c r="AE393" s="0" t="n">
        <f aca="false">2*$T$5*$U$5*Z393*$X$5/(Y393+Y394)</f>
        <v>1.02432004936578E-005</v>
      </c>
      <c r="AF393" s="0" t="n">
        <f aca="false">AB393*AE393</f>
        <v>-9.70131782526459E-006</v>
      </c>
      <c r="AG393" s="0" t="n">
        <f aca="false">AG392+AF392</f>
        <v>0.00371169515377976</v>
      </c>
      <c r="AH393" s="0" t="n">
        <f aca="false">AC393*AE393</f>
        <v>-3.28748974241352E-006</v>
      </c>
      <c r="AI393" s="0" t="n">
        <f aca="false">AI392+AH392</f>
        <v>0.00419215564995906</v>
      </c>
      <c r="AJ393" s="6" t="n">
        <f aca="false">Y393/$P$5</f>
        <v>1.592</v>
      </c>
      <c r="AK393" s="0" t="n">
        <f aca="false">SQRT(AG393^2+AI393^2)</f>
        <v>0.00559918296790485</v>
      </c>
      <c r="AL393" s="0" t="n">
        <f aca="false">$W$5*(Y393/$V$5-Z393)</f>
        <v>0.00707047755684096</v>
      </c>
      <c r="AM393" s="0" t="n">
        <f aca="false">SQRT(AK393^2+AL393^2)</f>
        <v>0.00901900786061679</v>
      </c>
      <c r="AN393" s="2" t="n">
        <f aca="false">Y393</f>
        <v>1592</v>
      </c>
      <c r="AO393" s="0" t="n">
        <f aca="false">AM393/Z393</f>
        <v>0.00730984672892592</v>
      </c>
    </row>
    <row r="394" customFormat="false" ht="12.75" hidden="false" customHeight="false" outlineLevel="0" collapsed="false">
      <c r="Y394" s="0" t="n">
        <f aca="false">Y393+$X$5</f>
        <v>1596</v>
      </c>
      <c r="Z394" s="0" t="n">
        <f aca="false">(Y394/$V$5)^$O$5</f>
        <v>1.23399287879309</v>
      </c>
      <c r="AA394" s="0" t="n">
        <f aca="false">$Q$5*(Y394-$V$5)</f>
        <v>9.77663633797144</v>
      </c>
      <c r="AB394" s="0" t="n">
        <f aca="false">COS(AA394)</f>
        <v>-0.938733857653874</v>
      </c>
      <c r="AC394" s="0" t="n">
        <f aca="false">SIN(AA394)</f>
        <v>-0.344642923174518</v>
      </c>
      <c r="AD394" s="0" t="n">
        <f aca="false">$T$5*(Z394-1)</f>
        <v>0.00993535460522846</v>
      </c>
      <c r="AE394" s="0" t="n">
        <f aca="false">2*$T$5*$U$5*Z394*$X$5/(Y394+Y395)</f>
        <v>1.02190229467588E-005</v>
      </c>
      <c r="AF394" s="0" t="n">
        <f aca="false">AB394*AE394</f>
        <v>-9.59294283226435E-006</v>
      </c>
      <c r="AG394" s="0" t="n">
        <f aca="false">AG393+AF393</f>
        <v>0.00370199383595449</v>
      </c>
      <c r="AH394" s="0" t="n">
        <f aca="false">AC394*AE394</f>
        <v>-3.52191394035843E-006</v>
      </c>
      <c r="AI394" s="0" t="n">
        <f aca="false">AI393+AH393</f>
        <v>0.00418886816021664</v>
      </c>
      <c r="AJ394" s="6" t="n">
        <f aca="false">Y394/$P$5</f>
        <v>1.596</v>
      </c>
      <c r="AK394" s="0" t="n">
        <f aca="false">SQRT(AG394^2+AI394^2)</f>
        <v>0.00559029291049421</v>
      </c>
      <c r="AL394" s="0" t="n">
        <f aca="false">$W$5*(Y394/$V$5-Z394)</f>
        <v>0.00708877854006276</v>
      </c>
      <c r="AM394" s="0" t="n">
        <f aca="false">SQRT(AK394^2+AL394^2)</f>
        <v>0.00902785445248073</v>
      </c>
      <c r="AN394" s="2" t="n">
        <f aca="false">Y394</f>
        <v>1596</v>
      </c>
      <c r="AO394" s="0" t="n">
        <f aca="false">AM394/Z394</f>
        <v>0.00731596965236176</v>
      </c>
    </row>
    <row r="395" customFormat="false" ht="12.75" hidden="false" customHeight="false" outlineLevel="0" collapsed="false">
      <c r="Y395" s="0" t="n">
        <f aca="false">Y394+$X$5</f>
        <v>1600</v>
      </c>
      <c r="Z395" s="0" t="n">
        <f aca="false">(Y395/$V$5)^$O$5</f>
        <v>1.23416906588295</v>
      </c>
      <c r="AA395" s="0" t="n">
        <f aca="false">$Q$5*(Y395-$V$5)</f>
        <v>9.80176907920016</v>
      </c>
      <c r="AB395" s="0" t="n">
        <f aca="false">COS(AA395)</f>
        <v>-0.929776485888251</v>
      </c>
      <c r="AC395" s="0" t="n">
        <f aca="false">SIN(AA395)</f>
        <v>-0.368124552684679</v>
      </c>
      <c r="AD395" s="0" t="n">
        <f aca="false">$T$5*(Z395-1)</f>
        <v>0.00994283552184328</v>
      </c>
      <c r="AE395" s="0" t="n">
        <f aca="false">2*$T$5*$U$5*Z395*$X$5/(Y395+Y396)</f>
        <v>1.01949626930046E-005</v>
      </c>
      <c r="AF395" s="0" t="n">
        <f aca="false">AB395*AE395</f>
        <v>-9.47903658646362E-006</v>
      </c>
      <c r="AG395" s="0" t="n">
        <f aca="false">AG394+AF394</f>
        <v>0.00369240089312223</v>
      </c>
      <c r="AH395" s="0" t="n">
        <f aca="false">AC395*AE395</f>
        <v>-3.7530160809993E-006</v>
      </c>
      <c r="AI395" s="0" t="n">
        <f aca="false">AI394+AH394</f>
        <v>0.00418534624627628</v>
      </c>
      <c r="AJ395" s="6" t="n">
        <f aca="false">Y395/$P$5</f>
        <v>1.6</v>
      </c>
      <c r="AK395" s="0" t="n">
        <f aca="false">SQRT(AG395^2+AI395^2)</f>
        <v>0.0055813033922865</v>
      </c>
      <c r="AL395" s="0" t="n">
        <f aca="false">$W$5*(Y395/$V$5-Z395)</f>
        <v>0.00710707959971256</v>
      </c>
      <c r="AM395" s="0" t="n">
        <f aca="false">SQRT(AK395^2+AL395^2)</f>
        <v>0.00903667682244968</v>
      </c>
      <c r="AN395" s="2" t="n">
        <f aca="false">Y395</f>
        <v>1600</v>
      </c>
      <c r="AO395" s="0" t="n">
        <f aca="false">AM395/Z395</f>
        <v>0.00732207367066409</v>
      </c>
    </row>
    <row r="396" customFormat="false" ht="12.75" hidden="false" customHeight="false" outlineLevel="0" collapsed="false">
      <c r="Y396" s="0" t="n">
        <f aca="false">Y395+$X$5</f>
        <v>1604</v>
      </c>
      <c r="Z396" s="0" t="n">
        <f aca="false">(Y396/$V$5)^$O$5</f>
        <v>1.23434483811605</v>
      </c>
      <c r="AA396" s="0" t="n">
        <f aca="false">$Q$5*(Y396-$V$5)</f>
        <v>9.82690182042887</v>
      </c>
      <c r="AB396" s="0" t="n">
        <f aca="false">COS(AA396)</f>
        <v>-0.920231847365871</v>
      </c>
      <c r="AC396" s="0" t="n">
        <f aca="false">SIN(AA396)</f>
        <v>-0.391373666837202</v>
      </c>
      <c r="AD396" s="0" t="n">
        <f aca="false">$T$5*(Z396-1)</f>
        <v>0.00995029882360925</v>
      </c>
      <c r="AE396" s="0" t="n">
        <f aca="false">2*$T$5*$U$5*Z396*$X$5/(Y396+Y397)</f>
        <v>1.01710188726491E-005</v>
      </c>
      <c r="AF396" s="0" t="n">
        <f aca="false">AB396*AE396</f>
        <v>-9.35969548677101E-006</v>
      </c>
      <c r="AG396" s="0" t="n">
        <f aca="false">AG395+AF395</f>
        <v>0.00368292185653577</v>
      </c>
      <c r="AH396" s="0" t="n">
        <f aca="false">AC396*AE396</f>
        <v>-3.98066895165906E-006</v>
      </c>
      <c r="AI396" s="0" t="n">
        <f aca="false">AI395+AH395</f>
        <v>0.00418159323019528</v>
      </c>
      <c r="AJ396" s="6" t="n">
        <f aca="false">Y396/$P$5</f>
        <v>1.604</v>
      </c>
      <c r="AK396" s="0" t="n">
        <f aca="false">SQRT(AG396^2+AI396^2)</f>
        <v>0.00557221996552217</v>
      </c>
      <c r="AL396" s="0" t="n">
        <f aca="false">$W$5*(Y396/$V$5-Z396)</f>
        <v>0.00712538073541954</v>
      </c>
      <c r="AM396" s="0" t="n">
        <f aca="false">SQRT(AK396^2+AL396^2)</f>
        <v>0.00904547875841029</v>
      </c>
      <c r="AN396" s="2" t="n">
        <f aca="false">Y396</f>
        <v>1604</v>
      </c>
      <c r="AO396" s="0" t="n">
        <f aca="false">AM396/Z396</f>
        <v>0.0073281618548478</v>
      </c>
    </row>
    <row r="397" customFormat="false" ht="12.75" hidden="false" customHeight="false" outlineLevel="0" collapsed="false">
      <c r="Y397" s="0" t="n">
        <f aca="false">Y396+$X$5</f>
        <v>1608</v>
      </c>
      <c r="Z397" s="0" t="n">
        <f aca="false">(Y397/$V$5)^$O$5</f>
        <v>1.23452019750011</v>
      </c>
      <c r="AA397" s="0" t="n">
        <f aca="false">$Q$5*(Y397-$V$5)</f>
        <v>9.85203456165759</v>
      </c>
      <c r="AB397" s="0" t="n">
        <f aca="false">COS(AA397)</f>
        <v>-0.910105970684996</v>
      </c>
      <c r="AC397" s="0" t="n">
        <f aca="false">SIN(AA397)</f>
        <v>-0.414375580993284</v>
      </c>
      <c r="AD397" s="0" t="n">
        <f aca="false">$T$5*(Z397-1)</f>
        <v>0.00995774459577543</v>
      </c>
      <c r="AE397" s="0" t="n">
        <f aca="false">2*$T$5*$U$5*Z397*$X$5/(Y397+Y398)</f>
        <v>1.01471906343685E-005</v>
      </c>
      <c r="AF397" s="0" t="n">
        <f aca="false">AB397*AE397</f>
        <v>-9.23501878201767E-006</v>
      </c>
      <c r="AG397" s="0" t="n">
        <f aca="false">AG396+AF396</f>
        <v>0.003673562161049</v>
      </c>
      <c r="AH397" s="0" t="n">
        <f aca="false">AC397*AE397</f>
        <v>-4.20474801456607E-006</v>
      </c>
      <c r="AI397" s="0" t="n">
        <f aca="false">AI396+AH396</f>
        <v>0.00417761256124362</v>
      </c>
      <c r="AJ397" s="6" t="n">
        <f aca="false">Y397/$P$5</f>
        <v>1.608</v>
      </c>
      <c r="AK397" s="0" t="n">
        <f aca="false">SQRT(AG397^2+AI397^2)</f>
        <v>0.00556304823482158</v>
      </c>
      <c r="AL397" s="0" t="n">
        <f aca="false">$W$5*(Y397/$V$5-Z397)</f>
        <v>0.00714368194681562</v>
      </c>
      <c r="AM397" s="0" t="n">
        <f aca="false">SQRT(AK397^2+AL397^2)</f>
        <v>0.00905426404630498</v>
      </c>
      <c r="AN397" s="2" t="n">
        <f aca="false">Y397</f>
        <v>1608</v>
      </c>
      <c r="AO397" s="0" t="n">
        <f aca="false">AM397/Z397</f>
        <v>0.00733423727261796</v>
      </c>
    </row>
    <row r="398" customFormat="false" ht="12.75" hidden="false" customHeight="false" outlineLevel="0" collapsed="false">
      <c r="Y398" s="0" t="n">
        <f aca="false">Y397+$X$5</f>
        <v>1612</v>
      </c>
      <c r="Z398" s="0" t="n">
        <f aca="false">(Y398/$V$5)^$O$5</f>
        <v>1.2346951460282</v>
      </c>
      <c r="AA398" s="0" t="n">
        <f aca="false">$Q$5*(Y398-$V$5)</f>
        <v>9.87716730288631</v>
      </c>
      <c r="AB398" s="0" t="n">
        <f aca="false">COS(AA398)</f>
        <v>-0.899405251566371</v>
      </c>
      <c r="AC398" s="0" t="n">
        <f aca="false">SIN(AA398)</f>
        <v>-0.437115766650933</v>
      </c>
      <c r="AD398" s="0" t="n">
        <f aca="false">$T$5*(Z398-1)</f>
        <v>0.00996517292296757</v>
      </c>
      <c r="AE398" s="0" t="n">
        <f aca="false">2*$T$5*$U$5*Z398*$X$5/(Y398+Y399)</f>
        <v>1.01234771351581E-005</v>
      </c>
      <c r="AF398" s="0" t="n">
        <f aca="false">AB398*AE398</f>
        <v>-9.10510849947326E-006</v>
      </c>
      <c r="AG398" s="0" t="n">
        <f aca="false">AG397+AF397</f>
        <v>0.00366432714226698</v>
      </c>
      <c r="AH398" s="0" t="n">
        <f aca="false">AC398*AE398</f>
        <v>-4.42513146910782E-006</v>
      </c>
      <c r="AI398" s="0" t="n">
        <f aca="false">AI397+AH397</f>
        <v>0.00417340781322906</v>
      </c>
      <c r="AJ398" s="6" t="n">
        <f aca="false">Y398/$P$5</f>
        <v>1.612</v>
      </c>
      <c r="AK398" s="0" t="n">
        <f aca="false">SQRT(AG398^2+AI398^2)</f>
        <v>0.00555379385475153</v>
      </c>
      <c r="AL398" s="0" t="n">
        <f aca="false">$W$5*(Y398/$V$5-Z398)</f>
        <v>0.00716198323353542</v>
      </c>
      <c r="AM398" s="0" t="n">
        <f aca="false">SQRT(AK398^2+AL398^2)</f>
        <v>0.00906303646790182</v>
      </c>
      <c r="AN398" s="2" t="n">
        <f aca="false">Y398</f>
        <v>1612</v>
      </c>
      <c r="AO398" s="0" t="n">
        <f aca="false">AM398/Z398</f>
        <v>0.00734030298657608</v>
      </c>
    </row>
    <row r="399" customFormat="false" ht="12.75" hidden="false" customHeight="false" outlineLevel="0" collapsed="false">
      <c r="Y399" s="0" t="n">
        <f aca="false">Y398+$X$5</f>
        <v>1616</v>
      </c>
      <c r="Z399" s="0" t="n">
        <f aca="false">(Y399/$V$5)^$O$5</f>
        <v>1.23486968567886</v>
      </c>
      <c r="AA399" s="0" t="n">
        <f aca="false">$Q$5*(Y399-$V$5)</f>
        <v>9.90230004411503</v>
      </c>
      <c r="AB399" s="0" t="n">
        <f aca="false">COS(AA399)</f>
        <v>-0.888136448813545</v>
      </c>
      <c r="AC399" s="0" t="n">
        <f aca="false">SIN(AA399)</f>
        <v>-0.459579860621488</v>
      </c>
      <c r="AD399" s="0" t="n">
        <f aca="false">$T$5*(Z399-1)</f>
        <v>0.00997258388919411</v>
      </c>
      <c r="AE399" s="0" t="n">
        <f aca="false">2*$T$5*$U$5*Z399*$X$5/(Y399+Y400)</f>
        <v>1.00998775402303E-005</v>
      </c>
      <c r="AF399" s="0" t="n">
        <f aca="false">AB399*AE399</f>
        <v>-8.97006937203186E-006</v>
      </c>
      <c r="AG399" s="0" t="n">
        <f aca="false">AG398+AF398</f>
        <v>0.0036552220337675</v>
      </c>
      <c r="AH399" s="0" t="n">
        <f aca="false">AC399*AE399</f>
        <v>-4.64170031223316E-006</v>
      </c>
      <c r="AI399" s="0" t="n">
        <f aca="false">AI398+AH398</f>
        <v>0.00416898268175995</v>
      </c>
      <c r="AJ399" s="6" t="n">
        <f aca="false">Y399/$P$5</f>
        <v>1.616</v>
      </c>
      <c r="AK399" s="0" t="n">
        <f aca="false">SQRT(AG399^2+AI399^2)</f>
        <v>0.00554446252732885</v>
      </c>
      <c r="AL399" s="0" t="n">
        <f aca="false">$W$5*(Y399/$V$5-Z399)</f>
        <v>0.00718028459521618</v>
      </c>
      <c r="AM399" s="0" t="n">
        <f aca="false">SQRT(AK399^2+AL399^2)</f>
        <v>0.00907179979856548</v>
      </c>
      <c r="AN399" s="2" t="n">
        <f aca="false">Y399</f>
        <v>1616</v>
      </c>
      <c r="AO399" s="0" t="n">
        <f aca="false">AM399/Z399</f>
        <v>0.00734636205242846</v>
      </c>
    </row>
    <row r="400" customFormat="false" ht="12.75" hidden="false" customHeight="false" outlineLevel="0" collapsed="false">
      <c r="Y400" s="0" t="n">
        <f aca="false">Y399+$X$5</f>
        <v>1620</v>
      </c>
      <c r="Z400" s="0" t="n">
        <f aca="false">(Y400/$V$5)^$O$5</f>
        <v>1.23504381841622</v>
      </c>
      <c r="AA400" s="0" t="n">
        <f aca="false">$Q$5*(Y400-$V$5)</f>
        <v>9.92743278534375</v>
      </c>
      <c r="AB400" s="0" t="n">
        <f aca="false">COS(AA400)</f>
        <v>-0.876306680043864</v>
      </c>
      <c r="AC400" s="0" t="n">
        <f aca="false">SIN(AA400)</f>
        <v>-0.481753674101716</v>
      </c>
      <c r="AD400" s="0" t="n">
        <f aca="false">$T$5*(Z400-1)</f>
        <v>0.00997997757785224</v>
      </c>
      <c r="AE400" s="0" t="n">
        <f aca="false">2*$T$5*$U$5*Z400*$X$5/(Y400+Y401)</f>
        <v>1.00763910229151E-005</v>
      </c>
      <c r="AF400" s="0" t="n">
        <f aca="false">AB400*AE400</f>
        <v>-8.83000876411449E-006</v>
      </c>
      <c r="AG400" s="0" t="n">
        <f aca="false">AG399+AF399</f>
        <v>0.00364625196439547</v>
      </c>
      <c r="AH400" s="0" t="n">
        <f aca="false">AC400*AE400</f>
        <v>-4.85433839697488E-006</v>
      </c>
      <c r="AI400" s="0" t="n">
        <f aca="false">AI399+AH399</f>
        <v>0.00416434098144772</v>
      </c>
      <c r="AJ400" s="6" t="n">
        <f aca="false">Y400/$P$5</f>
        <v>1.62</v>
      </c>
      <c r="AK400" s="0" t="n">
        <f aca="false">SQRT(AG400^2+AI400^2)</f>
        <v>0.00553505999946006</v>
      </c>
      <c r="AL400" s="0" t="n">
        <f aca="false">$W$5*(Y400/$V$5-Z400)</f>
        <v>0.00719858603149783</v>
      </c>
      <c r="AM400" s="0" t="n">
        <f aca="false">SQRT(AK400^2+AL400^2)</f>
        <v>0.0090805578050304</v>
      </c>
      <c r="AN400" s="2" t="n">
        <f aca="false">Y400</f>
        <v>1620</v>
      </c>
      <c r="AO400" s="0" t="n">
        <f aca="false">AM400/Z400</f>
        <v>0.00735241751719789</v>
      </c>
    </row>
    <row r="401" customFormat="false" ht="12.75" hidden="false" customHeight="false" outlineLevel="0" collapsed="false">
      <c r="Y401" s="0" t="n">
        <f aca="false">Y400+$X$5</f>
        <v>1624</v>
      </c>
      <c r="Z401" s="0" t="n">
        <f aca="false">(Y401/$V$5)^$O$5</f>
        <v>1.23521754619015</v>
      </c>
      <c r="AA401" s="0" t="n">
        <f aca="false">$Q$5*(Y401-$V$5)</f>
        <v>9.95256552657247</v>
      </c>
      <c r="AB401" s="0" t="n">
        <f aca="false">COS(AA401)</f>
        <v>-0.863923417192835</v>
      </c>
      <c r="AC401" s="0" t="n">
        <f aca="false">SIN(AA401)</f>
        <v>-0.503623201635761</v>
      </c>
      <c r="AD401" s="0" t="n">
        <f aca="false">$T$5*(Z401-1)</f>
        <v>0.00998735407173389</v>
      </c>
      <c r="AE401" s="0" t="n">
        <f aca="false">2*$T$5*$U$5*Z401*$X$5/(Y401+Y402)</f>
        <v>1.00530167645605E-005</v>
      </c>
      <c r="AF401" s="0" t="n">
        <f aca="false">AB401*AE401</f>
        <v>-8.68503659633597E-006</v>
      </c>
      <c r="AG401" s="0" t="n">
        <f aca="false">AG400+AF400</f>
        <v>0.00363742195563136</v>
      </c>
      <c r="AH401" s="0" t="n">
        <f aca="false">AC401*AE401</f>
        <v>-5.06293248906594E-006</v>
      </c>
      <c r="AI401" s="0" t="n">
        <f aca="false">AI400+AH400</f>
        <v>0.00415948664305074</v>
      </c>
      <c r="AJ401" s="6" t="n">
        <f aca="false">Y401/$P$5</f>
        <v>1.624</v>
      </c>
      <c r="AK401" s="0" t="n">
        <f aca="false">SQRT(AG401^2+AI401^2)</f>
        <v>0.00552559206031594</v>
      </c>
      <c r="AL401" s="0" t="n">
        <f aca="false">$W$5*(Y401/$V$5-Z401)</f>
        <v>0.00721688754202289</v>
      </c>
      <c r="AM401" s="0" t="n">
        <f aca="false">SQRT(AK401^2+AL401^2)</f>
        <v>0.00908931424317763</v>
      </c>
      <c r="AN401" s="2" t="n">
        <f aca="false">Y401</f>
        <v>1624</v>
      </c>
      <c r="AO401" s="0" t="n">
        <f aca="false">AM401/Z401</f>
        <v>0.00735847241743958</v>
      </c>
    </row>
    <row r="402" customFormat="false" ht="12.75" hidden="false" customHeight="false" outlineLevel="0" collapsed="false">
      <c r="Y402" s="0" t="n">
        <f aca="false">Y401+$X$5</f>
        <v>1628</v>
      </c>
      <c r="Z402" s="0" t="n">
        <f aca="false">(Y402/$V$5)^$O$5</f>
        <v>1.23539087093641</v>
      </c>
      <c r="AA402" s="0" t="n">
        <f aca="false">$Q$5*(Y402-$V$5)</f>
        <v>9.97769826780118</v>
      </c>
      <c r="AB402" s="0" t="n">
        <f aca="false">COS(AA402)</f>
        <v>-0.850994481794692</v>
      </c>
      <c r="AC402" s="0" t="n">
        <f aca="false">SIN(AA402)</f>
        <v>-0.525174629961296</v>
      </c>
      <c r="AD402" s="0" t="n">
        <f aca="false">$T$5*(Z402-1)</f>
        <v>0.00999471345303147</v>
      </c>
      <c r="AE402" s="0" t="n">
        <f aca="false">2*$T$5*$U$5*Z402*$X$5/(Y402+Y403)</f>
        <v>1.00297539544361E-005</v>
      </c>
      <c r="AF402" s="0" t="n">
        <f aca="false">AB402*AE402</f>
        <v>-8.53526526898365E-006</v>
      </c>
      <c r="AG402" s="0" t="n">
        <f aca="false">AG401+AF401</f>
        <v>0.00362873691903502</v>
      </c>
      <c r="AH402" s="0" t="n">
        <f aca="false">AC402*AE402</f>
        <v>-5.26737232162385E-006</v>
      </c>
      <c r="AI402" s="0" t="n">
        <f aca="false">AI401+AH401</f>
        <v>0.00415442371056168</v>
      </c>
      <c r="AJ402" s="6" t="n">
        <f aca="false">Y402/$P$5</f>
        <v>1.628</v>
      </c>
      <c r="AK402" s="0" t="n">
        <f aca="false">SQRT(AG402^2+AI402^2)</f>
        <v>0.00551606453864028</v>
      </c>
      <c r="AL402" s="0" t="n">
        <f aca="false">$W$5*(Y402/$V$5-Z402)</f>
        <v>0.00723518912643646</v>
      </c>
      <c r="AM402" s="0" t="n">
        <f aca="false">SQRT(AK402^2+AL402^2)</f>
        <v>0.00909807285581673</v>
      </c>
      <c r="AN402" s="2" t="n">
        <f aca="false">Y402</f>
        <v>1628</v>
      </c>
      <c r="AO402" s="0" t="n">
        <f aca="false">AM402/Z402</f>
        <v>0.00736452977746266</v>
      </c>
    </row>
    <row r="403" customFormat="false" ht="12.75" hidden="false" customHeight="false" outlineLevel="0" collapsed="false">
      <c r="Y403" s="0" t="n">
        <f aca="false">Y402+$X$5</f>
        <v>1632</v>
      </c>
      <c r="Z403" s="0" t="n">
        <f aca="false">(Y403/$V$5)^$O$5</f>
        <v>1.23556379457678</v>
      </c>
      <c r="AA403" s="0" t="n">
        <f aca="false">$Q$5*(Y403-$V$5)</f>
        <v>10.0028310090299</v>
      </c>
      <c r="AB403" s="0" t="n">
        <f aca="false">COS(AA403)</f>
        <v>-0.837528040042141</v>
      </c>
      <c r="AC403" s="0" t="n">
        <f aca="false">SIN(AA403)</f>
        <v>-0.54639434673427</v>
      </c>
      <c r="AD403" s="0" t="n">
        <f aca="false">$T$5*(Z403-1)</f>
        <v>0.0100020558033438</v>
      </c>
      <c r="AE403" s="0" t="n">
        <f aca="false">2*$T$5*$U$5*Z403*$X$5/(Y403+Y404)</f>
        <v>1.00066017896369E-005</v>
      </c>
      <c r="AF403" s="0" t="n">
        <f aca="false">AB403*AE403</f>
        <v>-8.38080958435674E-006</v>
      </c>
      <c r="AG403" s="0" t="n">
        <f aca="false">AG402+AF402</f>
        <v>0.00362020165376604</v>
      </c>
      <c r="AH403" s="0" t="n">
        <f aca="false">AC403*AE403</f>
        <v>-5.46755064787861E-006</v>
      </c>
      <c r="AI403" s="0" t="n">
        <f aca="false">AI402+AH402</f>
        <v>0.00414915633824005</v>
      </c>
      <c r="AJ403" s="6" t="n">
        <f aca="false">Y403/$P$5</f>
        <v>1.632</v>
      </c>
      <c r="AK403" s="0" t="n">
        <f aca="false">SQRT(AG403^2+AI403^2)</f>
        <v>0.00550648329999174</v>
      </c>
      <c r="AL403" s="0" t="n">
        <f aca="false">$W$5*(Y403/$V$5-Z403)</f>
        <v>0.00725349078438622</v>
      </c>
      <c r="AM403" s="0" t="n">
        <f aca="false">SQRT(AK403^2+AL403^2)</f>
        <v>0.00910683737047411</v>
      </c>
      <c r="AN403" s="2" t="n">
        <f aca="false">Y403</f>
        <v>1632</v>
      </c>
      <c r="AO403" s="0" t="n">
        <f aca="false">AM403/Z403</f>
        <v>0.00737059260755815</v>
      </c>
    </row>
    <row r="404" customFormat="false" ht="12.75" hidden="false" customHeight="false" outlineLevel="0" collapsed="false">
      <c r="Y404" s="0" t="n">
        <f aca="false">Y403+$X$5</f>
        <v>1636</v>
      </c>
      <c r="Z404" s="0" t="n">
        <f aca="false">(Y404/$V$5)^$O$5</f>
        <v>1.23573631901919</v>
      </c>
      <c r="AA404" s="0" t="n">
        <f aca="false">$Q$5*(Y404-$V$5)</f>
        <v>10.0279637502586</v>
      </c>
      <c r="AB404" s="0" t="n">
        <f aca="false">COS(AA404)</f>
        <v>-0.823532597628428</v>
      </c>
      <c r="AC404" s="0" t="n">
        <f aca="false">SIN(AA404)</f>
        <v>-0.567268949126756</v>
      </c>
      <c r="AD404" s="0" t="n">
        <f aca="false">$T$5*(Z404-1)</f>
        <v>0.0100093812036818</v>
      </c>
      <c r="AE404" s="0" t="n">
        <f aca="false">2*$T$5*$U$5*Z404*$X$5/(Y404+Y405)</f>
        <v>9.98355947498844E-006</v>
      </c>
      <c r="AF404" s="0" t="n">
        <f aca="false">AB404*AE404</f>
        <v>-8.22178666801513E-006</v>
      </c>
      <c r="AG404" s="0" t="n">
        <f aca="false">AG403+AF403</f>
        <v>0.00361182084418168</v>
      </c>
      <c r="AH404" s="0" t="n">
        <f aca="false">AC404*AE404</f>
        <v>-5.66336329192116E-006</v>
      </c>
      <c r="AI404" s="0" t="n">
        <f aca="false">AI403+AH403</f>
        <v>0.00414368878759217</v>
      </c>
      <c r="AJ404" s="6" t="n">
        <f aca="false">Y404/$P$5</f>
        <v>1.636</v>
      </c>
      <c r="AK404" s="0" t="n">
        <f aca="false">SQRT(AG404^2+AI404^2)</f>
        <v>0.00549685424391828</v>
      </c>
      <c r="AL404" s="0" t="n">
        <f aca="false">$W$5*(Y404/$V$5-Z404)</f>
        <v>0.00727179251552238</v>
      </c>
      <c r="AM404" s="0" t="n">
        <f aca="false">SQRT(AK404^2+AL404^2)</f>
        <v>0.0091156114971893</v>
      </c>
      <c r="AN404" s="2" t="n">
        <f aca="false">Y404</f>
        <v>1636</v>
      </c>
      <c r="AO404" s="0" t="n">
        <f aca="false">AM404/Z404</f>
        <v>0.00737666390223475</v>
      </c>
    </row>
    <row r="405" customFormat="false" ht="12.75" hidden="false" customHeight="false" outlineLevel="0" collapsed="false">
      <c r="Y405" s="0" t="n">
        <f aca="false">Y404+$X$5</f>
        <v>1640</v>
      </c>
      <c r="Z405" s="0" t="n">
        <f aca="false">(Y405/$V$5)^$O$5</f>
        <v>1.23590844615786</v>
      </c>
      <c r="AA405" s="0" t="n">
        <f aca="false">$Q$5*(Y405-$V$5)</f>
        <v>10.0530964914873</v>
      </c>
      <c r="AB405" s="0" t="n">
        <f aca="false">COS(AA405)</f>
        <v>-0.809016994374948</v>
      </c>
      <c r="AC405" s="0" t="n">
        <f aca="false">SIN(AA405)</f>
        <v>-0.587785252292473</v>
      </c>
      <c r="AD405" s="0" t="n">
        <f aca="false">$T$5*(Z405-1)</f>
        <v>0.0100166897344742</v>
      </c>
      <c r="AE405" s="0" t="n">
        <f aca="false">2*$T$5*$U$5*Z405*$X$5/(Y405+Y406)</f>
        <v>9.96062622295449E-006</v>
      </c>
      <c r="AF405" s="0" t="n">
        <f aca="false">AB405*AE405</f>
        <v>-8.05831588898693E-006</v>
      </c>
      <c r="AG405" s="0" t="n">
        <f aca="false">AG404+AF404</f>
        <v>0.00360359905751367</v>
      </c>
      <c r="AH405" s="0" t="n">
        <f aca="false">AC405*AE405</f>
        <v>-5.85470919745032E-006</v>
      </c>
      <c r="AI405" s="0" t="n">
        <f aca="false">AI404+AH404</f>
        <v>0.00413802542430025</v>
      </c>
      <c r="AJ405" s="6" t="n">
        <f aca="false">Y405/$P$5</f>
        <v>1.64</v>
      </c>
      <c r="AK405" s="0" t="n">
        <f aca="false">SQRT(AG405^2+AI405^2)</f>
        <v>0.00548718330106337</v>
      </c>
      <c r="AL405" s="0" t="n">
        <f aca="false">$W$5*(Y405/$V$5-Z405)</f>
        <v>0.00729009431949767</v>
      </c>
      <c r="AM405" s="0" t="n">
        <f aca="false">SQRT(AK405^2+AL405^2)</f>
        <v>0.00912439892632062</v>
      </c>
      <c r="AN405" s="2" t="n">
        <f aca="false">Y405</f>
        <v>1640</v>
      </c>
      <c r="AO405" s="0" t="n">
        <f aca="false">AM405/Z405</f>
        <v>0.00738274663846354</v>
      </c>
    </row>
    <row r="406" customFormat="false" ht="12.75" hidden="false" customHeight="false" outlineLevel="0" collapsed="false">
      <c r="Y406" s="0" t="n">
        <f aca="false">Y405+$X$5</f>
        <v>1644</v>
      </c>
      <c r="Z406" s="0" t="n">
        <f aca="false">(Y406/$V$5)^$O$5</f>
        <v>1.23608017787342</v>
      </c>
      <c r="AA406" s="0" t="n">
        <f aca="false">$Q$5*(Y406-$V$5)</f>
        <v>10.0782292327161</v>
      </c>
      <c r="AB406" s="0" t="n">
        <f aca="false">COS(AA406)</f>
        <v>-0.793990398647836</v>
      </c>
      <c r="AC406" s="0" t="n">
        <f aca="false">SIN(AA406)</f>
        <v>-0.607930297694605</v>
      </c>
      <c r="AD406" s="0" t="n">
        <f aca="false">$T$5*(Z406-1)</f>
        <v>0.010023981475573</v>
      </c>
      <c r="AE406" s="0" t="n">
        <f aca="false">2*$T$5*$U$5*Z406*$X$5/(Y406+Y407)</f>
        <v>9.93780125354473E-006</v>
      </c>
      <c r="AF406" s="0" t="n">
        <f aca="false">AB406*AE406</f>
        <v>-7.89051877898494E-006</v>
      </c>
      <c r="AG406" s="0" t="n">
        <f aca="false">AG405+AF405</f>
        <v>0.00359554074162468</v>
      </c>
      <c r="AH406" s="0" t="n">
        <f aca="false">AC406*AE406</f>
        <v>-6.04149047449727E-006</v>
      </c>
      <c r="AI406" s="0" t="n">
        <f aca="false">AI405+AH405</f>
        <v>0.0041321707151028</v>
      </c>
      <c r="AJ406" s="6" t="n">
        <f aca="false">Y406/$P$5</f>
        <v>1.644</v>
      </c>
      <c r="AK406" s="0" t="n">
        <f aca="false">SQRT(AG406^2+AI406^2)</f>
        <v>0.00547747643020362</v>
      </c>
      <c r="AL406" s="0" t="n">
        <f aca="false">$W$5*(Y406/$V$5-Z406)</f>
        <v>0.00730839619596731</v>
      </c>
      <c r="AM406" s="0" t="n">
        <f aca="false">SQRT(AK406^2+AL406^2)</f>
        <v>0.00913320332636176</v>
      </c>
      <c r="AN406" s="2" t="n">
        <f aca="false">Y406</f>
        <v>1644</v>
      </c>
      <c r="AO406" s="0" t="n">
        <f aca="false">AM406/Z406</f>
        <v>0.00738884377393277</v>
      </c>
    </row>
    <row r="407" customFormat="false" ht="12.75" hidden="false" customHeight="false" outlineLevel="0" collapsed="false">
      <c r="Y407" s="0" t="n">
        <f aca="false">Y406+$X$5</f>
        <v>1648</v>
      </c>
      <c r="Z407" s="0" t="n">
        <f aca="false">(Y407/$V$5)^$O$5</f>
        <v>1.23625151603307</v>
      </c>
      <c r="AA407" s="0" t="n">
        <f aca="false">$Q$5*(Y407-$V$5)</f>
        <v>10.1033619739448</v>
      </c>
      <c r="AB407" s="0" t="n">
        <f aca="false">COS(AA407)</f>
        <v>-0.778462301567024</v>
      </c>
      <c r="AC407" s="0" t="n">
        <f aca="false">SIN(AA407)</f>
        <v>-0.627691361290701</v>
      </c>
      <c r="AD407" s="0" t="n">
        <f aca="false">$T$5*(Z407-1)</f>
        <v>0.010031256506259</v>
      </c>
      <c r="AE407" s="0" t="n">
        <f aca="false">2*$T$5*$U$5*Z407*$X$5/(Y407+Y408)</f>
        <v>9.91508379422451E-006</v>
      </c>
      <c r="AF407" s="0" t="n">
        <f aca="false">AB407*AE407</f>
        <v>-7.71851895068191E-006</v>
      </c>
      <c r="AG407" s="0" t="n">
        <f aca="false">AG406+AF406</f>
        <v>0.00358765022284569</v>
      </c>
      <c r="AH407" s="0" t="n">
        <f aca="false">AC407*AE407</f>
        <v>-6.22361244410815E-006</v>
      </c>
      <c r="AI407" s="0" t="n">
        <f aca="false">AI406+AH406</f>
        <v>0.00412612922462831</v>
      </c>
      <c r="AJ407" s="6" t="n">
        <f aca="false">Y407/$P$5</f>
        <v>1.648</v>
      </c>
      <c r="AK407" s="0" t="n">
        <f aca="false">SQRT(AG407^2+AI407^2)</f>
        <v>0.00546773961521729</v>
      </c>
      <c r="AL407" s="0" t="n">
        <f aca="false">$W$5*(Y407/$V$5-Z407)</f>
        <v>0.00732669814458897</v>
      </c>
      <c r="AM407" s="0" t="n">
        <f aca="false">SQRT(AK407^2+AL407^2)</f>
        <v>0.00914202834177077</v>
      </c>
      <c r="AN407" s="2" t="n">
        <f aca="false">Y407</f>
        <v>1648</v>
      </c>
      <c r="AO407" s="0" t="n">
        <f aca="false">AM407/Z407</f>
        <v>0.00739495824531405</v>
      </c>
    </row>
    <row r="408" customFormat="false" ht="12.75" hidden="false" customHeight="false" outlineLevel="0" collapsed="false">
      <c r="Y408" s="0" t="n">
        <f aca="false">Y407+$X$5</f>
        <v>1652</v>
      </c>
      <c r="Z408" s="0" t="n">
        <f aca="false">(Y408/$V$5)^$O$5</f>
        <v>1.23642246249067</v>
      </c>
      <c r="AA408" s="0" t="n">
        <f aca="false">$Q$5*(Y408-$V$5)</f>
        <v>10.1284947151735</v>
      </c>
      <c r="AB408" s="0" t="n">
        <f aca="false">COS(AA408)</f>
        <v>-0.762442511011448</v>
      </c>
      <c r="AC408" s="0" t="n">
        <f aca="false">SIN(AA408)</f>
        <v>-0.647055961569444</v>
      </c>
      <c r="AD408" s="0" t="n">
        <f aca="false">$T$5*(Z408-1)</f>
        <v>0.0100385149052474</v>
      </c>
      <c r="AE408" s="0" t="n">
        <f aca="false">2*$T$5*$U$5*Z408*$X$5/(Y408+Y409)</f>
        <v>9.89247307982576E-006</v>
      </c>
      <c r="AF408" s="0" t="n">
        <f aca="false">AB408*AE408</f>
        <v>-7.5424420150955E-006</v>
      </c>
      <c r="AG408" s="0" t="n">
        <f aca="false">AG407+AF407</f>
        <v>0.00357993170389501</v>
      </c>
      <c r="AH408" s="0" t="n">
        <f aca="false">AC408*AE408</f>
        <v>-6.4009836809665E-006</v>
      </c>
      <c r="AI408" s="0" t="n">
        <f aca="false">AI407+AH407</f>
        <v>0.0041199056121842</v>
      </c>
      <c r="AJ408" s="6" t="n">
        <f aca="false">Y408/$P$5</f>
        <v>1.652</v>
      </c>
      <c r="AK408" s="0" t="n">
        <f aca="false">SQRT(AG408^2+AI408^2)</f>
        <v>0.00545797886198357</v>
      </c>
      <c r="AL408" s="0" t="n">
        <f aca="false">$W$5*(Y408/$V$5-Z408)</f>
        <v>0.00734500016502278</v>
      </c>
      <c r="AM408" s="0" t="n">
        <f aca="false">SQRT(AK408^2+AL408^2)</f>
        <v>0.00915087759081303</v>
      </c>
      <c r="AN408" s="2" t="n">
        <f aca="false">Y408</f>
        <v>1652</v>
      </c>
      <c r="AO408" s="0" t="n">
        <f aca="false">AM408/Z408</f>
        <v>0.00740109296654102</v>
      </c>
    </row>
    <row r="409" customFormat="false" ht="12.75" hidden="false" customHeight="false" outlineLevel="0" collapsed="false">
      <c r="Y409" s="0" t="n">
        <f aca="false">Y408+$X$5</f>
        <v>1656</v>
      </c>
      <c r="Z409" s="0" t="n">
        <f aca="false">(Y409/$V$5)^$O$5</f>
        <v>1.23659301908689</v>
      </c>
      <c r="AA409" s="0" t="n">
        <f aca="false">$Q$5*(Y409-$V$5)</f>
        <v>10.1536274564022</v>
      </c>
      <c r="AB409" s="0" t="n">
        <f aca="false">COS(AA409)</f>
        <v>-0.745941145424182</v>
      </c>
      <c r="AC409" s="0" t="n">
        <f aca="false">SIN(AA409)</f>
        <v>-0.666011867434252</v>
      </c>
      <c r="AD409" s="0" t="n">
        <f aca="false">$T$5*(Z409-1)</f>
        <v>0.0100457567506933</v>
      </c>
      <c r="AE409" s="0" t="n">
        <f aca="false">2*$T$5*$U$5*Z409*$X$5/(Y409+Y410)</f>
        <v>9.86996835245906E-006</v>
      </c>
      <c r="AF409" s="0" t="n">
        <f aca="false">AB409*AE409</f>
        <v>-7.36241549813374E-006</v>
      </c>
      <c r="AG409" s="0" t="n">
        <f aca="false">AG408+AF408</f>
        <v>0.00357238926187992</v>
      </c>
      <c r="AH409" s="0" t="n">
        <f aca="false">AC409*AE409</f>
        <v>-6.57351605393823E-006</v>
      </c>
      <c r="AI409" s="0" t="n">
        <f aca="false">AI408+AH408</f>
        <v>0.00411350462850323</v>
      </c>
      <c r="AJ409" s="6" t="n">
        <f aca="false">Y409/$P$5</f>
        <v>1.656</v>
      </c>
      <c r="AK409" s="0" t="n">
        <f aca="false">SQRT(AG409^2+AI409^2)</f>
        <v>0.0054482001952124</v>
      </c>
      <c r="AL409" s="0" t="n">
        <f aca="false">$W$5*(Y409/$V$5-Z409)</f>
        <v>0.00736330225693128</v>
      </c>
      <c r="AM409" s="0" t="n">
        <f aca="false">SQRT(AK409^2+AL409^2)</f>
        <v>0.00915975466341985</v>
      </c>
      <c r="AN409" s="2" t="n">
        <f aca="false">Y409</f>
        <v>1656</v>
      </c>
      <c r="AO409" s="0" t="n">
        <f aca="false">AM409/Z409</f>
        <v>0.00740725082710196</v>
      </c>
    </row>
    <row r="410" customFormat="false" ht="12.75" hidden="false" customHeight="false" outlineLevel="0" collapsed="false">
      <c r="Y410" s="0" t="n">
        <f aca="false">Y409+$X$5</f>
        <v>1660</v>
      </c>
      <c r="Z410" s="0" t="n">
        <f aca="false">(Y410/$V$5)^$O$5</f>
        <v>1.23676318764932</v>
      </c>
      <c r="AA410" s="0" t="n">
        <f aca="false">$Q$5*(Y410-$V$5)</f>
        <v>10.1787601976309</v>
      </c>
      <c r="AB410" s="0" t="n">
        <f aca="false">COS(AA410)</f>
        <v>-0.728968627421411</v>
      </c>
      <c r="AC410" s="0" t="n">
        <f aca="false">SIN(AA410)</f>
        <v>-0.684547105928689</v>
      </c>
      <c r="AD410" s="0" t="n">
        <f aca="false">$T$5*(Z410-1)</f>
        <v>0.0100529821201966</v>
      </c>
      <c r="AE410" s="0" t="n">
        <f aca="false">2*$T$5*$U$5*Z410*$X$5/(Y410+Y411)</f>
        <v>9.84756886142712E-006</v>
      </c>
      <c r="AF410" s="0" t="n">
        <f aca="false">AB410*AE410</f>
        <v>-7.17856875635235E-006</v>
      </c>
      <c r="AG410" s="0" t="n">
        <f aca="false">AG409+AF409</f>
        <v>0.00356502684638178</v>
      </c>
      <c r="AH410" s="0" t="n">
        <f aca="false">AC410*AE410</f>
        <v>-6.74112476452341E-006</v>
      </c>
      <c r="AI410" s="0" t="n">
        <f aca="false">AI409+AH409</f>
        <v>0.00410693111244929</v>
      </c>
      <c r="AJ410" s="6" t="n">
        <f aca="false">Y410/$P$5</f>
        <v>1.66</v>
      </c>
      <c r="AK410" s="0" t="n">
        <f aca="false">SQRT(AG410^2+AI410^2)</f>
        <v>0.00543840965520499</v>
      </c>
      <c r="AL410" s="0" t="n">
        <f aca="false">$W$5*(Y410/$V$5-Z410)</f>
        <v>0.00738160441997942</v>
      </c>
      <c r="AM410" s="0" t="n">
        <f aca="false">SQRT(AK410^2+AL410^2)</f>
        <v>0.00916866311906411</v>
      </c>
      <c r="AN410" s="2" t="n">
        <f aca="false">Y410</f>
        <v>1660</v>
      </c>
      <c r="AO410" s="0" t="n">
        <f aca="false">AM410/Z410</f>
        <v>0.00741343469034742</v>
      </c>
    </row>
    <row r="411" customFormat="false" ht="12.75" hidden="false" customHeight="false" outlineLevel="0" collapsed="false">
      <c r="Y411" s="0" t="n">
        <f aca="false">Y410+$X$5</f>
        <v>1664</v>
      </c>
      <c r="Z411" s="0" t="n">
        <f aca="false">(Y411/$V$5)^$O$5</f>
        <v>1.23693296999262</v>
      </c>
      <c r="AA411" s="0" t="n">
        <f aca="false">$Q$5*(Y411-$V$5)</f>
        <v>10.2038929388597</v>
      </c>
      <c r="AB411" s="0" t="n">
        <f aca="false">COS(AA411)</f>
        <v>-0.711535677209285</v>
      </c>
      <c r="AC411" s="0" t="n">
        <f aca="false">SIN(AA411)</f>
        <v>-0.70264996979885</v>
      </c>
      <c r="AD411" s="0" t="n">
        <f aca="false">$T$5*(Z411-1)</f>
        <v>0.0100601910908077</v>
      </c>
      <c r="AE411" s="0" t="n">
        <f aca="false">2*$T$5*$U$5*Z411*$X$5/(Y411+Y412)</f>
        <v>9.82527386313937E-006</v>
      </c>
      <c r="AF411" s="0" t="n">
        <f aca="false">AB411*AE411</f>
        <v>-6.99103289197556E-006</v>
      </c>
      <c r="AG411" s="0" t="n">
        <f aca="false">AG410+AF410</f>
        <v>0.00355784827762543</v>
      </c>
      <c r="AH411" s="0" t="n">
        <f aca="false">AC411*AE411</f>
        <v>-6.90372838320031E-006</v>
      </c>
      <c r="AI411" s="0" t="n">
        <f aca="false">AI410+AH410</f>
        <v>0.00410018998768477</v>
      </c>
      <c r="AJ411" s="6" t="n">
        <f aca="false">Y411/$P$5</f>
        <v>1.664</v>
      </c>
      <c r="AK411" s="0" t="n">
        <f aca="false">SQRT(AG411^2+AI411^2)</f>
        <v>0.00542861329454518</v>
      </c>
      <c r="AL411" s="0" t="n">
        <f aca="false">$W$5*(Y411/$V$5-Z411)</f>
        <v>0.0073999066538345</v>
      </c>
      <c r="AM411" s="0" t="n">
        <f aca="false">SQRT(AK411^2+AL411^2)</f>
        <v>0.00917760648465474</v>
      </c>
      <c r="AN411" s="2" t="n">
        <f aca="false">Y411</f>
        <v>1664</v>
      </c>
      <c r="AO411" s="0" t="n">
        <f aca="false">AM411/Z411</f>
        <v>0.00741964739181419</v>
      </c>
    </row>
    <row r="412" customFormat="false" ht="12.75" hidden="false" customHeight="false" outlineLevel="0" collapsed="false">
      <c r="Y412" s="0" t="n">
        <f aca="false">Y411+$X$5</f>
        <v>1668</v>
      </c>
      <c r="Z412" s="0" t="n">
        <f aca="false">(Y412/$V$5)^$O$5</f>
        <v>1.23710236791863</v>
      </c>
      <c r="AA412" s="0" t="n">
        <f aca="false">$Q$5*(Y412-$V$5)</f>
        <v>10.2290256800884</v>
      </c>
      <c r="AB412" s="0" t="n">
        <f aca="false">COS(AA412)</f>
        <v>-0.693653305812804</v>
      </c>
      <c r="AC412" s="0" t="n">
        <f aca="false">SIN(AA412)</f>
        <v>-0.720309024887908</v>
      </c>
      <c r="AD412" s="0" t="n">
        <f aca="false">$T$5*(Z412-1)</f>
        <v>0.0100673837390325</v>
      </c>
      <c r="AE412" s="0" t="n">
        <f aca="false">2*$T$5*$U$5*Z412*$X$5/(Y412+Y413)</f>
        <v>9.80308262102788E-006</v>
      </c>
      <c r="AF412" s="0" t="n">
        <f aca="false">AB412*AE412</f>
        <v>-6.79994066723204E-006</v>
      </c>
      <c r="AG412" s="0" t="n">
        <f aca="false">AG411+AF411</f>
        <v>0.00355085724473346</v>
      </c>
      <c r="AH412" s="0" t="n">
        <f aca="false">AC412*AE412</f>
        <v>-7.06124888364819E-006</v>
      </c>
      <c r="AI412" s="0" t="n">
        <f aca="false">AI411+AH411</f>
        <v>0.00409328625930157</v>
      </c>
      <c r="AJ412" s="6" t="n">
        <f aca="false">Y412/$P$5</f>
        <v>1.668</v>
      </c>
      <c r="AK412" s="0" t="n">
        <f aca="false">SQRT(AG412^2+AI412^2)</f>
        <v>0.00541881717472209</v>
      </c>
      <c r="AL412" s="0" t="n">
        <f aca="false">$W$5*(Y412/$V$5-Z412)</f>
        <v>0.00741820895816619</v>
      </c>
      <c r="AM412" s="0" t="n">
        <f aca="false">SQRT(AK412^2+AL412^2)</f>
        <v>0.00918658825245152</v>
      </c>
      <c r="AN412" s="2" t="n">
        <f aca="false">Y412</f>
        <v>1668</v>
      </c>
      <c r="AO412" s="0" t="n">
        <f aca="false">AM412/Z412</f>
        <v>0.00742589173756701</v>
      </c>
    </row>
    <row r="413" customFormat="false" ht="12.75" hidden="false" customHeight="false" outlineLevel="0" collapsed="false">
      <c r="Y413" s="0" t="n">
        <f aca="false">Y412+$X$5</f>
        <v>1672</v>
      </c>
      <c r="Z413" s="0" t="n">
        <f aca="false">(Y413/$V$5)^$O$5</f>
        <v>1.23727138321646</v>
      </c>
      <c r="AA413" s="0" t="n">
        <f aca="false">$Q$5*(Y413-$V$5)</f>
        <v>10.2541584213171</v>
      </c>
      <c r="AB413" s="0" t="n">
        <f aca="false">COS(AA413)</f>
        <v>-0.675332808121025</v>
      </c>
      <c r="AC413" s="0" t="n">
        <f aca="false">SIN(AA413)</f>
        <v>-0.737513117358174</v>
      </c>
      <c r="AD413" s="0" t="n">
        <f aca="false">$T$5*(Z413-1)</f>
        <v>0.0100745601408373</v>
      </c>
      <c r="AE413" s="0" t="n">
        <f aca="false">2*$T$5*$U$5*Z413*$X$5/(Y413+Y414)</f>
        <v>9.78099440546436E-006</v>
      </c>
      <c r="AF413" s="0" t="n">
        <f aca="false">AB413*AE413</f>
        <v>-6.60542641805828E-006</v>
      </c>
      <c r="AG413" s="0" t="n">
        <f aca="false">AG412+AF412</f>
        <v>0.00354405730406622</v>
      </c>
      <c r="AH413" s="0" t="n">
        <f aca="false">AC413*AE413</f>
        <v>-7.21361167483687E-006</v>
      </c>
      <c r="AI413" s="0" t="n">
        <f aca="false">AI412+AH412</f>
        <v>0.00408622501041792</v>
      </c>
      <c r="AJ413" s="6" t="n">
        <f aca="false">Y413/$P$5</f>
        <v>1.672</v>
      </c>
      <c r="AK413" s="0" t="n">
        <f aca="false">SQRT(AG413^2+AI413^2)</f>
        <v>0.00540902736268454</v>
      </c>
      <c r="AL413" s="0" t="n">
        <f aca="false">$W$5*(Y413/$V$5-Z413)</f>
        <v>0.00743651133264648</v>
      </c>
      <c r="AM413" s="0" t="n">
        <f aca="false">SQRT(AK413^2+AL413^2)</f>
        <v>0.0091956118780019</v>
      </c>
      <c r="AN413" s="2" t="n">
        <f aca="false">Y413</f>
        <v>1672</v>
      </c>
      <c r="AO413" s="0" t="n">
        <f aca="false">AM413/Z413</f>
        <v>0.00743217050255912</v>
      </c>
    </row>
    <row r="414" customFormat="false" ht="12.75" hidden="false" customHeight="false" outlineLevel="0" collapsed="false">
      <c r="Y414" s="0" t="n">
        <f aca="false">Y413+$X$5</f>
        <v>1676</v>
      </c>
      <c r="Z414" s="0" t="n">
        <f aca="false">(Y414/$V$5)^$O$5</f>
        <v>1.23744001766267</v>
      </c>
      <c r="AA414" s="0" t="n">
        <f aca="false">$Q$5*(Y414-$V$5)</f>
        <v>10.2792911625458</v>
      </c>
      <c r="AB414" s="0" t="n">
        <f aca="false">COS(AA414)</f>
        <v>-0.656585755752957</v>
      </c>
      <c r="AC414" s="0" t="n">
        <f aca="false">SIN(AA414)</f>
        <v>-0.754251380736104</v>
      </c>
      <c r="AD414" s="0" t="n">
        <f aca="false">$T$5*(Z414-1)</f>
        <v>0.0100817203716547</v>
      </c>
      <c r="AE414" s="0" t="n">
        <f aca="false">2*$T$5*$U$5*Z414*$X$5/(Y414+Y415)</f>
        <v>9.75900849367841E-006</v>
      </c>
      <c r="AF414" s="0" t="n">
        <f aca="false">AB414*AE414</f>
        <v>-6.40762596722136E-006</v>
      </c>
      <c r="AG414" s="0" t="n">
        <f aca="false">AG413+AF413</f>
        <v>0.00353745187764817</v>
      </c>
      <c r="AH414" s="0" t="n">
        <f aca="false">AC414*AE414</f>
        <v>-7.3607456309723E-006</v>
      </c>
      <c r="AI414" s="0" t="n">
        <f aca="false">AI413+AH413</f>
        <v>0.00407901139874308</v>
      </c>
      <c r="AJ414" s="6" t="n">
        <f aca="false">Y414/$P$5</f>
        <v>1.676</v>
      </c>
      <c r="AK414" s="0" t="n">
        <f aca="false">SQRT(AG414^2+AI414^2)</f>
        <v>0.0053992499273281</v>
      </c>
      <c r="AL414" s="0" t="n">
        <f aca="false">$W$5*(Y414/$V$5-Z414)</f>
        <v>0.00745481377694968</v>
      </c>
      <c r="AM414" s="0" t="n">
        <f aca="false">SQRT(AK414^2+AL414^2)</f>
        <v>0.0092046807781015</v>
      </c>
      <c r="AN414" s="2" t="n">
        <f aca="false">Y414</f>
        <v>1676</v>
      </c>
      <c r="AO414" s="0" t="n">
        <f aca="false">AM414/Z414</f>
        <v>0.00743848642901308</v>
      </c>
    </row>
    <row r="415" customFormat="false" ht="12.75" hidden="false" customHeight="false" outlineLevel="0" collapsed="false">
      <c r="Y415" s="0" t="n">
        <f aca="false">Y414+$X$5</f>
        <v>1680</v>
      </c>
      <c r="Z415" s="0" t="n">
        <f aca="false">(Y415/$V$5)^$O$5</f>
        <v>1.23760827302134</v>
      </c>
      <c r="AA415" s="0" t="n">
        <f aca="false">$Q$5*(Y415-$V$5)</f>
        <v>10.3044239037745</v>
      </c>
      <c r="AB415" s="0" t="n">
        <f aca="false">COS(AA415)</f>
        <v>-0.63742398974869</v>
      </c>
      <c r="AC415" s="0" t="n">
        <f aca="false">SIN(AA415)</f>
        <v>-0.770513242775789</v>
      </c>
      <c r="AD415" s="0" t="n">
        <f aca="false">$T$5*(Z415-1)</f>
        <v>0.0100888645063875</v>
      </c>
      <c r="AE415" s="0" t="n">
        <f aca="false">2*$T$5*$U$5*Z415*$X$5/(Y415+Y416)</f>
        <v>9.73712416967693E-006</v>
      </c>
      <c r="AF415" s="0" t="n">
        <f aca="false">AB415*AE415</f>
        <v>-6.20667653691387E-006</v>
      </c>
      <c r="AG415" s="0" t="n">
        <f aca="false">AG414+AF414</f>
        <v>0.00353104425168094</v>
      </c>
      <c r="AH415" s="0" t="n">
        <f aca="false">AC415*AE415</f>
        <v>-7.50258311928829E-006</v>
      </c>
      <c r="AI415" s="0" t="n">
        <f aca="false">AI414+AH414</f>
        <v>0.00407165065311211</v>
      </c>
      <c r="AJ415" s="6" t="n">
        <f aca="false">Y415/$P$5</f>
        <v>1.68</v>
      </c>
      <c r="AK415" s="0" t="n">
        <f aca="false">SQRT(AG415^2+AI415^2)</f>
        <v>0.00538949093591569</v>
      </c>
      <c r="AL415" s="0" t="n">
        <f aca="false">$W$5*(Y415/$V$5-Z415)</f>
        <v>0.00747311629075236</v>
      </c>
      <c r="AM415" s="0" t="n">
        <f aca="false">SQRT(AK415^2+AL415^2)</f>
        <v>0.00921379832877981</v>
      </c>
      <c r="AN415" s="2" t="n">
        <f aca="false">Y415</f>
        <v>1680</v>
      </c>
      <c r="AO415" s="0" t="n">
        <f aca="false">AM415/Z415</f>
        <v>0.0074448422248232</v>
      </c>
    </row>
    <row r="416" customFormat="false" ht="12.75" hidden="false" customHeight="false" outlineLevel="0" collapsed="false">
      <c r="Y416" s="0" t="n">
        <f aca="false">Y415+$X$5</f>
        <v>1684</v>
      </c>
      <c r="Z416" s="0" t="n">
        <f aca="false">(Y416/$V$5)^$O$5</f>
        <v>1.23777615104421</v>
      </c>
      <c r="AA416" s="0" t="n">
        <f aca="false">$Q$5*(Y416-$V$5)</f>
        <v>10.3295566450032</v>
      </c>
      <c r="AB416" s="0" t="n">
        <f aca="false">COS(AA416)</f>
        <v>-0.617859613090334</v>
      </c>
      <c r="AC416" s="0" t="n">
        <f aca="false">SIN(AA416)</f>
        <v>-0.786288432136619</v>
      </c>
      <c r="AD416" s="0" t="n">
        <f aca="false">$T$5*(Z416-1)</f>
        <v>0.0100959926194146</v>
      </c>
      <c r="AE416" s="0" t="n">
        <f aca="false">2*$T$5*$U$5*Z416*$X$5/(Y416+Y417)</f>
        <v>9.71534072416461E-006</v>
      </c>
      <c r="AF416" s="0" t="n">
        <f aca="false">AB416*AE416</f>
        <v>-6.00271666087311E-006</v>
      </c>
      <c r="AG416" s="0" t="n">
        <f aca="false">AG415+AF415</f>
        <v>0.00352483757514403</v>
      </c>
      <c r="AH416" s="0" t="n">
        <f aca="false">AC416*AE416</f>
        <v>-7.63906002567643E-006</v>
      </c>
      <c r="AI416" s="0" t="n">
        <f aca="false">AI415+AH415</f>
        <v>0.00406414806999282</v>
      </c>
      <c r="AJ416" s="6" t="n">
        <f aca="false">Y416/$P$5</f>
        <v>1.684</v>
      </c>
      <c r="AK416" s="0" t="n">
        <f aca="false">SQRT(AG416^2+AI416^2)</f>
        <v>0.00537975645043283</v>
      </c>
      <c r="AL416" s="0" t="n">
        <f aca="false">$W$5*(Y416/$V$5-Z416)</f>
        <v>0.00749141887373338</v>
      </c>
      <c r="AM416" s="0" t="n">
        <f aca="false">SQRT(AK416^2+AL416^2)</f>
        <v>0.00922296786331289</v>
      </c>
      <c r="AN416" s="2" t="n">
        <f aca="false">Y416</f>
        <v>1684</v>
      </c>
      <c r="AO416" s="0" t="n">
        <f aca="false">AM416/Z416</f>
        <v>0.00745124056198065</v>
      </c>
    </row>
    <row r="417" customFormat="false" ht="12.75" hidden="false" customHeight="false" outlineLevel="0" collapsed="false">
      <c r="Y417" s="0" t="n">
        <f aca="false">Y416+$X$5</f>
        <v>1688</v>
      </c>
      <c r="Z417" s="0" t="n">
        <f aca="false">(Y417/$V$5)^$O$5</f>
        <v>1.23794365347077</v>
      </c>
      <c r="AA417" s="0" t="n">
        <f aca="false">$Q$5*(Y417-$V$5)</f>
        <v>10.354689386232</v>
      </c>
      <c r="AB417" s="0" t="n">
        <f aca="false">COS(AA417)</f>
        <v>-0.597904983057519</v>
      </c>
      <c r="AC417" s="0" t="n">
        <f aca="false">SIN(AA417)</f>
        <v>-0.801566984870877</v>
      </c>
      <c r="AD417" s="0" t="n">
        <f aca="false">$T$5*(Z417-1)</f>
        <v>0.0101031047845955</v>
      </c>
      <c r="AE417" s="0" t="n">
        <f aca="false">2*$T$5*$U$5*Z417*$X$5/(Y417+Y418)</f>
        <v>9.69365745446557E-006</v>
      </c>
      <c r="AF417" s="0" t="n">
        <f aca="false">AB417*AE417</f>
        <v>-5.79588609607762E-006</v>
      </c>
      <c r="AG417" s="0" t="n">
        <f aca="false">AG416+AF416</f>
        <v>0.00351883485848316</v>
      </c>
      <c r="AH417" s="0" t="n">
        <f aca="false">AC417*AE417</f>
        <v>-7.77011577814706E-006</v>
      </c>
      <c r="AI417" s="0" t="n">
        <f aca="false">AI416+AH416</f>
        <v>0.00405650900996715</v>
      </c>
      <c r="AJ417" s="6" t="n">
        <f aca="false">Y417/$P$5</f>
        <v>1.688</v>
      </c>
      <c r="AK417" s="0" t="n">
        <f aca="false">SQRT(AG417^2+AI417^2)</f>
        <v>0.00537005252387915</v>
      </c>
      <c r="AL417" s="0" t="n">
        <f aca="false">$W$5*(Y417/$V$5-Z417)</f>
        <v>0.00750972152557382</v>
      </c>
      <c r="AM417" s="0" t="n">
        <f aca="false">SQRT(AK417^2+AL417^2)</f>
        <v>0.00923219267026461</v>
      </c>
      <c r="AN417" s="2" t="n">
        <f aca="false">Y417</f>
        <v>1688</v>
      </c>
      <c r="AO417" s="0" t="n">
        <f aca="false">AM417/Z417</f>
        <v>0.00745768407502289</v>
      </c>
    </row>
    <row r="418" customFormat="false" ht="12.75" hidden="false" customHeight="false" outlineLevel="0" collapsed="false">
      <c r="Y418" s="0" t="n">
        <f aca="false">Y417+$X$5</f>
        <v>1692</v>
      </c>
      <c r="Z418" s="0" t="n">
        <f aca="false">(Y418/$V$5)^$O$5</f>
        <v>1.23811078202841</v>
      </c>
      <c r="AA418" s="0" t="n">
        <f aca="false">$Q$5*(Y418-$V$5)</f>
        <v>10.3798221274607</v>
      </c>
      <c r="AB418" s="0" t="n">
        <f aca="false">COS(AA418)</f>
        <v>-0.577572703422267</v>
      </c>
      <c r="AC418" s="0" t="n">
        <f aca="false">SIN(AA418)</f>
        <v>-0.816339250717184</v>
      </c>
      <c r="AD418" s="0" t="n">
        <f aca="false">$T$5*(Z418-1)</f>
        <v>0.010110201075275</v>
      </c>
      <c r="AE418" s="0" t="n">
        <f aca="false">2*$T$5*$U$5*Z418*$X$5/(Y418+Y419)</f>
        <v>9.67207366444613E-006</v>
      </c>
      <c r="AF418" s="0" t="n">
        <f aca="false">AB418*AE418</f>
        <v>-5.58632573407347E-006</v>
      </c>
      <c r="AG418" s="0" t="n">
        <f aca="false">AG417+AF417</f>
        <v>0.00351303897238708</v>
      </c>
      <c r="AH418" s="0" t="n">
        <f aca="false">AC418*AE418</f>
        <v>-7.89569336811536E-006</v>
      </c>
      <c r="AI418" s="0" t="n">
        <f aca="false">AI417+AH417</f>
        <v>0.004048738894189</v>
      </c>
      <c r="AJ418" s="6" t="n">
        <f aca="false">Y418/$P$5</f>
        <v>1.692</v>
      </c>
      <c r="AK418" s="0" t="n">
        <f aca="false">SQRT(AG418^2+AI418^2)</f>
        <v>0.00536038519649747</v>
      </c>
      <c r="AL418" s="0" t="n">
        <f aca="false">$W$5*(Y418/$V$5-Z418)</f>
        <v>0.00752802424595699</v>
      </c>
      <c r="AM418" s="0" t="n">
        <f aca="false">SQRT(AK418^2+AL418^2)</f>
        <v>0.00924147599155815</v>
      </c>
      <c r="AN418" s="2" t="n">
        <f aca="false">Y418</f>
        <v>1692</v>
      </c>
      <c r="AO418" s="0" t="n">
        <f aca="false">AM418/Z418</f>
        <v>0.00746417535950839</v>
      </c>
    </row>
    <row r="419" customFormat="false" ht="12.75" hidden="false" customHeight="false" outlineLevel="0" collapsed="false">
      <c r="Y419" s="0" t="n">
        <f aca="false">Y418+$X$5</f>
        <v>1696</v>
      </c>
      <c r="Z419" s="0" t="n">
        <f aca="false">(Y419/$V$5)^$O$5</f>
        <v>1.23827753843252</v>
      </c>
      <c r="AA419" s="0" t="n">
        <f aca="false">$Q$5*(Y419-$V$5)</f>
        <v>10.4049548686894</v>
      </c>
      <c r="AB419" s="0" t="n">
        <f aca="false">COS(AA419)</f>
        <v>-0.556875616488187</v>
      </c>
      <c r="AC419" s="0" t="n">
        <f aca="false">SIN(AA419)</f>
        <v>-0.830595899195813</v>
      </c>
      <c r="AD419" s="0" t="n">
        <f aca="false">$T$5*(Z419-1)</f>
        <v>0.0101172815642884</v>
      </c>
      <c r="AE419" s="0" t="n">
        <f aca="false">2*$T$5*$U$5*Z419*$X$5/(Y419+Y420)</f>
        <v>9.65058866443861E-006</v>
      </c>
      <c r="AF419" s="0" t="n">
        <f aca="false">AB419*AE419</f>
        <v>-5.37417751198316E-006</v>
      </c>
      <c r="AG419" s="0" t="n">
        <f aca="false">AG418+AF418</f>
        <v>0.00350745264665301</v>
      </c>
      <c r="AH419" s="0" t="n">
        <f aca="false">AC419*AE419</f>
        <v>-8.01573936950831E-006</v>
      </c>
      <c r="AI419" s="0" t="n">
        <f aca="false">AI418+AH418</f>
        <v>0.00404084320082088</v>
      </c>
      <c r="AJ419" s="6" t="n">
        <f aca="false">Y419/$P$5</f>
        <v>1.696</v>
      </c>
      <c r="AK419" s="0" t="n">
        <f aca="false">SQRT(AG419^2+AI419^2)</f>
        <v>0.00535076049194258</v>
      </c>
      <c r="AL419" s="0" t="n">
        <f aca="false">$W$5*(Y419/$V$5-Z419)</f>
        <v>0.00754632703456842</v>
      </c>
      <c r="AM419" s="0" t="n">
        <f aca="false">SQRT(AK419^2+AL419^2)</f>
        <v>0.0092508210205793</v>
      </c>
      <c r="AN419" s="2" t="n">
        <f aca="false">Y419</f>
        <v>1696</v>
      </c>
      <c r="AO419" s="0" t="n">
        <f aca="false">AM419/Z419</f>
        <v>0.00747071697051816</v>
      </c>
    </row>
    <row r="420" customFormat="false" ht="12.75" hidden="false" customHeight="false" outlineLevel="0" collapsed="false">
      <c r="Y420" s="0" t="n">
        <f aca="false">Y419+$X$5</f>
        <v>1700</v>
      </c>
      <c r="Z420" s="0" t="n">
        <f aca="false">(Y420/$V$5)^$O$5</f>
        <v>1.23844392438658</v>
      </c>
      <c r="AA420" s="0" t="n">
        <f aca="false">$Q$5*(Y420-$V$5)</f>
        <v>10.4300876099181</v>
      </c>
      <c r="AB420" s="0" t="n">
        <f aca="false">COS(AA420)</f>
        <v>-0.535826794978996</v>
      </c>
      <c r="AC420" s="0" t="n">
        <f aca="false">SIN(AA420)</f>
        <v>-0.844327925502016</v>
      </c>
      <c r="AD420" s="0" t="n">
        <f aca="false">$T$5*(Z420-1)</f>
        <v>0.010124346323966</v>
      </c>
      <c r="AE420" s="0" t="n">
        <f aca="false">2*$T$5*$U$5*Z420*$X$5/(Y420+Y421)</f>
        <v>9.62920177116623E-006</v>
      </c>
      <c r="AF420" s="0" t="n">
        <f aca="false">AB420*AE420</f>
        <v>-5.15958432325007E-006</v>
      </c>
      <c r="AG420" s="0" t="n">
        <f aca="false">AG419+AF419</f>
        <v>0.00350207846914102</v>
      </c>
      <c r="AH420" s="0" t="n">
        <f aca="false">AC420*AE420</f>
        <v>-8.13020395568911E-006</v>
      </c>
      <c r="AI420" s="0" t="n">
        <f aca="false">AI419+AH419</f>
        <v>0.00403282746145138</v>
      </c>
      <c r="AJ420" s="6" t="n">
        <f aca="false">Y420/$P$5</f>
        <v>1.7</v>
      </c>
      <c r="AK420" s="0" t="n">
        <f aca="false">SQRT(AG420^2+AI420^2)</f>
        <v>0.00534118441339161</v>
      </c>
      <c r="AL420" s="0" t="n">
        <f aca="false">$W$5*(Y420/$V$5-Z420)</f>
        <v>0.00756462989109579</v>
      </c>
      <c r="AM420" s="0" t="n">
        <f aca="false">SQRT(AK420^2+AL420^2)</f>
        <v>0.00926023090031331</v>
      </c>
      <c r="AN420" s="2" t="n">
        <f aca="false">Y420</f>
        <v>1700</v>
      </c>
      <c r="AO420" s="0" t="n">
        <f aca="false">AM420/Z420</f>
        <v>0.00747731142118527</v>
      </c>
    </row>
    <row r="421" customFormat="false" ht="12.75" hidden="false" customHeight="false" outlineLevel="0" collapsed="false">
      <c r="Y421" s="0" t="n">
        <f aca="false">Y420+$X$5</f>
        <v>1704</v>
      </c>
      <c r="Z421" s="0" t="n">
        <f aca="false">(Y421/$V$5)^$O$5</f>
        <v>1.2386099415823</v>
      </c>
      <c r="AA421" s="0" t="n">
        <f aca="false">$Q$5*(Y421-$V$5)</f>
        <v>10.4552203511468</v>
      </c>
      <c r="AB421" s="0" t="n">
        <f aca="false">COS(AA421)</f>
        <v>-0.514439533781507</v>
      </c>
      <c r="AC421" s="0" t="n">
        <f aca="false">SIN(AA421)</f>
        <v>-0.857526656193652</v>
      </c>
      <c r="AD421" s="0" t="n">
        <f aca="false">$T$5*(Z421-1)</f>
        <v>0.0101313954261375</v>
      </c>
      <c r="AE421" s="0" t="n">
        <f aca="false">2*$T$5*$U$5*Z421*$X$5/(Y421+Y422)</f>
        <v>9.607912307669E-006</v>
      </c>
      <c r="AF421" s="0" t="n">
        <f aca="false">AB421*AE421</f>
        <v>-4.94268992817084E-006</v>
      </c>
      <c r="AG421" s="0" t="n">
        <f aca="false">AG420+AF420</f>
        <v>0.00349691888481777</v>
      </c>
      <c r="AH421" s="0" t="n">
        <f aca="false">AC421*AE421</f>
        <v>-8.23904091419723E-006</v>
      </c>
      <c r="AI421" s="0" t="n">
        <f aca="false">AI420+AH420</f>
        <v>0.00402469725749569</v>
      </c>
      <c r="AJ421" s="6" t="n">
        <f aca="false">Y421/$P$5</f>
        <v>1.704</v>
      </c>
      <c r="AK421" s="0" t="n">
        <f aca="false">SQRT(AG421^2+AI421^2)</f>
        <v>0.00533166293959853</v>
      </c>
      <c r="AL421" s="0" t="n">
        <f aca="false">$W$5*(Y421/$V$5-Z421)</f>
        <v>0.00758293281522896</v>
      </c>
      <c r="AM421" s="0" t="n">
        <f aca="false">SQRT(AK421^2+AL421^2)</f>
        <v>0.0092697087215168</v>
      </c>
      <c r="AN421" s="2" t="n">
        <f aca="false">Y421</f>
        <v>1704</v>
      </c>
      <c r="AO421" s="0" t="n">
        <f aca="false">AM421/Z421</f>
        <v>0.00748396118125366</v>
      </c>
    </row>
    <row r="422" customFormat="false" ht="12.75" hidden="false" customHeight="false" outlineLevel="0" collapsed="false">
      <c r="Y422" s="0" t="n">
        <f aca="false">Y421+$X$5</f>
        <v>1708</v>
      </c>
      <c r="Z422" s="0" t="n">
        <f aca="false">(Y422/$V$5)^$O$5</f>
        <v>1.23877559169971</v>
      </c>
      <c r="AA422" s="0" t="n">
        <f aca="false">$Q$5*(Y422-$V$5)</f>
        <v>10.4803530923756</v>
      </c>
      <c r="AB422" s="0" t="n">
        <f aca="false">COS(AA422)</f>
        <v>-0.492727341548292</v>
      </c>
      <c r="AC422" s="0" t="n">
        <f aca="false">SIN(AA422)</f>
        <v>-0.870183754669526</v>
      </c>
      <c r="AD422" s="0" t="n">
        <f aca="false">$T$5*(Z422-1)</f>
        <v>0.0101384289421373</v>
      </c>
      <c r="AE422" s="0" t="n">
        <f aca="false">2*$T$5*$U$5*Z422*$X$5/(Y422+Y423)</f>
        <v>9.58671960323075E-006</v>
      </c>
      <c r="AF422" s="0" t="n">
        <f aca="false">AB422*AE422</f>
        <v>-4.72363886426878E-006</v>
      </c>
      <c r="AG422" s="0" t="n">
        <f aca="false">AG421+AF421</f>
        <v>0.0034919761948896</v>
      </c>
      <c r="AH422" s="0" t="n">
        <f aca="false">AC422*AE422</f>
        <v>-8.34220765930327E-006</v>
      </c>
      <c r="AI422" s="0" t="n">
        <f aca="false">AI421+AH421</f>
        <v>0.00401645821658149</v>
      </c>
      <c r="AJ422" s="6" t="n">
        <f aca="false">Y422/$P$5</f>
        <v>1.708</v>
      </c>
      <c r="AK422" s="0" t="n">
        <f aca="false">SQRT(AG422^2+AI422^2)</f>
        <v>0.00532220202089517</v>
      </c>
      <c r="AL422" s="0" t="n">
        <f aca="false">$W$5*(Y422/$V$5-Z422)</f>
        <v>0.00760123580665992</v>
      </c>
      <c r="AM422" s="0" t="n">
        <f aca="false">SQRT(AK422^2+AL422^2)</f>
        <v>0.00927925752092642</v>
      </c>
      <c r="AN422" s="2" t="n">
        <f aca="false">Y422</f>
        <v>1708</v>
      </c>
      <c r="AO422" s="0" t="n">
        <f aca="false">AM422/Z422</f>
        <v>0.00749066867566746</v>
      </c>
    </row>
    <row r="423" customFormat="false" ht="12.75" hidden="false" customHeight="false" outlineLevel="0" collapsed="false">
      <c r="Y423" s="0" t="n">
        <f aca="false">Y422+$X$5</f>
        <v>1712</v>
      </c>
      <c r="Z423" s="0" t="n">
        <f aca="false">(Y423/$V$5)^$O$5</f>
        <v>1.23894087640727</v>
      </c>
      <c r="AA423" s="0" t="n">
        <f aca="false">$Q$5*(Y423-$V$5)</f>
        <v>10.5054858336043</v>
      </c>
      <c r="AB423" s="0" t="n">
        <f aca="false">COS(AA423)</f>
        <v>-0.470703932165333</v>
      </c>
      <c r="AC423" s="0" t="n">
        <f aca="false">SIN(AA423)</f>
        <v>-0.882291226434953</v>
      </c>
      <c r="AD423" s="0" t="n">
        <f aca="false">$T$5*(Z423-1)</f>
        <v>0.0101454469428085</v>
      </c>
      <c r="AE423" s="0" t="n">
        <f aca="false">2*$T$5*$U$5*Z423*$X$5/(Y423+Y424)</f>
        <v>9.56562299330705E-006</v>
      </c>
      <c r="AF423" s="0" t="n">
        <f aca="false">AB423*AE423</f>
        <v>-4.50257635656075E-006</v>
      </c>
      <c r="AG423" s="0" t="n">
        <f aca="false">AG422+AF422</f>
        <v>0.00348725255602533</v>
      </c>
      <c r="AH423" s="0" t="n">
        <f aca="false">AC423*AE423</f>
        <v>-8.43966524237926E-006</v>
      </c>
      <c r="AI423" s="0" t="n">
        <f aca="false">AI422+AH422</f>
        <v>0.00400811600892219</v>
      </c>
      <c r="AJ423" s="6" t="n">
        <f aca="false">Y423/$P$5</f>
        <v>1.712</v>
      </c>
      <c r="AK423" s="0" t="n">
        <f aca="false">SQRT(AG423^2+AI423^2)</f>
        <v>0.00531280757514175</v>
      </c>
      <c r="AL423" s="0" t="n">
        <f aca="false">$W$5*(Y423/$V$5-Z423)</f>
        <v>0.00761953886508278</v>
      </c>
      <c r="AM423" s="0" t="n">
        <f aca="false">SQRT(AK423^2+AL423^2)</f>
        <v>0.00928888027950574</v>
      </c>
      <c r="AN423" s="2" t="n">
        <f aca="false">Y423</f>
        <v>1712</v>
      </c>
      <c r="AO423" s="0" t="n">
        <f aca="false">AM423/Z423</f>
        <v>0.00749743628319217</v>
      </c>
    </row>
    <row r="424" customFormat="false" ht="12.75" hidden="false" customHeight="false" outlineLevel="0" collapsed="false">
      <c r="Y424" s="0" t="n">
        <f aca="false">Y423+$X$5</f>
        <v>1716</v>
      </c>
      <c r="Z424" s="0" t="n">
        <f aca="false">(Y424/$V$5)^$O$5</f>
        <v>1.23910579736198</v>
      </c>
      <c r="AA424" s="0" t="n">
        <f aca="false">$Q$5*(Y424-$V$5)</f>
        <v>10.530618574833</v>
      </c>
      <c r="AB424" s="0" t="n">
        <f aca="false">COS(AA424)</f>
        <v>-0.448383216090032</v>
      </c>
      <c r="AC424" s="0" t="n">
        <f aca="false">SIN(AA424)</f>
        <v>-0.893841424151264</v>
      </c>
      <c r="AD424" s="0" t="n">
        <f aca="false">$T$5*(Z424-1)</f>
        <v>0.0101524494985076</v>
      </c>
      <c r="AE424" s="0" t="n">
        <f aca="false">2*$T$5*$U$5*Z424*$X$5/(Y424+Y425)</f>
        <v>9.54462181945421E-006</v>
      </c>
      <c r="AF424" s="0" t="n">
        <f aca="false">AB424*AE424</f>
        <v>-4.27964822776997E-006</v>
      </c>
      <c r="AG424" s="0" t="n">
        <f aca="false">AG423+AF423</f>
        <v>0.00348274997966877</v>
      </c>
      <c r="AH424" s="0" t="n">
        <f aca="false">AC424*AE424</f>
        <v>-8.53137836008617E-006</v>
      </c>
      <c r="AI424" s="0" t="n">
        <f aca="false">AI423+AH423</f>
        <v>0.00399967634367981</v>
      </c>
      <c r="AJ424" s="6" t="n">
        <f aca="false">Y424/$P$5</f>
        <v>1.716</v>
      </c>
      <c r="AK424" s="0" t="n">
        <f aca="false">SQRT(AG424^2+AI424^2)</f>
        <v>0.00530348548363005</v>
      </c>
      <c r="AL424" s="0" t="n">
        <f aca="false">$W$5*(Y424/$V$5-Z424)</f>
        <v>0.00763784199019377</v>
      </c>
      <c r="AM424" s="0" t="n">
        <f aca="false">SQRT(AK424^2+AL424^2)</f>
        <v>0.00929857992073208</v>
      </c>
      <c r="AN424" s="2" t="n">
        <f aca="false">Y424</f>
        <v>1716</v>
      </c>
      <c r="AO424" s="0" t="n">
        <f aca="false">AM424/Z424</f>
        <v>0.00750426633506878</v>
      </c>
    </row>
    <row r="425" customFormat="false" ht="12.75" hidden="false" customHeight="false" outlineLevel="0" collapsed="false">
      <c r="Y425" s="0" t="n">
        <f aca="false">Y424+$X$5</f>
        <v>1720</v>
      </c>
      <c r="Z425" s="0" t="n">
        <f aca="false">(Y425/$V$5)^$O$5</f>
        <v>1.23927035620951</v>
      </c>
      <c r="AA425" s="0" t="n">
        <f aca="false">$Q$5*(Y425-$V$5)</f>
        <v>10.5557513160617</v>
      </c>
      <c r="AB425" s="0" t="n">
        <f aca="false">COS(AA425)</f>
        <v>-0.425779291565072</v>
      </c>
      <c r="AC425" s="0" t="n">
        <f aca="false">SIN(AA425)</f>
        <v>-0.90482705246602</v>
      </c>
      <c r="AD425" s="0" t="n">
        <f aca="false">$T$5*(Z425-1)</f>
        <v>0.010159436679109</v>
      </c>
      <c r="AE425" s="0" t="n">
        <f aca="false">2*$T$5*$U$5*Z425*$X$5/(Y425+Y426)</f>
        <v>9.52371542925922E-006</v>
      </c>
      <c r="AF425" s="0" t="n">
        <f aca="false">AB425*AE425</f>
        <v>-4.05500080853734E-006</v>
      </c>
      <c r="AG425" s="0" t="n">
        <f aca="false">AG424+AF424</f>
        <v>0.003478470331441</v>
      </c>
      <c r="AH425" s="0" t="n">
        <f aca="false">AC425*AE425</f>
        <v>-8.61731536038177E-006</v>
      </c>
      <c r="AI425" s="0" t="n">
        <f aca="false">AI424+AH424</f>
        <v>0.00399114496531972</v>
      </c>
      <c r="AJ425" s="6" t="n">
        <f aca="false">Y425/$P$5</f>
        <v>1.72</v>
      </c>
      <c r="AK425" s="0" t="n">
        <f aca="false">SQRT(AG425^2+AI425^2)</f>
        <v>0.00529424158694257</v>
      </c>
      <c r="AL425" s="0" t="n">
        <f aca="false">$W$5*(Y425/$V$5-Z425)</f>
        <v>0.00765614518169117</v>
      </c>
      <c r="AM425" s="0" t="n">
        <f aca="false">SQRT(AK425^2+AL425^2)</f>
        <v>0.0093083593089247</v>
      </c>
      <c r="AN425" s="2" t="n">
        <f aca="false">Y425</f>
        <v>1720</v>
      </c>
      <c r="AO425" s="0" t="n">
        <f aca="false">AM425/Z425</f>
        <v>0.00751116111370218</v>
      </c>
    </row>
    <row r="426" customFormat="false" ht="12.75" hidden="false" customHeight="false" outlineLevel="0" collapsed="false">
      <c r="Y426" s="0" t="n">
        <f aca="false">Y425+$X$5</f>
        <v>1724</v>
      </c>
      <c r="Z426" s="0" t="n">
        <f aca="false">(Y426/$V$5)^$O$5</f>
        <v>1.23943455458424</v>
      </c>
      <c r="AA426" s="0" t="n">
        <f aca="false">$Q$5*(Y426-$V$5)</f>
        <v>10.5808840572904</v>
      </c>
      <c r="AB426" s="0" t="n">
        <f aca="false">COS(AA426)</f>
        <v>-0.402906435713662</v>
      </c>
      <c r="AC426" s="0" t="n">
        <f aca="false">SIN(AA426)</f>
        <v>-0.915241172620918</v>
      </c>
      <c r="AD426" s="0" t="n">
        <f aca="false">$T$5*(Z426-1)</f>
        <v>0.0101664085540095</v>
      </c>
      <c r="AE426" s="0" t="n">
        <f aca="false">2*$T$5*$U$5*Z426*$X$5/(Y426+Y427)</f>
        <v>9.50290317627067E-006</v>
      </c>
      <c r="AF426" s="0" t="n">
        <f aca="false">AB426*AE426</f>
        <v>-3.82878084768326E-006</v>
      </c>
      <c r="AG426" s="0" t="n">
        <f aca="false">AG425+AF425</f>
        <v>0.00347441533063246</v>
      </c>
      <c r="AH426" s="0" t="n">
        <f aca="false">AC426*AE426</f>
        <v>-8.69744824635301E-006</v>
      </c>
      <c r="AI426" s="0" t="n">
        <f aca="false">AI425+AH425</f>
        <v>0.00398252764995934</v>
      </c>
      <c r="AJ426" s="6" t="n">
        <f aca="false">Y426/$P$5</f>
        <v>1.724</v>
      </c>
      <c r="AK426" s="0" t="n">
        <f aca="false">SQRT(AG426^2+AI426^2)</f>
        <v>0.00528508168077132</v>
      </c>
      <c r="AL426" s="0" t="n">
        <f aca="false">$W$5*(Y426/$V$5-Z426)</f>
        <v>0.00767444843927535</v>
      </c>
      <c r="AM426" s="0" t="n">
        <f aca="false">SQRT(AK426^2+AL426^2)</f>
        <v>0.0093182212476159</v>
      </c>
      <c r="AN426" s="2" t="n">
        <f aca="false">Y426</f>
        <v>1724</v>
      </c>
      <c r="AO426" s="0" t="n">
        <f aca="false">AM426/Z426</f>
        <v>0.00751812285138496</v>
      </c>
    </row>
    <row r="427" customFormat="false" ht="12.75" hidden="false" customHeight="false" outlineLevel="0" collapsed="false">
      <c r="Y427" s="0" t="n">
        <f aca="false">Y426+$X$5</f>
        <v>1728</v>
      </c>
      <c r="Z427" s="0" t="n">
        <f aca="false">(Y427/$V$5)^$O$5</f>
        <v>1.23959839410943</v>
      </c>
      <c r="AA427" s="0" t="n">
        <f aca="false">$Q$5*(Y427-$V$5)</f>
        <v>10.6060167985191</v>
      </c>
      <c r="AB427" s="0" t="n">
        <f aca="false">COS(AA427)</f>
        <v>-0.3797790955218</v>
      </c>
      <c r="AC427" s="0" t="n">
        <f aca="false">SIN(AA427)</f>
        <v>-0.925077206834458</v>
      </c>
      <c r="AD427" s="0" t="n">
        <f aca="false">$T$5*(Z427-1)</f>
        <v>0.0101733651921325</v>
      </c>
      <c r="AE427" s="0" t="n">
        <f aca="false">2*$T$5*$U$5*Z427*$X$5/(Y427+Y428)</f>
        <v>9.48218441993062E-006</v>
      </c>
      <c r="AF427" s="0" t="n">
        <f aca="false">AB427*AE427</f>
        <v>-3.60113542257216E-006</v>
      </c>
      <c r="AG427" s="0" t="n">
        <f aca="false">AG426+AF426</f>
        <v>0.00347058654978478</v>
      </c>
      <c r="AH427" s="0" t="n">
        <f aca="false">AC427*AE427</f>
        <v>-8.77175267787864E-006</v>
      </c>
      <c r="AI427" s="0" t="n">
        <f aca="false">AI426+AH426</f>
        <v>0.00397383020171299</v>
      </c>
      <c r="AJ427" s="6" t="n">
        <f aca="false">Y427/$P$5</f>
        <v>1.728</v>
      </c>
      <c r="AK427" s="0" t="n">
        <f aca="false">SQRT(AG427^2+AI427^2)</f>
        <v>0.00527601151170023</v>
      </c>
      <c r="AL427" s="0" t="n">
        <f aca="false">$W$5*(Y427/$V$5-Z427)</f>
        <v>0.00769275176264871</v>
      </c>
      <c r="AM427" s="0" t="n">
        <f aca="false">SQRT(AK427^2+AL427^2)</f>
        <v>0.00932816847796652</v>
      </c>
      <c r="AN427" s="2" t="n">
        <f aca="false">Y427</f>
        <v>1728</v>
      </c>
      <c r="AO427" s="0" t="n">
        <f aca="false">AM427/Z427</f>
        <v>0.00752515372905771</v>
      </c>
    </row>
    <row r="428" customFormat="false" ht="12.75" hidden="false" customHeight="false" outlineLevel="0" collapsed="false">
      <c r="Y428" s="0" t="n">
        <f aca="false">Y427+$X$5</f>
        <v>1732</v>
      </c>
      <c r="Z428" s="0" t="n">
        <f aca="false">(Y428/$V$5)^$O$5</f>
        <v>1.23976187639728</v>
      </c>
      <c r="AA428" s="0" t="n">
        <f aca="false">$Q$5*(Y428-$V$5)</f>
        <v>10.6311495397479</v>
      </c>
      <c r="AB428" s="0" t="n">
        <f aca="false">COS(AA428)</f>
        <v>-0.35641187871325</v>
      </c>
      <c r="AC428" s="0" t="n">
        <f aca="false">SIN(AA428)</f>
        <v>-0.934328942456612</v>
      </c>
      <c r="AD428" s="0" t="n">
        <f aca="false">$T$5*(Z428-1)</f>
        <v>0.0101803066619323</v>
      </c>
      <c r="AE428" s="0" t="n">
        <f aca="false">2*$T$5*$U$5*Z428*$X$5/(Y428+Y429)</f>
        <v>9.4615585255074E-006</v>
      </c>
      <c r="AF428" s="0" t="n">
        <f aca="false">AB428*AE428</f>
        <v>-3.37221184963146E-006</v>
      </c>
      <c r="AG428" s="0" t="n">
        <f aca="false">AG427+AF427</f>
        <v>0.00346698541436221</v>
      </c>
      <c r="AH428" s="0" t="n">
        <f aca="false">AC428*AE428</f>
        <v>-8.84020797112868E-006</v>
      </c>
      <c r="AI428" s="0" t="n">
        <f aca="false">AI427+AH427</f>
        <v>0.00396505844903511</v>
      </c>
      <c r="AJ428" s="6" t="n">
        <f aca="false">Y428/$P$5</f>
        <v>1.732</v>
      </c>
      <c r="AK428" s="0" t="n">
        <f aca="false">SQRT(AG428^2+AI428^2)</f>
        <v>0.00526703677295545</v>
      </c>
      <c r="AL428" s="0" t="n">
        <f aca="false">$W$5*(Y428/$V$5-Z428)</f>
        <v>0.00771105515151568</v>
      </c>
      <c r="AM428" s="0" t="n">
        <f aca="false">SQRT(AK428^2+AL428^2)</f>
        <v>0.0093382036772273</v>
      </c>
      <c r="AN428" s="2" t="n">
        <f aca="false">Y428</f>
        <v>1732</v>
      </c>
      <c r="AO428" s="0" t="n">
        <f aca="false">AM428/Z428</f>
        <v>0.00753225587510716</v>
      </c>
    </row>
    <row r="429" customFormat="false" ht="12.75" hidden="false" customHeight="false" outlineLevel="0" collapsed="false">
      <c r="Y429" s="0" t="n">
        <f aca="false">Y428+$X$5</f>
        <v>1736</v>
      </c>
      <c r="Z429" s="0" t="n">
        <f aca="false">(Y429/$V$5)^$O$5</f>
        <v>1.23992500304906</v>
      </c>
      <c r="AA429" s="0" t="n">
        <f aca="false">$Q$5*(Y429-$V$5)</f>
        <v>10.6562822809766</v>
      </c>
      <c r="AB429" s="0" t="n">
        <f aca="false">COS(AA429)</f>
        <v>-0.332819544522987</v>
      </c>
      <c r="AC429" s="0" t="n">
        <f aca="false">SIN(AA429)</f>
        <v>-0.942990535892864</v>
      </c>
      <c r="AD429" s="0" t="n">
        <f aca="false">$T$5*(Z429-1)</f>
        <v>0.0101872330313984</v>
      </c>
      <c r="AE429" s="0" t="n">
        <f aca="false">2*$T$5*$U$5*Z429*$X$5/(Y429+Y430)</f>
        <v>9.44102486402932E-006</v>
      </c>
      <c r="AF429" s="0" t="n">
        <f aca="false">AB429*AE429</f>
        <v>-3.14215759507644E-006</v>
      </c>
      <c r="AG429" s="0" t="n">
        <f aca="false">AG428+AF428</f>
        <v>0.00346361320251258</v>
      </c>
      <c r="AH429" s="0" t="n">
        <f aca="false">AC429*AE429</f>
        <v>-8.90279709590887E-006</v>
      </c>
      <c r="AI429" s="0" t="n">
        <f aca="false">AI428+AH428</f>
        <v>0.00395621824106398</v>
      </c>
      <c r="AJ429" s="6" t="n">
        <f aca="false">Y429/$P$5</f>
        <v>1.736</v>
      </c>
      <c r="AK429" s="0" t="n">
        <f aca="false">SQRT(AG429^2+AI429^2)</f>
        <v>0.00525816310012791</v>
      </c>
      <c r="AL429" s="0" t="n">
        <f aca="false">$W$5*(Y429/$V$5-Z429)</f>
        <v>0.00772935860558269</v>
      </c>
      <c r="AM429" s="0" t="n">
        <f aca="false">SQRT(AK429^2+AL429^2)</f>
        <v>0.00934832945724754</v>
      </c>
      <c r="AN429" s="2" t="n">
        <f aca="false">Y429</f>
        <v>1736</v>
      </c>
      <c r="AO429" s="0" t="n">
        <f aca="false">AM429/Z429</f>
        <v>0.00753943136420297</v>
      </c>
    </row>
    <row r="430" customFormat="false" ht="12.75" hidden="false" customHeight="false" outlineLevel="0" collapsed="false">
      <c r="Y430" s="0" t="n">
        <f aca="false">Y429+$X$5</f>
        <v>1740</v>
      </c>
      <c r="Z430" s="0" t="n">
        <f aca="false">(Y430/$V$5)^$O$5</f>
        <v>1.24008777565517</v>
      </c>
      <c r="AA430" s="0" t="n">
        <f aca="false">$Q$5*(Y430-$V$5)</f>
        <v>10.6814150222053</v>
      </c>
      <c r="AB430" s="0" t="n">
        <f aca="false">COS(AA430)</f>
        <v>-0.309016994374948</v>
      </c>
      <c r="AC430" s="0" t="n">
        <f aca="false">SIN(AA430)</f>
        <v>-0.951056516295153</v>
      </c>
      <c r="AD430" s="0" t="n">
        <f aca="false">$T$5*(Z430-1)</f>
        <v>0.01019414436806</v>
      </c>
      <c r="AE430" s="0" t="n">
        <f aca="false">2*$T$5*$U$5*Z430*$X$5/(Y430+Y431)</f>
        <v>9.4205828122193E-006</v>
      </c>
      <c r="AF430" s="0" t="n">
        <f aca="false">AB430*AE430</f>
        <v>-2.9111201858923E-006</v>
      </c>
      <c r="AG430" s="0" t="n">
        <f aca="false">AG429+AF429</f>
        <v>0.0034604710449175</v>
      </c>
      <c r="AH430" s="0" t="n">
        <f aca="false">AC430*AE430</f>
        <v>-8.95950667085929E-006</v>
      </c>
      <c r="AI430" s="0" t="n">
        <f aca="false">AI429+AH429</f>
        <v>0.00394731544396807</v>
      </c>
      <c r="AJ430" s="6" t="n">
        <f aca="false">Y430/$P$5</f>
        <v>1.74</v>
      </c>
      <c r="AK430" s="0" t="n">
        <f aca="false">SQRT(AG430^2+AI430^2)</f>
        <v>0.00524939606687296</v>
      </c>
      <c r="AL430" s="0" t="n">
        <f aca="false">$W$5*(Y430/$V$5-Z430)</f>
        <v>0.00774766212455818</v>
      </c>
      <c r="AM430" s="0" t="n">
        <f aca="false">SQRT(AK430^2+AL430^2)</f>
        <v>0.0093585483630323</v>
      </c>
      <c r="AN430" s="2" t="n">
        <f aca="false">Y430</f>
        <v>1740</v>
      </c>
      <c r="AO430" s="0" t="n">
        <f aca="false">AM430/Z430</f>
        <v>0.00754668221617451</v>
      </c>
    </row>
    <row r="431" customFormat="false" ht="12.75" hidden="false" customHeight="false" outlineLevel="0" collapsed="false">
      <c r="Y431" s="0" t="n">
        <f aca="false">Y430+$X$5</f>
        <v>1744</v>
      </c>
      <c r="Z431" s="0" t="n">
        <f aca="false">(Y431/$V$5)^$O$5</f>
        <v>1.24025019579529</v>
      </c>
      <c r="AA431" s="0" t="n">
        <f aca="false">$Q$5*(Y431-$V$5)</f>
        <v>10.706547763434</v>
      </c>
      <c r="AB431" s="0" t="n">
        <f aca="false">COS(AA431)</f>
        <v>-0.285019262469976</v>
      </c>
      <c r="AC431" s="0" t="n">
        <f aca="false">SIN(AA431)</f>
        <v>-0.958521789017376</v>
      </c>
      <c r="AD431" s="0" t="n">
        <f aca="false">$T$5*(Z431-1)</f>
        <v>0.0102010407389897</v>
      </c>
      <c r="AE431" s="0" t="n">
        <f aca="false">2*$T$5*$U$5*Z431*$X$5/(Y431+Y432)</f>
        <v>9.40023175243038E-006</v>
      </c>
      <c r="AF431" s="0" t="n">
        <f aca="false">AB431*AE431</f>
        <v>-2.67924712112456E-006</v>
      </c>
      <c r="AG431" s="0" t="n">
        <f aca="false">AG430+AF430</f>
        <v>0.00345755992473161</v>
      </c>
      <c r="AH431" s="0" t="n">
        <f aca="false">AC431*AE431</f>
        <v>-9.01032695651751E-006</v>
      </c>
      <c r="AI431" s="0" t="n">
        <f aca="false">AI430+AH430</f>
        <v>0.00393835593729721</v>
      </c>
      <c r="AJ431" s="6" t="n">
        <f aca="false">Y431/$P$5</f>
        <v>1.744</v>
      </c>
      <c r="AK431" s="0" t="n">
        <f aca="false">SQRT(AG431^2+AI431^2)</f>
        <v>0.00524074118059213</v>
      </c>
      <c r="AL431" s="0" t="n">
        <f aca="false">$W$5*(Y431/$V$5-Z431)</f>
        <v>0.00776596570815252</v>
      </c>
      <c r="AM431" s="0" t="n">
        <f aca="false">SQRT(AK431^2+AL431^2)</f>
        <v>0.00936886287134971</v>
      </c>
      <c r="AN431" s="2" t="n">
        <f aca="false">Y431</f>
        <v>1744</v>
      </c>
      <c r="AO431" s="0" t="n">
        <f aca="false">AM431/Z431</f>
        <v>0.0075540103949285</v>
      </c>
    </row>
    <row r="432" customFormat="false" ht="12.75" hidden="false" customHeight="false" outlineLevel="0" collapsed="false">
      <c r="Y432" s="0" t="n">
        <f aca="false">Y431+$X$5</f>
        <v>1748</v>
      </c>
      <c r="Z432" s="0" t="n">
        <f aca="false">(Y432/$V$5)^$O$5</f>
        <v>1.24041226503842</v>
      </c>
      <c r="AA432" s="0" t="n">
        <f aca="false">$Q$5*(Y432-$V$5)</f>
        <v>10.7316805046627</v>
      </c>
      <c r="AB432" s="0" t="n">
        <f aca="false">COS(AA432)</f>
        <v>-0.260841506289897</v>
      </c>
      <c r="AC432" s="0" t="n">
        <f aca="false">SIN(AA432)</f>
        <v>-0.965381638833274</v>
      </c>
      <c r="AD432" s="0" t="n">
        <f aca="false">$T$5*(Z432-1)</f>
        <v>0.010207922210808</v>
      </c>
      <c r="AE432" s="0" t="n">
        <f aca="false">2*$T$5*$U$5*Z432*$X$5/(Y432+Y433)</f>
        <v>9.37997107258214E-006</v>
      </c>
      <c r="AF432" s="0" t="n">
        <f aca="false">AB432*AE432</f>
        <v>-2.44668578352798E-006</v>
      </c>
      <c r="AG432" s="0" t="n">
        <f aca="false">AG431+AF431</f>
        <v>0.00345488067761048</v>
      </c>
      <c r="AH432" s="0" t="n">
        <f aca="false">AC432*AE432</f>
        <v>-9.05525184625804E-006</v>
      </c>
      <c r="AI432" s="0" t="n">
        <f aca="false">AI431+AH431</f>
        <v>0.00392934561034069</v>
      </c>
      <c r="AJ432" s="6" t="n">
        <f aca="false">Y432/$P$5</f>
        <v>1.748</v>
      </c>
      <c r="AK432" s="0" t="n">
        <f aca="false">SQRT(AG432^2+AI432^2)</f>
        <v>0.00523220387810241</v>
      </c>
      <c r="AL432" s="0" t="n">
        <f aca="false">$W$5*(Y432/$V$5-Z432)</f>
        <v>0.00778426935607808</v>
      </c>
      <c r="AM432" s="0" t="n">
        <f aca="false">SQRT(AK432^2+AL432^2)</f>
        <v>0.00937927538938943</v>
      </c>
      <c r="AN432" s="2" t="n">
        <f aca="false">Y432</f>
        <v>1748</v>
      </c>
      <c r="AO432" s="0" t="n">
        <f aca="false">AM432/Z432</f>
        <v>0.00756141780740852</v>
      </c>
    </row>
    <row r="433" customFormat="false" ht="12.75" hidden="false" customHeight="false" outlineLevel="0" collapsed="false">
      <c r="Y433" s="0" t="n">
        <f aca="false">Y432+$X$5</f>
        <v>1752</v>
      </c>
      <c r="Z433" s="0" t="n">
        <f aca="false">(Y433/$V$5)^$O$5</f>
        <v>1.24057398494302</v>
      </c>
      <c r="AA433" s="0" t="n">
        <f aca="false">$Q$5*(Y433-$V$5)</f>
        <v>10.7568132458915</v>
      </c>
      <c r="AB433" s="0" t="n">
        <f aca="false">COS(AA433)</f>
        <v>-0.236498997023724</v>
      </c>
      <c r="AC433" s="0" t="n">
        <f aca="false">SIN(AA433)</f>
        <v>-0.971631732914674</v>
      </c>
      <c r="AD433" s="0" t="n">
        <f aca="false">$T$5*(Z433-1)</f>
        <v>0.0102147888496872</v>
      </c>
      <c r="AE433" s="0" t="n">
        <f aca="false">2*$T$5*$U$5*Z433*$X$5/(Y433+Y434)</f>
        <v>9.35980016609788E-006</v>
      </c>
      <c r="AF433" s="0" t="n">
        <f aca="false">AB433*AE433</f>
        <v>-2.21358335162464E-006</v>
      </c>
      <c r="AG433" s="0" t="n">
        <f aca="false">AG432+AF432</f>
        <v>0.00345243399182696</v>
      </c>
      <c r="AH433" s="0" t="n">
        <f aca="false">AC433*AE433</f>
        <v>-9.09427885512074E-006</v>
      </c>
      <c r="AI433" s="0" t="n">
        <f aca="false">AI432+AH432</f>
        <v>0.00392029035849443</v>
      </c>
      <c r="AJ433" s="6" t="n">
        <f aca="false">Y433/$P$5</f>
        <v>1.752</v>
      </c>
      <c r="AK433" s="0" t="n">
        <f aca="false">SQRT(AG433^2+AI433^2)</f>
        <v>0.00522378952129837</v>
      </c>
      <c r="AL433" s="0" t="n">
        <f aca="false">$W$5*(Y433/$V$5-Z433)</f>
        <v>0.00780257306804912</v>
      </c>
      <c r="AM433" s="0" t="n">
        <f aca="false">SQRT(AK433^2+AL433^2)</f>
        <v>0.00938978825347367</v>
      </c>
      <c r="AN433" s="2" t="n">
        <f aca="false">Y433</f>
        <v>1752</v>
      </c>
      <c r="AO433" s="0" t="n">
        <f aca="false">AM433/Z433</f>
        <v>0.00756890630259745</v>
      </c>
    </row>
    <row r="434" customFormat="false" ht="12.75" hidden="false" customHeight="false" outlineLevel="0" collapsed="false">
      <c r="Y434" s="0" t="n">
        <f aca="false">Y433+$X$5</f>
        <v>1756</v>
      </c>
      <c r="Z434" s="0" t="n">
        <f aca="false">(Y434/$V$5)^$O$5</f>
        <v>1.2407353570571</v>
      </c>
      <c r="AA434" s="0" t="n">
        <f aca="false">$Q$5*(Y434-$V$5)</f>
        <v>10.7819459871202</v>
      </c>
      <c r="AB434" s="0" t="n">
        <f aca="false">COS(AA434)</f>
        <v>-0.212007109922054</v>
      </c>
      <c r="AC434" s="0" t="n">
        <f aca="false">SIN(AA434)</f>
        <v>-0.977268123568194</v>
      </c>
      <c r="AD434" s="0" t="n">
        <f aca="false">$T$5*(Z434-1)</f>
        <v>0.0102216407213553</v>
      </c>
      <c r="AE434" s="0" t="n">
        <f aca="false">2*$T$5*$U$5*Z434*$X$5/(Y434+Y435)</f>
        <v>9.33971843184282E-006</v>
      </c>
      <c r="AF434" s="0" t="n">
        <f aca="false">AB434*AE434</f>
        <v>-1.98008671222074E-006</v>
      </c>
      <c r="AG434" s="0" t="n">
        <f aca="false">AG433+AF433</f>
        <v>0.00345022040847533</v>
      </c>
      <c r="AH434" s="0" t="n">
        <f aca="false">AC434*AE434</f>
        <v>-9.12740910654231E-006</v>
      </c>
      <c r="AI434" s="0" t="n">
        <f aca="false">AI433+AH433</f>
        <v>0.00391119607963931</v>
      </c>
      <c r="AJ434" s="6" t="n">
        <f aca="false">Y434/$P$5</f>
        <v>1.756</v>
      </c>
      <c r="AK434" s="0" t="n">
        <f aca="false">SQRT(AG434^2+AI434^2)</f>
        <v>0.00521550339281316</v>
      </c>
      <c r="AL434" s="0" t="n">
        <f aca="false">$W$5*(Y434/$V$5-Z434)</f>
        <v>0.00782087684378186</v>
      </c>
      <c r="AM434" s="0" t="n">
        <f aca="false">SQRT(AK434^2+AL434^2)</f>
        <v>0.00940040372782196</v>
      </c>
      <c r="AN434" s="2" t="n">
        <f aca="false">Y434</f>
        <v>1756</v>
      </c>
      <c r="AO434" s="0" t="n">
        <f aca="false">AM434/Z434</f>
        <v>0.00757647767056368</v>
      </c>
    </row>
    <row r="435" customFormat="false" ht="12.75" hidden="false" customHeight="false" outlineLevel="0" collapsed="false">
      <c r="Y435" s="0" t="n">
        <f aca="false">Y434+$X$5</f>
        <v>1760</v>
      </c>
      <c r="Z435" s="0" t="n">
        <f aca="false">(Y435/$V$5)^$O$5</f>
        <v>1.24089638291828</v>
      </c>
      <c r="AA435" s="0" t="n">
        <f aca="false">$Q$5*(Y435-$V$5)</f>
        <v>10.8070787283489</v>
      </c>
      <c r="AB435" s="0" t="n">
        <f aca="false">COS(AA435)</f>
        <v>-0.187381314585724</v>
      </c>
      <c r="AC435" s="0" t="n">
        <f aca="false">SIN(AA435)</f>
        <v>-0.982287250728689</v>
      </c>
      <c r="AD435" s="0" t="n">
        <f aca="false">$T$5*(Z435-1)</f>
        <v>0.0102284778911004</v>
      </c>
      <c r="AE435" s="0" t="n">
        <f aca="false">2*$T$5*$U$5*Z435*$X$5/(Y435+Y436)</f>
        <v>9.31972527406295E-006</v>
      </c>
      <c r="AF435" s="0" t="n">
        <f aca="false">AB435*AE435</f>
        <v>-1.74634237343171E-006</v>
      </c>
      <c r="AG435" s="0" t="n">
        <f aca="false">AG434+AF434</f>
        <v>0.00344824032176311</v>
      </c>
      <c r="AH435" s="0" t="n">
        <f aca="false">AC435*AE435</f>
        <v>-9.15464731700597E-006</v>
      </c>
      <c r="AI435" s="0" t="n">
        <f aca="false">AI434+AH434</f>
        <v>0.00390206867053277</v>
      </c>
      <c r="AJ435" s="6" t="n">
        <f aca="false">Y435/$P$5</f>
        <v>1.76</v>
      </c>
      <c r="AK435" s="0" t="n">
        <f aca="false">SQRT(AG435^2+AI435^2)</f>
        <v>0.00520735069168443</v>
      </c>
      <c r="AL435" s="0" t="n">
        <f aca="false">$W$5*(Y435/$V$5-Z435)</f>
        <v>0.00783918068299439</v>
      </c>
      <c r="AM435" s="0" t="n">
        <f aca="false">SQRT(AK435^2+AL435^2)</f>
        <v>0.00941112400337063</v>
      </c>
      <c r="AN435" s="2" t="n">
        <f aca="false">Y435</f>
        <v>1760</v>
      </c>
      <c r="AO435" s="0" t="n">
        <f aca="false">AM435/Z435</f>
        <v>0.00758413364155193</v>
      </c>
    </row>
    <row r="436" customFormat="false" ht="12.75" hidden="false" customHeight="false" outlineLevel="0" collapsed="false">
      <c r="Y436" s="0" t="n">
        <f aca="false">Y435+$X$5</f>
        <v>1764</v>
      </c>
      <c r="Z436" s="0" t="n">
        <f aca="false">(Y436/$V$5)^$O$5</f>
        <v>1.24105706405392</v>
      </c>
      <c r="AA436" s="0" t="n">
        <f aca="false">$Q$5*(Y436-$V$5)</f>
        <v>10.8322114695776</v>
      </c>
      <c r="AB436" s="0" t="n">
        <f aca="false">COS(AA436)</f>
        <v>-0.162637165194883</v>
      </c>
      <c r="AC436" s="0" t="n">
        <f aca="false">SIN(AA436)</f>
        <v>-0.986685944207868</v>
      </c>
      <c r="AD436" s="0" t="n">
        <f aca="false">$T$5*(Z436-1)</f>
        <v>0.0102353004237741</v>
      </c>
      <c r="AE436" s="0" t="n">
        <f aca="false">2*$T$5*$U$5*Z436*$X$5/(Y436+Y437)</f>
        <v>9.29982010232482E-006</v>
      </c>
      <c r="AF436" s="0" t="n">
        <f aca="false">AB436*AE436</f>
        <v>-1.51249637826449E-006</v>
      </c>
      <c r="AG436" s="0" t="n">
        <f aca="false">AG435+AF435</f>
        <v>0.00344649397938968</v>
      </c>
      <c r="AH436" s="0" t="n">
        <f aca="false">AC436*AE436</f>
        <v>-9.17600177862568E-006</v>
      </c>
      <c r="AI436" s="0" t="n">
        <f aca="false">AI435+AH435</f>
        <v>0.00389291402321576</v>
      </c>
      <c r="AJ436" s="6" t="n">
        <f aca="false">Y436/$P$5</f>
        <v>1.764</v>
      </c>
      <c r="AK436" s="0" t="n">
        <f aca="false">SQRT(AG436^2+AI436^2)</f>
        <v>0.0051993365290313</v>
      </c>
      <c r="AL436" s="0" t="n">
        <f aca="false">$W$5*(Y436/$V$5-Z436)</f>
        <v>0.0078574845854067</v>
      </c>
      <c r="AM436" s="0" t="n">
        <f aca="false">SQRT(AK436^2+AL436^2)</f>
        <v>0.00942195119664835</v>
      </c>
      <c r="AN436" s="2" t="n">
        <f aca="false">Y436</f>
        <v>1764</v>
      </c>
      <c r="AO436" s="0" t="n">
        <f aca="false">AM436/Z436</f>
        <v>0.00759187588511963</v>
      </c>
    </row>
    <row r="437" customFormat="false" ht="12.75" hidden="false" customHeight="false" outlineLevel="0" collapsed="false">
      <c r="Y437" s="0" t="n">
        <f aca="false">Y436+$X$5</f>
        <v>1768</v>
      </c>
      <c r="Z437" s="0" t="n">
        <f aca="false">(Y437/$V$5)^$O$5</f>
        <v>1.24121740198121</v>
      </c>
      <c r="AA437" s="0" t="n">
        <f aca="false">$Q$5*(Y437-$V$5)</f>
        <v>10.8573442108063</v>
      </c>
      <c r="AB437" s="0" t="n">
        <f aca="false">COS(AA437)</f>
        <v>-0.137790290684637</v>
      </c>
      <c r="AC437" s="0" t="n">
        <f aca="false">SIN(AA437)</f>
        <v>-0.990461425696651</v>
      </c>
      <c r="AD437" s="0" t="n">
        <f aca="false">$T$5*(Z437-1)</f>
        <v>0.0102421083837961</v>
      </c>
      <c r="AE437" s="0" t="n">
        <f aca="false">2*$T$5*$U$5*Z437*$X$5/(Y437+Y438)</f>
        <v>9.28000233145613E-006</v>
      </c>
      <c r="AF437" s="0" t="n">
        <f aca="false">AB437*AE437</f>
        <v>-1.27869421880545E-006</v>
      </c>
      <c r="AG437" s="0" t="n">
        <f aca="false">AG436+AF436</f>
        <v>0.00344498148301142</v>
      </c>
      <c r="AH437" s="0" t="n">
        <f aca="false">AC437*AE437</f>
        <v>-9.19148433968229E-006</v>
      </c>
      <c r="AI437" s="0" t="n">
        <f aca="false">AI436+AH436</f>
        <v>0.00388373802143714</v>
      </c>
      <c r="AJ437" s="6" t="n">
        <f aca="false">Y437/$P$5</f>
        <v>1.768</v>
      </c>
      <c r="AK437" s="0" t="n">
        <f aca="false">SQRT(AG437^2+AI437^2)</f>
        <v>0.00519146592374909</v>
      </c>
      <c r="AL437" s="0" t="n">
        <f aca="false">$W$5*(Y437/$V$5-Z437)</f>
        <v>0.00787578855074063</v>
      </c>
      <c r="AM437" s="0" t="n">
        <f aca="false">SQRT(AK437^2+AL437^2)</f>
        <v>0.00943288734870852</v>
      </c>
      <c r="AN437" s="2" t="n">
        <f aca="false">Y437</f>
        <v>1768</v>
      </c>
      <c r="AO437" s="0" t="n">
        <f aca="false">AM437/Z437</f>
        <v>0.0075997060093195</v>
      </c>
    </row>
    <row r="438" customFormat="false" ht="12.75" hidden="false" customHeight="false" outlineLevel="0" collapsed="false">
      <c r="Y438" s="0" t="n">
        <f aca="false">Y437+$X$5</f>
        <v>1772</v>
      </c>
      <c r="Z438" s="0" t="n">
        <f aca="false">(Y438/$V$5)^$O$5</f>
        <v>1.24137739820722</v>
      </c>
      <c r="AA438" s="0" t="n">
        <f aca="false">$Q$5*(Y438-$V$5)</f>
        <v>10.882476952035</v>
      </c>
      <c r="AB438" s="0" t="n">
        <f aca="false">COS(AA438)</f>
        <v>-0.112856384873482</v>
      </c>
      <c r="AC438" s="0" t="n">
        <f aca="false">SIN(AA438)</f>
        <v>-0.993611310520008</v>
      </c>
      <c r="AD438" s="0" t="n">
        <f aca="false">$T$5*(Z438-1)</f>
        <v>0.0102489018351571</v>
      </c>
      <c r="AE438" s="0" t="n">
        <f aca="false">2*$T$5*$U$5*Z438*$X$5/(Y438+Y439)</f>
        <v>9.26027138148704E-006</v>
      </c>
      <c r="AF438" s="0" t="n">
        <f aca="false">AB438*AE438</f>
        <v>-1.04508075106199E-006</v>
      </c>
      <c r="AG438" s="0" t="n">
        <f aca="false">AG437+AF437</f>
        <v>0.00344370278879261</v>
      </c>
      <c r="AH438" s="0" t="n">
        <f aca="false">AC438*AE438</f>
        <v>-9.20111038313026E-006</v>
      </c>
      <c r="AI438" s="0" t="n">
        <f aca="false">AI437+AH437</f>
        <v>0.00387454653709746</v>
      </c>
      <c r="AJ438" s="6" t="n">
        <f aca="false">Y438/$P$5</f>
        <v>1.772</v>
      </c>
      <c r="AK438" s="0" t="n">
        <f aca="false">SQRT(AG438^2+AI438^2)</f>
        <v>0.00518374379822845</v>
      </c>
      <c r="AL438" s="0" t="n">
        <f aca="false">$W$5*(Y438/$V$5-Z438)</f>
        <v>0.00789409257871989</v>
      </c>
      <c r="AM438" s="0" t="n">
        <f aca="false">SQRT(AK438^2+AL438^2)</f>
        <v>0.00944393442411966</v>
      </c>
      <c r="AN438" s="2" t="n">
        <f aca="false">Y438</f>
        <v>1772</v>
      </c>
      <c r="AO438" s="0" t="n">
        <f aca="false">AM438/Z438</f>
        <v>0.00760762555992923</v>
      </c>
    </row>
    <row r="439" customFormat="false" ht="12.75" hidden="false" customHeight="false" outlineLevel="0" collapsed="false">
      <c r="Y439" s="0" t="n">
        <f aca="false">Y438+$X$5</f>
        <v>1776</v>
      </c>
      <c r="Z439" s="0" t="n">
        <f aca="false">(Y439/$V$5)^$O$5</f>
        <v>1.24153705422904</v>
      </c>
      <c r="AA439" s="0" t="n">
        <f aca="false">$Q$5*(Y439-$V$5)</f>
        <v>10.9076096932638</v>
      </c>
      <c r="AB439" s="0" t="n">
        <f aca="false">COS(AA439)</f>
        <v>-0.0878511965507435</v>
      </c>
      <c r="AC439" s="0" t="n">
        <f aca="false">SIN(AA439)</f>
        <v>-0.996133609143172</v>
      </c>
      <c r="AD439" s="0" t="n">
        <f aca="false">$T$5*(Z439-1)</f>
        <v>0.0102556808414235</v>
      </c>
      <c r="AE439" s="0" t="n">
        <f aca="false">2*$T$5*$U$5*Z439*$X$5/(Y439+Y440)</f>
        <v>9.24062667759236E-006</v>
      </c>
      <c r="AF439" s="0" t="n">
        <f aca="false">AB439*AE439</f>
        <v>-8.1180011050521E-007</v>
      </c>
      <c r="AG439" s="0" t="n">
        <f aca="false">AG438+AF438</f>
        <v>0.00344265770804155</v>
      </c>
      <c r="AH439" s="0" t="n">
        <f aca="false">AC439*AE439</f>
        <v>-9.20489880309476E-006</v>
      </c>
      <c r="AI439" s="0" t="n">
        <f aca="false">AI438+AH438</f>
        <v>0.00386534542671433</v>
      </c>
      <c r="AJ439" s="6" t="n">
        <f aca="false">Y439/$P$5</f>
        <v>1.776</v>
      </c>
      <c r="AK439" s="0" t="n">
        <f aca="false">SQRT(AG439^2+AI439^2)</f>
        <v>0.00517617497410581</v>
      </c>
      <c r="AL439" s="0" t="n">
        <f aca="false">$W$5*(Y439/$V$5-Z439)</f>
        <v>0.00791239666907002</v>
      </c>
      <c r="AM439" s="0" t="n">
        <f aca="false">SQRT(AK439^2+AL439^2)</f>
        <v>0.00945509431001455</v>
      </c>
      <c r="AN439" s="2" t="n">
        <f aca="false">Y439</f>
        <v>1776</v>
      </c>
      <c r="AO439" s="0" t="n">
        <f aca="false">AM439/Z439</f>
        <v>0.00761563601972873</v>
      </c>
    </row>
    <row r="440" customFormat="false" ht="12.75" hidden="false" customHeight="false" outlineLevel="0" collapsed="false">
      <c r="Y440" s="0" t="n">
        <f aca="false">Y439+$X$5</f>
        <v>1780</v>
      </c>
      <c r="Z440" s="0" t="n">
        <f aca="false">(Y440/$V$5)^$O$5</f>
        <v>1.24169637153384</v>
      </c>
      <c r="AA440" s="0" t="n">
        <f aca="false">$Q$5*(Y440-$V$5)</f>
        <v>10.9327424344925</v>
      </c>
      <c r="AB440" s="0" t="n">
        <f aca="false">COS(AA440)</f>
        <v>-0.0627905195293134</v>
      </c>
      <c r="AC440" s="0" t="n">
        <f aca="false">SIN(AA440)</f>
        <v>-0.998026728428272</v>
      </c>
      <c r="AD440" s="0" t="n">
        <f aca="false">$T$5*(Z440-1)</f>
        <v>0.0102624454657408</v>
      </c>
      <c r="AE440" s="0" t="n">
        <f aca="false">2*$T$5*$U$5*Z440*$X$5/(Y440+Y441)</f>
        <v>9.22106765003447E-006</v>
      </c>
      <c r="AF440" s="0" t="n">
        <f aca="false">AB440*AE440</f>
        <v>-5.7899562836061E-007</v>
      </c>
      <c r="AG440" s="0" t="n">
        <f aca="false">AG439+AF439</f>
        <v>0.00344184590793104</v>
      </c>
      <c r="AH440" s="0" t="n">
        <f aca="false">AC440*AE440</f>
        <v>-9.20287197937967E-006</v>
      </c>
      <c r="AI440" s="0" t="n">
        <f aca="false">AI439+AH439</f>
        <v>0.00385614052791123</v>
      </c>
      <c r="AJ440" s="6" t="n">
        <f aca="false">Y440/$P$5</f>
        <v>1.78</v>
      </c>
      <c r="AK440" s="0" t="n">
        <f aca="false">SQRT(AG440^2+AI440^2)</f>
        <v>0.00516876416805228</v>
      </c>
      <c r="AL440" s="0" t="n">
        <f aca="false">$W$5*(Y440/$V$5-Z440)</f>
        <v>0.00793070082151835</v>
      </c>
      <c r="AM440" s="0" t="n">
        <f aca="false">SQRT(AK440^2+AL440^2)</f>
        <v>0.00946636881519905</v>
      </c>
      <c r="AN440" s="2" t="n">
        <f aca="false">Y440</f>
        <v>1780</v>
      </c>
      <c r="AO440" s="0" t="n">
        <f aca="false">AM440/Z440</f>
        <v>0.00762373880782584</v>
      </c>
    </row>
    <row r="441" customFormat="false" ht="12.75" hidden="false" customHeight="false" outlineLevel="0" collapsed="false">
      <c r="Y441" s="0" t="n">
        <f aca="false">Y440+$X$5</f>
        <v>1784</v>
      </c>
      <c r="Z441" s="0" t="n">
        <f aca="false">(Y441/$V$5)^$O$5</f>
        <v>1.24185535159897</v>
      </c>
      <c r="AA441" s="0" t="n">
        <f aca="false">$Q$5*(Y441-$V$5)</f>
        <v>10.9578751757212</v>
      </c>
      <c r="AB441" s="0" t="n">
        <f aca="false">COS(AA441)</f>
        <v>-0.0376901826699344</v>
      </c>
      <c r="AC441" s="0" t="n">
        <f aca="false">SIN(AA441)</f>
        <v>-0.999289472640589</v>
      </c>
      <c r="AD441" s="0" t="n">
        <f aca="false">$T$5*(Z441-1)</f>
        <v>0.0102691957708371</v>
      </c>
      <c r="AE441" s="0" t="n">
        <f aca="false">2*$T$5*$U$5*Z441*$X$5/(Y441+Y442)</f>
        <v>9.20159373410697E-006</v>
      </c>
      <c r="AF441" s="0" t="n">
        <f aca="false">AB441*AE441</f>
        <v>-3.46809748693015E-007</v>
      </c>
      <c r="AG441" s="0" t="n">
        <f aca="false">AG440+AF440</f>
        <v>0.00344126691230268</v>
      </c>
      <c r="AH441" s="0" t="n">
        <f aca="false">AC441*AE441</f>
        <v>-9.1950557500087E-006</v>
      </c>
      <c r="AI441" s="0" t="n">
        <f aca="false">AI440+AH440</f>
        <v>0.00384693765593185</v>
      </c>
      <c r="AJ441" s="6" t="n">
        <f aca="false">Y441/$P$5</f>
        <v>1.784</v>
      </c>
      <c r="AK441" s="0" t="n">
        <f aca="false">SQRT(AG441^2+AI441^2)</f>
        <v>0.00516151598760826</v>
      </c>
      <c r="AL441" s="0" t="n">
        <f aca="false">$W$5*(Y441/$V$5-Z441)</f>
        <v>0.00794900503579405</v>
      </c>
      <c r="AM441" s="0" t="n">
        <f aca="false">SQRT(AK441^2+AL441^2)</f>
        <v>0.00947775966932138</v>
      </c>
      <c r="AN441" s="2" t="n">
        <f aca="false">Y441</f>
        <v>1784</v>
      </c>
      <c r="AO441" s="0" t="n">
        <f aca="false">AM441/Z441</f>
        <v>0.00763193527903081</v>
      </c>
    </row>
    <row r="442" customFormat="false" ht="12.75" hidden="false" customHeight="false" outlineLevel="0" collapsed="false">
      <c r="Y442" s="0" t="n">
        <f aca="false">Y441+$X$5</f>
        <v>1788</v>
      </c>
      <c r="Z442" s="0" t="n">
        <f aca="false">(Y442/$V$5)^$O$5</f>
        <v>1.24201399589204</v>
      </c>
      <c r="AA442" s="0" t="n">
        <f aca="false">$Q$5*(Y442-$V$5)</f>
        <v>10.9830079169499</v>
      </c>
      <c r="AB442" s="0" t="n">
        <f aca="false">COS(AA442)</f>
        <v>-0.0125660398833523</v>
      </c>
      <c r="AC442" s="0" t="n">
        <f aca="false">SIN(AA442)</f>
        <v>-0.999921044203816</v>
      </c>
      <c r="AD442" s="0" t="n">
        <f aca="false">$T$5*(Z442-1)</f>
        <v>0.0102759318190274</v>
      </c>
      <c r="AE442" s="0" t="n">
        <f aca="false">2*$T$5*$U$5*Z442*$X$5/(Y442+Y443)</f>
        <v>9.18220437007911E-006</v>
      </c>
      <c r="AF442" s="0" t="n">
        <f aca="false">AB442*AE442</f>
        <v>-1.15383946331506E-007</v>
      </c>
      <c r="AG442" s="0" t="n">
        <f aca="false">AG441+AF441</f>
        <v>0.00344092010255399</v>
      </c>
      <c r="AH442" s="0" t="n">
        <f aca="false">AC442*AE442</f>
        <v>-9.18147938182235E-006</v>
      </c>
      <c r="AI442" s="0" t="n">
        <f aca="false">AI441+AH441</f>
        <v>0.00383774260018184</v>
      </c>
      <c r="AJ442" s="6" t="n">
        <f aca="false">Y442/$P$5</f>
        <v>1.788</v>
      </c>
      <c r="AK442" s="0" t="n">
        <f aca="false">SQRT(AG442^2+AI442^2)</f>
        <v>0.00515443492707112</v>
      </c>
      <c r="AL442" s="0" t="n">
        <f aca="false">$W$5*(Y442/$V$5-Z442)</f>
        <v>0.00796730931162805</v>
      </c>
      <c r="AM442" s="0" t="n">
        <f aca="false">SQRT(AK442^2+AL442^2)</f>
        <v>0.00948926852210252</v>
      </c>
      <c r="AN442" s="2" t="n">
        <f aca="false">Y442</f>
        <v>1788</v>
      </c>
      <c r="AO442" s="0" t="n">
        <f aca="false">AM442/Z442</f>
        <v>0.00764022672328033</v>
      </c>
    </row>
    <row r="443" customFormat="false" ht="12.75" hidden="false" customHeight="false" outlineLevel="0" collapsed="false">
      <c r="Y443" s="0" t="n">
        <f aca="false">Y442+$X$5</f>
        <v>1792</v>
      </c>
      <c r="Z443" s="0" t="n">
        <f aca="false">(Y443/$V$5)^$O$5</f>
        <v>1.242172305871</v>
      </c>
      <c r="AA443" s="0" t="n">
        <f aca="false">$Q$5*(Y443-$V$5)</f>
        <v>11.0081406581786</v>
      </c>
      <c r="AB443" s="0" t="n">
        <f aca="false">COS(AA443)</f>
        <v>0.0125660398833532</v>
      </c>
      <c r="AC443" s="0" t="n">
        <f aca="false">SIN(AA443)</f>
        <v>-0.999921044203816</v>
      </c>
      <c r="AD443" s="0" t="n">
        <f aca="false">$T$5*(Z443-1)</f>
        <v>0.0102826536722164</v>
      </c>
      <c r="AE443" s="0" t="n">
        <f aca="false">2*$T$5*$U$5*Z443*$X$5/(Y443+Y444)</f>
        <v>9.162899003141E-006</v>
      </c>
      <c r="AF443" s="0" t="n">
        <f aca="false">AB443*AE443</f>
        <v>1.15141354320607E-007</v>
      </c>
      <c r="AG443" s="0" t="n">
        <f aca="false">AG442+AF442</f>
        <v>0.00344080471860766</v>
      </c>
      <c r="AH443" s="0" t="n">
        <f aca="false">AC443*AE443</f>
        <v>-9.16217553915485E-006</v>
      </c>
      <c r="AI443" s="0" t="n">
        <f aca="false">AI442+AH442</f>
        <v>0.00382856112080002</v>
      </c>
      <c r="AJ443" s="6" t="n">
        <f aca="false">Y443/$P$5</f>
        <v>1.792</v>
      </c>
      <c r="AK443" s="0" t="n">
        <f aca="false">SQRT(AG443^2+AI443^2)</f>
        <v>0.00514752536344351</v>
      </c>
      <c r="AL443" s="0" t="n">
        <f aca="false">$W$5*(Y443/$V$5-Z443)</f>
        <v>0.00798561364875306</v>
      </c>
      <c r="AM443" s="0" t="n">
        <f aca="false">SQRT(AK443^2+AL443^2)</f>
        <v>0.00950089694262839</v>
      </c>
      <c r="AN443" s="2" t="n">
        <f aca="false">Y443</f>
        <v>1792</v>
      </c>
      <c r="AO443" s="0" t="n">
        <f aca="false">AM443/Z443</f>
        <v>0.00764861436511134</v>
      </c>
    </row>
    <row r="444" customFormat="false" ht="12.75" hidden="false" customHeight="false" outlineLevel="0" collapsed="false">
      <c r="Y444" s="0" t="n">
        <f aca="false">Y443+$X$5</f>
        <v>1796</v>
      </c>
      <c r="Z444" s="0" t="n">
        <f aca="false">(Y444/$V$5)^$O$5</f>
        <v>1.24233028298424</v>
      </c>
      <c r="AA444" s="0" t="n">
        <f aca="false">$Q$5*(Y444-$V$5)</f>
        <v>11.0332733994074</v>
      </c>
      <c r="AB444" s="0" t="n">
        <f aca="false">COS(AA444)</f>
        <v>0.0376901826699353</v>
      </c>
      <c r="AC444" s="0" t="n">
        <f aca="false">SIN(AA444)</f>
        <v>-0.999289472640589</v>
      </c>
      <c r="AD444" s="0" t="n">
        <f aca="false">$T$5*(Z444-1)</f>
        <v>0.010289361391903</v>
      </c>
      <c r="AE444" s="0" t="n">
        <f aca="false">2*$T$5*$U$5*Z444*$X$5/(Y444+Y445)</f>
        <v>9.14367708334942E-006</v>
      </c>
      <c r="AF444" s="0" t="n">
        <f aca="false">AB444*AE444</f>
        <v>3.44626859546341E-007</v>
      </c>
      <c r="AG444" s="0" t="n">
        <f aca="false">AG443+AF443</f>
        <v>0.00344091985996198</v>
      </c>
      <c r="AH444" s="0" t="n">
        <f aca="false">AC444*AE444</f>
        <v>-9.13718025061609E-006</v>
      </c>
      <c r="AI444" s="0" t="n">
        <f aca="false">AI443+AH443</f>
        <v>0.00381939894526087</v>
      </c>
      <c r="AJ444" s="6" t="n">
        <f aca="false">Y444/$P$5</f>
        <v>1.796</v>
      </c>
      <c r="AK444" s="0" t="n">
        <f aca="false">SQRT(AG444^2+AI444^2)</f>
        <v>0.00514079155244993</v>
      </c>
      <c r="AL444" s="0" t="n">
        <f aca="false">$W$5*(Y444/$V$5-Z444)</f>
        <v>0.00800391804690355</v>
      </c>
      <c r="AM444" s="0" t="n">
        <f aca="false">SQRT(AK444^2+AL444^2)</f>
        <v>0.00951264641870436</v>
      </c>
      <c r="AN444" s="2" t="n">
        <f aca="false">Y444</f>
        <v>1796</v>
      </c>
      <c r="AO444" s="0" t="n">
        <f aca="false">AM444/Z444</f>
        <v>0.00765709936318522</v>
      </c>
    </row>
    <row r="445" customFormat="false" ht="12.75" hidden="false" customHeight="false" outlineLevel="0" collapsed="false">
      <c r="Y445" s="0" t="n">
        <f aca="false">Y444+$X$5</f>
        <v>1800</v>
      </c>
      <c r="Z445" s="0" t="n">
        <f aca="false">(Y445/$V$5)^$O$5</f>
        <v>1.24248792867068</v>
      </c>
      <c r="AA445" s="0" t="n">
        <f aca="false">$Q$5*(Y445-$V$5)</f>
        <v>11.0584061406361</v>
      </c>
      <c r="AB445" s="0" t="n">
        <f aca="false">COS(AA445)</f>
        <v>0.0627905195293144</v>
      </c>
      <c r="AC445" s="0" t="n">
        <f aca="false">SIN(AA445)</f>
        <v>-0.998026728428271</v>
      </c>
      <c r="AD445" s="0" t="n">
        <f aca="false">$T$5*(Z445-1)</f>
        <v>0.0102960550391832</v>
      </c>
      <c r="AE445" s="0" t="n">
        <f aca="false">2*$T$5*$U$5*Z445*$X$5/(Y445+Y446)</f>
        <v>9.1245380655745E-006</v>
      </c>
      <c r="AF445" s="0" t="n">
        <f aca="false">AB445*AE445</f>
        <v>5.72934485602428E-007</v>
      </c>
      <c r="AG445" s="0" t="n">
        <f aca="false">AG444+AF444</f>
        <v>0.00344126448682152</v>
      </c>
      <c r="AH445" s="0" t="n">
        <f aca="false">AC445*AE445</f>
        <v>-9.10653287400454E-006</v>
      </c>
      <c r="AI445" s="0" t="n">
        <f aca="false">AI444+AH444</f>
        <v>0.00381026176501025</v>
      </c>
      <c r="AJ445" s="6" t="n">
        <f aca="false">Y445/$P$5</f>
        <v>1.8</v>
      </c>
      <c r="AK445" s="0" t="n">
        <f aca="false">SQRT(AG445^2+AI445^2)</f>
        <v>0.00513423762462919</v>
      </c>
      <c r="AL445" s="0" t="n">
        <f aca="false">$W$5*(Y445/$V$5-Z445)</f>
        <v>0.00802222250581571</v>
      </c>
      <c r="AM445" s="0" t="n">
        <f aca="false">SQRT(AK445^2+AL445^2)</f>
        <v>0.00952451835627262</v>
      </c>
      <c r="AN445" s="2" t="n">
        <f aca="false">Y445</f>
        <v>1800</v>
      </c>
      <c r="AO445" s="0" t="n">
        <f aca="false">AM445/Z445</f>
        <v>0.00766568280986261</v>
      </c>
    </row>
    <row r="446" customFormat="false" ht="12.75" hidden="false" customHeight="false" outlineLevel="0" collapsed="false">
      <c r="Y446" s="0" t="n">
        <f aca="false">Y445+$X$5</f>
        <v>1804</v>
      </c>
      <c r="Z446" s="0" t="n">
        <f aca="false">(Y446/$V$5)^$O$5</f>
        <v>1.24264524435981</v>
      </c>
      <c r="AA446" s="0" t="n">
        <f aca="false">$Q$5*(Y446-$V$5)</f>
        <v>11.0835388818648</v>
      </c>
      <c r="AB446" s="0" t="n">
        <f aca="false">COS(AA446)</f>
        <v>0.0878511965507426</v>
      </c>
      <c r="AC446" s="0" t="n">
        <f aca="false">SIN(AA446)</f>
        <v>-0.996133609143173</v>
      </c>
      <c r="AD446" s="0" t="n">
        <f aca="false">$T$5*(Z446-1)</f>
        <v>0.0103027346747538</v>
      </c>
      <c r="AE446" s="0" t="n">
        <f aca="false">2*$T$5*$U$5*Z446*$X$5/(Y446+Y447)</f>
        <v>9.10548140944696E-006</v>
      </c>
      <c r="AF446" s="0" t="n">
        <f aca="false">AB446*AE446</f>
        <v>7.99927436990457E-007</v>
      </c>
      <c r="AG446" s="0" t="n">
        <f aca="false">AG445+AF445</f>
        <v>0.00344183742130713</v>
      </c>
      <c r="AH446" s="0" t="n">
        <f aca="false">AC446*AE446</f>
        <v>-9.07027605937846E-006</v>
      </c>
      <c r="AI446" s="0" t="n">
        <f aca="false">AI445+AH445</f>
        <v>0.00380115523213625</v>
      </c>
      <c r="AJ446" s="6" t="n">
        <f aca="false">Y446/$P$5</f>
        <v>1.804</v>
      </c>
      <c r="AK446" s="0" t="n">
        <f aca="false">SQRT(AG446^2+AI446^2)</f>
        <v>0.00512786758151055</v>
      </c>
      <c r="AL446" s="0" t="n">
        <f aca="false">$W$5*(Y446/$V$5-Z446)</f>
        <v>0.00804052702522746</v>
      </c>
      <c r="AM446" s="0" t="n">
        <f aca="false">SQRT(AK446^2+AL446^2)</f>
        <v>0.00953651407889277</v>
      </c>
      <c r="AN446" s="2" t="n">
        <f aca="false">Y446</f>
        <v>1804</v>
      </c>
      <c r="AO446" s="0" t="n">
        <f aca="false">AM446/Z446</f>
        <v>0.0076743657308292</v>
      </c>
    </row>
    <row r="447" customFormat="false" ht="12.75" hidden="false" customHeight="false" outlineLevel="0" collapsed="false">
      <c r="Y447" s="0" t="n">
        <f aca="false">Y446+$X$5</f>
        <v>1808</v>
      </c>
      <c r="Z447" s="0" t="n">
        <f aca="false">(Y447/$V$5)^$O$5</f>
        <v>1.24280223147181</v>
      </c>
      <c r="AA447" s="0" t="n">
        <f aca="false">$Q$5*(Y447-$V$5)</f>
        <v>11.1086716230935</v>
      </c>
      <c r="AB447" s="0" t="n">
        <f aca="false">COS(AA447)</f>
        <v>0.112856384873481</v>
      </c>
      <c r="AC447" s="0" t="n">
        <f aca="false">SIN(AA447)</f>
        <v>-0.993611310520008</v>
      </c>
      <c r="AD447" s="0" t="n">
        <f aca="false">$T$5*(Z447-1)</f>
        <v>0.0103094003589161</v>
      </c>
      <c r="AE447" s="0" t="n">
        <f aca="false">2*$T$5*$U$5*Z447*$X$5/(Y447+Y448)</f>
        <v>9.08650657930615E-006</v>
      </c>
      <c r="AF447" s="0" t="n">
        <f aca="false">AB447*AE447</f>
        <v>1.02547028366959E-006</v>
      </c>
      <c r="AG447" s="0" t="n">
        <f aca="false">AG446+AF446</f>
        <v>0.00344263734874412</v>
      </c>
      <c r="AH447" s="0" t="n">
        <f aca="false">AC447*AE447</f>
        <v>-9.02845571031306E-006</v>
      </c>
      <c r="AI447" s="0" t="n">
        <f aca="false">AI446+AH446</f>
        <v>0.00379208495607687</v>
      </c>
      <c r="AJ447" s="6" t="n">
        <f aca="false">Y447/$P$5</f>
        <v>1.808</v>
      </c>
      <c r="AK447" s="0" t="n">
        <f aca="false">SQRT(AG447^2+AI447^2)</f>
        <v>0.00512168529188122</v>
      </c>
      <c r="AL447" s="0" t="n">
        <f aca="false">$W$5*(Y447/$V$5-Z447)</f>
        <v>0.00805883160487845</v>
      </c>
      <c r="AM447" s="0" t="n">
        <f aca="false">SQRT(AK447^2+AL447^2)</f>
        <v>0.00954863482728605</v>
      </c>
      <c r="AN447" s="2" t="n">
        <f aca="false">Y447</f>
        <v>1808</v>
      </c>
      <c r="AO447" s="0" t="n">
        <f aca="false">AM447/Z447</f>
        <v>0.00768314908477263</v>
      </c>
    </row>
    <row r="448" customFormat="false" ht="12.75" hidden="false" customHeight="false" outlineLevel="0" collapsed="false">
      <c r="Y448" s="0" t="n">
        <f aca="false">Y447+$X$5</f>
        <v>1812</v>
      </c>
      <c r="Z448" s="0" t="n">
        <f aca="false">(Y448/$V$5)^$O$5</f>
        <v>1.24295889141765</v>
      </c>
      <c r="AA448" s="0" t="n">
        <f aca="false">$Q$5*(Y448-$V$5)</f>
        <v>11.1338043643222</v>
      </c>
      <c r="AB448" s="0" t="n">
        <f aca="false">COS(AA448)</f>
        <v>0.137790290684638</v>
      </c>
      <c r="AC448" s="0" t="n">
        <f aca="false">SIN(AA448)</f>
        <v>-0.990461425696651</v>
      </c>
      <c r="AD448" s="0" t="n">
        <f aca="false">$T$5*(Z448-1)</f>
        <v>0.0103160521515791</v>
      </c>
      <c r="AE448" s="0" t="n">
        <f aca="false">2*$T$5*$U$5*Z448*$X$5/(Y448+Y449)</f>
        <v>9.06761304414871E-006</v>
      </c>
      <c r="AF448" s="0" t="n">
        <f aca="false">AB448*AE448</f>
        <v>1.24942903716907E-006</v>
      </c>
      <c r="AG448" s="0" t="n">
        <f aca="false">AG447+AF447</f>
        <v>0.00344366281902779</v>
      </c>
      <c r="AH448" s="0" t="n">
        <f aca="false">AC448*AE448</f>
        <v>-8.98112094337308E-006</v>
      </c>
      <c r="AI448" s="0" t="n">
        <f aca="false">AI447+AH447</f>
        <v>0.00378305650036655</v>
      </c>
      <c r="AJ448" s="6" t="n">
        <f aca="false">Y448/$P$5</f>
        <v>1.812</v>
      </c>
      <c r="AK448" s="0" t="n">
        <f aca="false">SQRT(AG448^2+AI448^2)</f>
        <v>0.0051156944881531</v>
      </c>
      <c r="AL448" s="0" t="n">
        <f aca="false">$W$5*(Y448/$V$5-Z448)</f>
        <v>0.00807713624450998</v>
      </c>
      <c r="AM448" s="0" t="n">
        <f aca="false">SQRT(AK448^2+AL448^2)</f>
        <v>0.00956088175894341</v>
      </c>
      <c r="AN448" s="2" t="n">
        <f aca="false">Y448</f>
        <v>1812</v>
      </c>
      <c r="AO448" s="0" t="n">
        <f aca="false">AM448/Z448</f>
        <v>0.00769203376311084</v>
      </c>
    </row>
    <row r="449" customFormat="false" ht="12.75" hidden="false" customHeight="false" outlineLevel="0" collapsed="false">
      <c r="Y449" s="0" t="n">
        <f aca="false">Y448+$X$5</f>
        <v>1816</v>
      </c>
      <c r="Z449" s="0" t="n">
        <f aca="false">(Y449/$V$5)^$O$5</f>
        <v>1.24311522559912</v>
      </c>
      <c r="AA449" s="0" t="n">
        <f aca="false">$Q$5*(Y449-$V$5)</f>
        <v>11.1589371055509</v>
      </c>
      <c r="AB449" s="0" t="n">
        <f aca="false">COS(AA449)</f>
        <v>0.162637165194884</v>
      </c>
      <c r="AC449" s="0" t="n">
        <f aca="false">SIN(AA449)</f>
        <v>-0.986685944207868</v>
      </c>
      <c r="AD449" s="0" t="n">
        <f aca="false">$T$5*(Z449-1)</f>
        <v>0.010322690112263</v>
      </c>
      <c r="AE449" s="0" t="n">
        <f aca="false">2*$T$5*$U$5*Z449*$X$5/(Y449+Y450)</f>
        <v>9.04880027757793E-006</v>
      </c>
      <c r="AF449" s="0" t="n">
        <f aca="false">AB449*AE449</f>
        <v>1.47167122555995E-006</v>
      </c>
      <c r="AG449" s="0" t="n">
        <f aca="false">AG448+AF448</f>
        <v>0.00344491224806496</v>
      </c>
      <c r="AH449" s="0" t="n">
        <f aca="false">AC449*AE449</f>
        <v>-8.9283240458304E-006</v>
      </c>
      <c r="AI449" s="0" t="n">
        <f aca="false">AI448+AH448</f>
        <v>0.00377407537942318</v>
      </c>
      <c r="AJ449" s="6" t="n">
        <f aca="false">Y449/$P$5</f>
        <v>1.816</v>
      </c>
      <c r="AK449" s="0" t="n">
        <f aca="false">SQRT(AG449^2+AI449^2)</f>
        <v>0.00510989876283632</v>
      </c>
      <c r="AL449" s="0" t="n">
        <f aca="false">$W$5*(Y449/$V$5-Z449)</f>
        <v>0.00809544094386508</v>
      </c>
      <c r="AM449" s="0" t="n">
        <f aca="false">SQRT(AK449^2+AL449^2)</f>
        <v>0.00957325594779766</v>
      </c>
      <c r="AN449" s="2" t="n">
        <f aca="false">Y449</f>
        <v>1816</v>
      </c>
      <c r="AO449" s="0" t="n">
        <f aca="false">AM449/Z449</f>
        <v>0.00770102058977185</v>
      </c>
    </row>
    <row r="450" customFormat="false" ht="12.75" hidden="false" customHeight="false" outlineLevel="0" collapsed="false">
      <c r="Y450" s="0" t="n">
        <f aca="false">Y449+$X$5</f>
        <v>1820</v>
      </c>
      <c r="Z450" s="0" t="n">
        <f aca="false">(Y450/$V$5)^$O$5</f>
        <v>1.24327123540891</v>
      </c>
      <c r="AA450" s="0" t="n">
        <f aca="false">$Q$5*(Y450-$V$5)</f>
        <v>11.1840698467797</v>
      </c>
      <c r="AB450" s="0" t="n">
        <f aca="false">COS(AA450)</f>
        <v>0.187381314585725</v>
      </c>
      <c r="AC450" s="0" t="n">
        <f aca="false">SIN(AA450)</f>
        <v>-0.982287250728689</v>
      </c>
      <c r="AD450" s="0" t="n">
        <f aca="false">$T$5*(Z450-1)</f>
        <v>0.0103293143001026</v>
      </c>
      <c r="AE450" s="0" t="n">
        <f aca="false">2*$T$5*$U$5*Z450*$X$5/(Y450+Y451)</f>
        <v>9.03006775775375E-006</v>
      </c>
      <c r="AF450" s="0" t="n">
        <f aca="false">AB450*AE450</f>
        <v>1.69206596724607E-006</v>
      </c>
      <c r="AG450" s="0" t="n">
        <f aca="false">AG449+AF449</f>
        <v>0.00344638391929052</v>
      </c>
      <c r="AH450" s="0" t="n">
        <f aca="false">AC450*AE450</f>
        <v>-8.8701204316577E-006</v>
      </c>
      <c r="AI450" s="0" t="n">
        <f aca="false">AI449+AH449</f>
        <v>0.00376514705537735</v>
      </c>
      <c r="AJ450" s="6" t="n">
        <f aca="false">Y450/$P$5</f>
        <v>1.82</v>
      </c>
      <c r="AK450" s="0" t="n">
        <f aca="false">SQRT(AG450^2+AI450^2)</f>
        <v>0.0051043015651273</v>
      </c>
      <c r="AL450" s="0" t="n">
        <f aca="false">$W$5*(Y450/$V$5-Z450)</f>
        <v>0.0081137457026884</v>
      </c>
      <c r="AM450" s="0" t="n">
        <f aca="false">SQRT(AK450^2+AL450^2)</f>
        <v>0.00958575838395979</v>
      </c>
      <c r="AN450" s="2" t="n">
        <f aca="false">Y450</f>
        <v>1820</v>
      </c>
      <c r="AO450" s="0" t="n">
        <f aca="false">AM450/Z450</f>
        <v>0.00771011032102501</v>
      </c>
    </row>
    <row r="451" customFormat="false" ht="12.75" hidden="false" customHeight="false" outlineLevel="0" collapsed="false">
      <c r="Y451" s="0" t="n">
        <f aca="false">Y450+$X$5</f>
        <v>1824</v>
      </c>
      <c r="Z451" s="0" t="n">
        <f aca="false">(Y451/$V$5)^$O$5</f>
        <v>1.24342692223077</v>
      </c>
      <c r="AA451" s="0" t="n">
        <f aca="false">$Q$5*(Y451-$V$5)</f>
        <v>11.2092025880084</v>
      </c>
      <c r="AB451" s="0" t="n">
        <f aca="false">COS(AA451)</f>
        <v>0.212007109922055</v>
      </c>
      <c r="AC451" s="0" t="n">
        <f aca="false">SIN(AA451)</f>
        <v>-0.977268123568193</v>
      </c>
      <c r="AD451" s="0" t="n">
        <f aca="false">$T$5*(Z451-1)</f>
        <v>0.0103359247738506</v>
      </c>
      <c r="AE451" s="0" t="n">
        <f aca="false">2*$T$5*$U$5*Z451*$X$5/(Y451+Y452)</f>
        <v>9.0114149673434E-006</v>
      </c>
      <c r="AF451" s="0" t="n">
        <f aca="false">AB451*AE451</f>
        <v>1.91048404353483E-006</v>
      </c>
      <c r="AG451" s="0" t="n">
        <f aca="false">AG450+AF450</f>
        <v>0.00344807598525776</v>
      </c>
      <c r="AH451" s="0" t="n">
        <f aca="false">AC451*AE451</f>
        <v>-8.80656859583002E-006</v>
      </c>
      <c r="AI451" s="0" t="n">
        <f aca="false">AI450+AH450</f>
        <v>0.00375627693494569</v>
      </c>
      <c r="AJ451" s="6" t="n">
        <f aca="false">Y451/$P$5</f>
        <v>1.824</v>
      </c>
      <c r="AK451" s="0" t="n">
        <f aca="false">SQRT(AG451^2+AI451^2)</f>
        <v>0.00509890619761889</v>
      </c>
      <c r="AL451" s="0" t="n">
        <f aca="false">$W$5*(Y451/$V$5-Z451)</f>
        <v>0.00813205052072626</v>
      </c>
      <c r="AM451" s="0" t="n">
        <f aca="false">SQRT(AK451^2+AL451^2)</f>
        <v>0.00959838997351955</v>
      </c>
      <c r="AN451" s="2" t="n">
        <f aca="false">Y451</f>
        <v>1824</v>
      </c>
      <c r="AO451" s="0" t="n">
        <f aca="false">AM451/Z451</f>
        <v>0.00771930364536387</v>
      </c>
    </row>
    <row r="452" customFormat="false" ht="12.75" hidden="false" customHeight="false" outlineLevel="0" collapsed="false">
      <c r="Y452" s="0" t="n">
        <f aca="false">Y451+$X$5</f>
        <v>1828</v>
      </c>
      <c r="Z452" s="0" t="n">
        <f aca="false">(Y452/$V$5)^$O$5</f>
        <v>1.24358228743947</v>
      </c>
      <c r="AA452" s="0" t="n">
        <f aca="false">$Q$5*(Y452-$V$5)</f>
        <v>11.2343353292371</v>
      </c>
      <c r="AB452" s="0" t="n">
        <f aca="false">COS(AA452)</f>
        <v>0.236498997023725</v>
      </c>
      <c r="AC452" s="0" t="n">
        <f aca="false">SIN(AA452)</f>
        <v>-0.971631732914674</v>
      </c>
      <c r="AD452" s="0" t="n">
        <f aca="false">$T$5*(Z452-1)</f>
        <v>0.0103425215918809</v>
      </c>
      <c r="AE452" s="0" t="n">
        <f aca="false">2*$T$5*$U$5*Z452*$X$5/(Y452+Y453)</f>
        <v>8.99284139347277E-006</v>
      </c>
      <c r="AF452" s="0" t="n">
        <f aca="false">AB452*AE452</f>
        <v>2.12679796994975E-006</v>
      </c>
      <c r="AG452" s="0" t="n">
        <f aca="false">AG451+AF451</f>
        <v>0.0034499864693013</v>
      </c>
      <c r="AH452" s="0" t="n">
        <f aca="false">AC452*AE452</f>
        <v>-8.73773006696676E-006</v>
      </c>
      <c r="AI452" s="0" t="n">
        <f aca="false">AI451+AH451</f>
        <v>0.00374747036634986</v>
      </c>
      <c r="AJ452" s="6" t="n">
        <f aca="false">Y452/$P$5</f>
        <v>1.828</v>
      </c>
      <c r="AK452" s="0" t="n">
        <f aca="false">SQRT(AG452^2+AI452^2)</f>
        <v>0.00509371581313999</v>
      </c>
      <c r="AL452" s="0" t="n">
        <f aca="false">$W$5*(Y452/$V$5-Z452)</f>
        <v>0.00815035539772663</v>
      </c>
      <c r="AM452" s="0" t="n">
        <f aca="false">SQRT(AK452^2+AL452^2)</f>
        <v>0.00961115153841016</v>
      </c>
      <c r="AN452" s="2" t="n">
        <f aca="false">Y452</f>
        <v>1828</v>
      </c>
      <c r="AO452" s="0" t="n">
        <f aca="false">AM452/Z452</f>
        <v>0.00772860118344035</v>
      </c>
    </row>
    <row r="453" customFormat="false" ht="12.75" hidden="false" customHeight="false" outlineLevel="0" collapsed="false">
      <c r="Y453" s="0" t="n">
        <f aca="false">Y452+$X$5</f>
        <v>1832</v>
      </c>
      <c r="Z453" s="0" t="n">
        <f aca="false">(Y453/$V$5)^$O$5</f>
        <v>1.24373733240098</v>
      </c>
      <c r="AA453" s="0" t="n">
        <f aca="false">$Q$5*(Y453-$V$5)</f>
        <v>11.2594680704658</v>
      </c>
      <c r="AB453" s="0" t="n">
        <f aca="false">COS(AA453)</f>
        <v>0.260841506289898</v>
      </c>
      <c r="AC453" s="0" t="n">
        <f aca="false">SIN(AA453)</f>
        <v>-0.965381638833274</v>
      </c>
      <c r="AD453" s="0" t="n">
        <f aca="false">$T$5*(Z453-1)</f>
        <v>0.0103491048121918</v>
      </c>
      <c r="AE453" s="0" t="n">
        <f aca="false">2*$T$5*$U$5*Z453*$X$5/(Y453+Y454)</f>
        <v>8.97434652767826E-006</v>
      </c>
      <c r="AF453" s="0" t="n">
        <f aca="false">AB453*AE453</f>
        <v>2.34088206624711E-006</v>
      </c>
      <c r="AG453" s="0" t="n">
        <f aca="false">AG452+AF452</f>
        <v>0.00345211326727125</v>
      </c>
      <c r="AH453" s="0" t="n">
        <f aca="false">AC453*AE453</f>
        <v>-8.66366935834774E-006</v>
      </c>
      <c r="AI453" s="0" t="n">
        <f aca="false">AI452+AH452</f>
        <v>0.0037387326362829</v>
      </c>
      <c r="AJ453" s="6" t="n">
        <f aca="false">Y453/$P$5</f>
        <v>1.832</v>
      </c>
      <c r="AK453" s="0" t="n">
        <f aca="false">SQRT(AG453^2+AI453^2)</f>
        <v>0.00508873341173194</v>
      </c>
      <c r="AL453" s="0" t="n">
        <f aca="false">$W$5*(Y453/$V$5-Z453)</f>
        <v>0.00816866033343907</v>
      </c>
      <c r="AM453" s="0" t="n">
        <f aca="false">SQRT(AK453^2+AL453^2)</f>
        <v>0.00962404381633718</v>
      </c>
      <c r="AN453" s="2" t="n">
        <f aca="false">Y453</f>
        <v>1832</v>
      </c>
      <c r="AO453" s="0" t="n">
        <f aca="false">AM453/Z453</f>
        <v>0.00773800348805034</v>
      </c>
    </row>
    <row r="454" customFormat="false" ht="12.75" hidden="false" customHeight="false" outlineLevel="0" collapsed="false">
      <c r="Y454" s="0" t="n">
        <f aca="false">Y453+$X$5</f>
        <v>1836</v>
      </c>
      <c r="Z454" s="0" t="n">
        <f aca="false">(Y454/$V$5)^$O$5</f>
        <v>1.24389205847246</v>
      </c>
      <c r="AA454" s="0" t="n">
        <f aca="false">$Q$5*(Y454-$V$5)</f>
        <v>11.2846008116945</v>
      </c>
      <c r="AB454" s="0" t="n">
        <f aca="false">COS(AA454)</f>
        <v>0.285019262469977</v>
      </c>
      <c r="AC454" s="0" t="n">
        <f aca="false">SIN(AA454)</f>
        <v>-0.958521789017376</v>
      </c>
      <c r="AD454" s="0" t="n">
        <f aca="false">$T$5*(Z454-1)</f>
        <v>0.0103556744924096</v>
      </c>
      <c r="AE454" s="0" t="n">
        <f aca="false">2*$T$5*$U$5*Z454*$X$5/(Y454+Y455)</f>
        <v>8.9559298658594E-006</v>
      </c>
      <c r="AF454" s="0" t="n">
        <f aca="false">AB454*AE454</f>
        <v>2.55261252510009E-006</v>
      </c>
      <c r="AG454" s="0" t="n">
        <f aca="false">AG453+AF453</f>
        <v>0.00345445414933749</v>
      </c>
      <c r="AH454" s="0" t="n">
        <f aca="false">AC454*AE454</f>
        <v>-8.5844539173377E-006</v>
      </c>
      <c r="AI454" s="0" t="n">
        <f aca="false">AI453+AH453</f>
        <v>0.00373006896692455</v>
      </c>
      <c r="AJ454" s="6" t="n">
        <f aca="false">Y454/$P$5</f>
        <v>1.836</v>
      </c>
      <c r="AK454" s="0" t="n">
        <f aca="false">SQRT(AG454^2+AI454^2)</f>
        <v>0.00508396183776871</v>
      </c>
      <c r="AL454" s="0" t="n">
        <f aca="false">$W$5*(Y454/$V$5-Z454)</f>
        <v>0.00818696532761477</v>
      </c>
      <c r="AM454" s="0" t="n">
        <f aca="false">SQRT(AK454^2+AL454^2)</f>
        <v>0.0096370674607712</v>
      </c>
      <c r="AN454" s="2" t="n">
        <f aca="false">Y454</f>
        <v>1836</v>
      </c>
      <c r="AO454" s="0" t="n">
        <f aca="false">AM454/Z454</f>
        <v>0.00774751104417034</v>
      </c>
    </row>
    <row r="455" customFormat="false" ht="12.75" hidden="false" customHeight="false" outlineLevel="0" collapsed="false">
      <c r="Y455" s="0" t="n">
        <f aca="false">Y454+$X$5</f>
        <v>1840</v>
      </c>
      <c r="Z455" s="0" t="n">
        <f aca="false">(Y455/$V$5)^$O$5</f>
        <v>1.24404646700243</v>
      </c>
      <c r="AA455" s="0" t="n">
        <f aca="false">$Q$5*(Y455-$V$5)</f>
        <v>11.3097335529233</v>
      </c>
      <c r="AB455" s="0" t="n">
        <f aca="false">COS(AA455)</f>
        <v>0.309016994374947</v>
      </c>
      <c r="AC455" s="0" t="n">
        <f aca="false">SIN(AA455)</f>
        <v>-0.951056516295154</v>
      </c>
      <c r="AD455" s="0" t="n">
        <f aca="false">$T$5*(Z455-1)</f>
        <v>0.0103622306897911</v>
      </c>
      <c r="AE455" s="0" t="n">
        <f aca="false">2*$T$5*$U$5*Z455*$X$5/(Y455+Y456)</f>
        <v>8.93759090823197E-006</v>
      </c>
      <c r="AF455" s="0" t="n">
        <f aca="false">AB455*AE455</f>
        <v>2.7618674794147E-006</v>
      </c>
      <c r="AG455" s="0" t="n">
        <f aca="false">AG454+AF454</f>
        <v>0.00345700676186259</v>
      </c>
      <c r="AH455" s="0" t="n">
        <f aca="false">AC455*AE455</f>
        <v>-8.50015407325433E-006</v>
      </c>
      <c r="AI455" s="0" t="n">
        <f aca="false">AI454+AH454</f>
        <v>0.00372148451300721</v>
      </c>
      <c r="AJ455" s="6" t="n">
        <f aca="false">Y455/$P$5</f>
        <v>1.84</v>
      </c>
      <c r="AK455" s="0" t="n">
        <f aca="false">SQRT(AG455^2+AI455^2)</f>
        <v>0.00507940377722782</v>
      </c>
      <c r="AL455" s="0" t="n">
        <f aca="false">$W$5*(Y455/$V$5-Z455)</f>
        <v>0.0082052703800065</v>
      </c>
      <c r="AM455" s="0" t="n">
        <f aca="false">SQRT(AK455^2+AL455^2)</f>
        <v>0.00965022304100419</v>
      </c>
      <c r="AN455" s="2" t="n">
        <f aca="false">Y455</f>
        <v>1840</v>
      </c>
      <c r="AO455" s="0" t="n">
        <f aca="false">AM455/Z455</f>
        <v>0.00775712426904499</v>
      </c>
    </row>
    <row r="456" customFormat="false" ht="12.75" hidden="false" customHeight="false" outlineLevel="0" collapsed="false">
      <c r="Y456" s="0" t="n">
        <f aca="false">Y455+$X$5</f>
        <v>1844</v>
      </c>
      <c r="Z456" s="0" t="n">
        <f aca="false">(Y456/$V$5)^$O$5</f>
        <v>1.24420055933073</v>
      </c>
      <c r="AA456" s="0" t="n">
        <f aca="false">$Q$5*(Y456-$V$5)</f>
        <v>11.334866294152</v>
      </c>
      <c r="AB456" s="0" t="n">
        <f aca="false">COS(AA456)</f>
        <v>0.332819544522986</v>
      </c>
      <c r="AC456" s="0" t="n">
        <f aca="false">SIN(AA456)</f>
        <v>-0.942990535892865</v>
      </c>
      <c r="AD456" s="0" t="n">
        <f aca="false">$T$5*(Z456-1)</f>
        <v>0.0103687734612274</v>
      </c>
      <c r="AE456" s="0" t="n">
        <f aca="false">2*$T$5*$U$5*Z456*$X$5/(Y456+Y457)</f>
        <v>8.9193291592818E-006</v>
      </c>
      <c r="AF456" s="0" t="n">
        <f aca="false">AB456*AE456</f>
        <v>2.96852706824276E-006</v>
      </c>
      <c r="AG456" s="0" t="n">
        <f aca="false">AG455+AF455</f>
        <v>0.00345976862934201</v>
      </c>
      <c r="AH456" s="0" t="n">
        <f aca="false">AC456*AE456</f>
        <v>-8.410842983716E-006</v>
      </c>
      <c r="AI456" s="0" t="n">
        <f aca="false">AI455+AH455</f>
        <v>0.00371298435893396</v>
      </c>
      <c r="AJ456" s="6" t="n">
        <f aca="false">Y456/$P$5</f>
        <v>1.844</v>
      </c>
      <c r="AK456" s="0" t="n">
        <f aca="false">SQRT(AG456^2+AI456^2)</f>
        <v>0.00507506175511858</v>
      </c>
      <c r="AL456" s="0" t="n">
        <f aca="false">$W$5*(Y456/$V$5-Z456)</f>
        <v>0.00822357549036862</v>
      </c>
      <c r="AM456" s="0" t="n">
        <f aca="false">SQRT(AK456^2+AL456^2)</f>
        <v>0.0096635110422692</v>
      </c>
      <c r="AN456" s="2" t="n">
        <f aca="false">Y456</f>
        <v>1844</v>
      </c>
      <c r="AO456" s="0" t="n">
        <f aca="false">AM456/Z456</f>
        <v>0.00776684351232514</v>
      </c>
    </row>
    <row r="457" customFormat="false" ht="12.75" hidden="false" customHeight="false" outlineLevel="0" collapsed="false">
      <c r="Y457" s="0" t="n">
        <f aca="false">Y456+$X$5</f>
        <v>1848</v>
      </c>
      <c r="Z457" s="0" t="n">
        <f aca="false">(Y457/$V$5)^$O$5</f>
        <v>1.24435433678871</v>
      </c>
      <c r="AA457" s="0" t="n">
        <f aca="false">$Q$5*(Y457-$V$5)</f>
        <v>11.3599990353807</v>
      </c>
      <c r="AB457" s="0" t="n">
        <f aca="false">COS(AA457)</f>
        <v>0.356411878713251</v>
      </c>
      <c r="AC457" s="0" t="n">
        <f aca="false">SIN(AA457)</f>
        <v>-0.934328942456612</v>
      </c>
      <c r="AD457" s="0" t="n">
        <f aca="false">$T$5*(Z457-1)</f>
        <v>0.0103753028632467</v>
      </c>
      <c r="AE457" s="0" t="n">
        <f aca="false">2*$T$5*$U$5*Z457*$X$5/(Y457+Y458)</f>
        <v>8.90114412771913E-006</v>
      </c>
      <c r="AF457" s="0" t="n">
        <f aca="false">AB457*AE457</f>
        <v>3.17247350125779E-006</v>
      </c>
      <c r="AG457" s="0" t="n">
        <f aca="false">AG456+AF456</f>
        <v>0.00346273715641025</v>
      </c>
      <c r="AH457" s="0" t="n">
        <f aca="false">AC457*AE457</f>
        <v>-8.3165965795057E-006</v>
      </c>
      <c r="AI457" s="0" t="n">
        <f aca="false">AI456+AH456</f>
        <v>0.00370457351595024</v>
      </c>
      <c r="AJ457" s="6" t="n">
        <f aca="false">Y457/$P$5</f>
        <v>1.848</v>
      </c>
      <c r="AK457" s="0" t="n">
        <f aca="false">SQRT(AG457^2+AI457^2)</f>
        <v>0.00507093813307401</v>
      </c>
      <c r="AL457" s="0" t="n">
        <f aca="false">$W$5*(Y457/$V$5-Z457)</f>
        <v>0.00824188065845705</v>
      </c>
      <c r="AM457" s="0" t="n">
        <f aca="false">SQRT(AK457^2+AL457^2)</f>
        <v>0.00967693186592282</v>
      </c>
      <c r="AN457" s="2" t="n">
        <f aca="false">Y457</f>
        <v>1848</v>
      </c>
      <c r="AO457" s="0" t="n">
        <f aca="false">AM457/Z457</f>
        <v>0.00777666905625609</v>
      </c>
    </row>
    <row r="458" customFormat="false" ht="12.75" hidden="false" customHeight="false" outlineLevel="0" collapsed="false">
      <c r="Y458" s="0" t="n">
        <f aca="false">Y457+$X$5</f>
        <v>1852</v>
      </c>
      <c r="Z458" s="0" t="n">
        <f aca="false">(Y458/$V$5)^$O$5</f>
        <v>1.24450780069921</v>
      </c>
      <c r="AA458" s="0" t="n">
        <f aca="false">$Q$5*(Y458-$V$5)</f>
        <v>11.3851317766094</v>
      </c>
      <c r="AB458" s="0" t="n">
        <f aca="false">COS(AA458)</f>
        <v>0.379779095521801</v>
      </c>
      <c r="AC458" s="0" t="n">
        <f aca="false">SIN(AA458)</f>
        <v>-0.925077206834458</v>
      </c>
      <c r="AD458" s="0" t="n">
        <f aca="false">$T$5*(Z458-1)</f>
        <v>0.0103818189520175</v>
      </c>
      <c r="AE458" s="0" t="n">
        <f aca="false">2*$T$5*$U$5*Z458*$X$5/(Y458+Y459)</f>
        <v>8.88303532643354E-006</v>
      </c>
      <c r="AF458" s="0" t="n">
        <f aca="false">AB458*AE458</f>
        <v>3.37359112176114E-006</v>
      </c>
      <c r="AG458" s="0" t="n">
        <f aca="false">AG457+AF457</f>
        <v>0.00346590962991151</v>
      </c>
      <c r="AH458" s="0" t="n">
        <f aca="false">AC458*AE458</f>
        <v>-8.21749350798896E-006</v>
      </c>
      <c r="AI458" s="0" t="n">
        <f aca="false">AI457+AH457</f>
        <v>0.00369625691937073</v>
      </c>
      <c r="AJ458" s="6" t="n">
        <f aca="false">Y458/$P$5</f>
        <v>1.852</v>
      </c>
      <c r="AK458" s="0" t="n">
        <f aca="false">SQRT(AG458^2+AI458^2)</f>
        <v>0.00506703510711238</v>
      </c>
      <c r="AL458" s="0" t="n">
        <f aca="false">$W$5*(Y458/$V$5-Z458)</f>
        <v>0.00826018588402927</v>
      </c>
      <c r="AM458" s="0" t="n">
        <f aca="false">SQRT(AK458^2+AL458^2)</f>
        <v>0.00969048582969016</v>
      </c>
      <c r="AN458" s="2" t="n">
        <f aca="false">Y458</f>
        <v>1852</v>
      </c>
      <c r="AO458" s="7" t="n">
        <f aca="false">AM458/Z458</f>
        <v>0.00778660111591561</v>
      </c>
    </row>
    <row r="459" customFormat="false" ht="12.75" hidden="false" customHeight="false" outlineLevel="0" collapsed="false">
      <c r="Y459" s="0" t="n">
        <f aca="false">Y458+$X$5</f>
        <v>1856</v>
      </c>
      <c r="Z459" s="0" t="n">
        <f aca="false">(Y459/$V$5)^$O$5</f>
        <v>1.2446609523767</v>
      </c>
      <c r="AA459" s="0" t="n">
        <f aca="false">$Q$5*(Y459-$V$5)</f>
        <v>11.4102645178381</v>
      </c>
      <c r="AB459" s="0" t="n">
        <f aca="false">COS(AA459)</f>
        <v>0.402906435713663</v>
      </c>
      <c r="AC459" s="0" t="n">
        <f aca="false">SIN(AA459)</f>
        <v>-0.915241172620917</v>
      </c>
      <c r="AD459" s="0" t="n">
        <f aca="false">$T$5*(Z459-1)</f>
        <v>0.0103883217833517</v>
      </c>
      <c r="AE459" s="0" t="n">
        <f aca="false">2*$T$5*$U$5*Z459*$X$5/(Y459+Y460)</f>
        <v>8.86500227244951E-006</v>
      </c>
      <c r="AF459" s="0" t="n">
        <f aca="false">AB459*AE459</f>
        <v>3.57176646818616E-006</v>
      </c>
      <c r="AG459" s="0" t="n">
        <f aca="false">AG458+AF458</f>
        <v>0.00346928322103327</v>
      </c>
      <c r="AH459" s="0" t="n">
        <f aca="false">AC459*AE459</f>
        <v>-8.11361507512379E-006</v>
      </c>
      <c r="AI459" s="0" t="n">
        <f aca="false">AI458+AH458</f>
        <v>0.00368803942586274</v>
      </c>
      <c r="AJ459" s="6" t="n">
        <f aca="false">Y459/$P$5</f>
        <v>1.856</v>
      </c>
      <c r="AK459" s="0" t="n">
        <f aca="false">SQRT(AG459^2+AI459^2)</f>
        <v>0.00506335470557426</v>
      </c>
      <c r="AL459" s="0" t="n">
        <f aca="false">$W$5*(Y459/$V$5-Z459)</f>
        <v>0.0082784911668443</v>
      </c>
      <c r="AM459" s="0" t="n">
        <f aca="false">SQRT(AK459^2+AL459^2)</f>
        <v>0.0097041731679716</v>
      </c>
      <c r="AN459" s="2" t="n">
        <f aca="false">Y459</f>
        <v>1856</v>
      </c>
      <c r="AO459" s="0" t="n">
        <f aca="false">AM459/Z459</f>
        <v>0.00779663983950116</v>
      </c>
    </row>
    <row r="460" customFormat="false" ht="12.75" hidden="false" customHeight="false" outlineLevel="0" collapsed="false">
      <c r="Y460" s="0" t="n">
        <f aca="false">Y459+$X$5</f>
        <v>1860</v>
      </c>
      <c r="Z460" s="0" t="n">
        <f aca="false">(Y460/$V$5)^$O$5</f>
        <v>1.24481379312729</v>
      </c>
      <c r="AA460" s="0" t="n">
        <f aca="false">$Q$5*(Y460-$V$5)</f>
        <v>11.4353972590668</v>
      </c>
      <c r="AB460" s="0" t="n">
        <f aca="false">COS(AA460)</f>
        <v>0.425779291565073</v>
      </c>
      <c r="AC460" s="0" t="n">
        <f aca="false">SIN(AA460)</f>
        <v>-0.904827052466019</v>
      </c>
      <c r="AD460" s="0" t="n">
        <f aca="false">$T$5*(Z460-1)</f>
        <v>0.0103948114127075</v>
      </c>
      <c r="AE460" s="0" t="n">
        <f aca="false">2*$T$5*$U$5*Z460*$X$5/(Y460+Y461)</f>
        <v>8.84704448688248E-006</v>
      </c>
      <c r="AF460" s="0" t="n">
        <f aca="false">AB460*AE460</f>
        <v>3.76688833406951E-006</v>
      </c>
      <c r="AG460" s="0" t="n">
        <f aca="false">AG459+AF459</f>
        <v>0.00347285498750146</v>
      </c>
      <c r="AH460" s="0" t="n">
        <f aca="false">AC460*AE460</f>
        <v>-8.00504518610162E-006</v>
      </c>
      <c r="AI460" s="0" t="n">
        <f aca="false">AI459+AH459</f>
        <v>0.00367992581078762</v>
      </c>
      <c r="AJ460" s="6" t="n">
        <f aca="false">Y460/$P$5</f>
        <v>1.86</v>
      </c>
      <c r="AK460" s="0" t="n">
        <f aca="false">SQRT(AG460^2+AI460^2)</f>
        <v>0.00505989878724018</v>
      </c>
      <c r="AL460" s="0" t="n">
        <f aca="false">$W$5*(Y460/$V$5-Z460)</f>
        <v>0.00829679650666267</v>
      </c>
      <c r="AM460" s="0" t="n">
        <f aca="false">SQRT(AK460^2+AL460^2)</f>
        <v>0.00971799403221079</v>
      </c>
      <c r="AN460" s="2" t="n">
        <f aca="false">Y460</f>
        <v>1860</v>
      </c>
      <c r="AO460" s="0" t="n">
        <f aca="false">AM460/Z460</f>
        <v>0.00780678530866592</v>
      </c>
    </row>
    <row r="461" customFormat="false" ht="12.75" hidden="false" customHeight="false" outlineLevel="0" collapsed="false">
      <c r="Y461" s="0" t="n">
        <f aca="false">Y460+$X$5</f>
        <v>1864</v>
      </c>
      <c r="Z461" s="0" t="n">
        <f aca="false">(Y461/$V$5)^$O$5</f>
        <v>1.24496632424885</v>
      </c>
      <c r="AA461" s="0" t="n">
        <f aca="false">$Q$5*(Y461-$V$5)</f>
        <v>11.4605300002956</v>
      </c>
      <c r="AB461" s="0" t="n">
        <f aca="false">COS(AA461)</f>
        <v>0.448383216090033</v>
      </c>
      <c r="AC461" s="0" t="n">
        <f aca="false">SIN(AA461)</f>
        <v>-0.893841424151263</v>
      </c>
      <c r="AD461" s="0" t="n">
        <f aca="false">$T$5*(Z461-1)</f>
        <v>0.0104012878951924</v>
      </c>
      <c r="AE461" s="0" t="n">
        <f aca="false">2*$T$5*$U$5*Z461*$X$5/(Y461+Y462)</f>
        <v>8.82916149489551E-006</v>
      </c>
      <c r="AF461" s="0" t="n">
        <f aca="false">AB461*AE461</f>
        <v>3.95884782645953E-006</v>
      </c>
      <c r="AG461" s="0" t="n">
        <f aca="false">AG460+AF460</f>
        <v>0.00347662187583553</v>
      </c>
      <c r="AH461" s="0" t="n">
        <f aca="false">AC461*AE461</f>
        <v>-7.8918702846589E-006</v>
      </c>
      <c r="AI461" s="0" t="n">
        <f aca="false">AI460+AH460</f>
        <v>0.00367192076560152</v>
      </c>
      <c r="AJ461" s="6" t="n">
        <f aca="false">Y461/$P$5</f>
        <v>1.864</v>
      </c>
      <c r="AK461" s="0" t="n">
        <f aca="false">SQRT(AG461^2+AI461^2)</f>
        <v>0.00505666903963407</v>
      </c>
      <c r="AL461" s="0" t="n">
        <f aca="false">$W$5*(Y461/$V$5-Z461)</f>
        <v>0.00831510190324646</v>
      </c>
      <c r="AM461" s="0" t="n">
        <f aca="false">SQRT(AK461^2+AL461^2)</f>
        <v>0.00973194849132313</v>
      </c>
      <c r="AN461" s="2" t="n">
        <f aca="false">Y461</f>
        <v>1864</v>
      </c>
      <c r="AO461" s="0" t="n">
        <f aca="false">AM461/Z461</f>
        <v>0.00781703753890281</v>
      </c>
    </row>
    <row r="462" customFormat="false" ht="12.75" hidden="false" customHeight="false" outlineLevel="0" collapsed="false">
      <c r="Y462" s="0" t="n">
        <f aca="false">Y461+$X$5</f>
        <v>1868</v>
      </c>
      <c r="Z462" s="0" t="n">
        <f aca="false">(Y462/$V$5)^$O$5</f>
        <v>1.24511854703107</v>
      </c>
      <c r="AA462" s="0" t="n">
        <f aca="false">$Q$5*(Y462-$V$5)</f>
        <v>11.4856627415243</v>
      </c>
      <c r="AB462" s="0" t="n">
        <f aca="false">COS(AA462)</f>
        <v>0.470703932165333</v>
      </c>
      <c r="AC462" s="0" t="n">
        <f aca="false">SIN(AA462)</f>
        <v>-0.882291226434953</v>
      </c>
      <c r="AD462" s="0" t="n">
        <f aca="false">$T$5*(Z462-1)</f>
        <v>0.0104077512855663</v>
      </c>
      <c r="AE462" s="0" t="n">
        <f aca="false">2*$T$5*$U$5*Z462*$X$5/(Y462+Y463)</f>
        <v>8.8113528256565E-006</v>
      </c>
      <c r="AF462" s="0" t="n">
        <f aca="false">AB462*AE462</f>
        <v>4.14753842273264E-006</v>
      </c>
      <c r="AG462" s="0" t="n">
        <f aca="false">AG461+AF461</f>
        <v>0.00348058072366199</v>
      </c>
      <c r="AH462" s="0" t="n">
        <f aca="false">AC462*AE462</f>
        <v>-7.77417929109956E-006</v>
      </c>
      <c r="AI462" s="0" t="n">
        <f aca="false">AI461+AH461</f>
        <v>0.00366402889531686</v>
      </c>
      <c r="AJ462" s="6" t="n">
        <f aca="false">Y462/$P$5</f>
        <v>1.868</v>
      </c>
      <c r="AK462" s="0" t="n">
        <f aca="false">SQRT(AG462^2+AI462^2)</f>
        <v>0.00505366697751685</v>
      </c>
      <c r="AL462" s="0" t="n">
        <f aca="false">$W$5*(Y462/$V$5-Z462)</f>
        <v>0.0083334073563592</v>
      </c>
      <c r="AM462" s="0" t="n">
        <f aca="false">SQRT(AK462^2+AL462^2)</f>
        <v>0.00974603653218404</v>
      </c>
      <c r="AN462" s="2" t="n">
        <f aca="false">Y462</f>
        <v>1868</v>
      </c>
      <c r="AO462" s="0" t="n">
        <f aca="false">AM462/Z462</f>
        <v>0.00782739647997615</v>
      </c>
    </row>
    <row r="463" customFormat="false" ht="12.75" hidden="false" customHeight="false" outlineLevel="0" collapsed="false">
      <c r="Y463" s="0" t="n">
        <f aca="false">Y462+$X$5</f>
        <v>1872</v>
      </c>
      <c r="Z463" s="0" t="n">
        <f aca="false">(Y463/$V$5)^$O$5</f>
        <v>1.24527046275551</v>
      </c>
      <c r="AA463" s="0" t="n">
        <f aca="false">$Q$5*(Y463-$V$5)</f>
        <v>11.510795482753</v>
      </c>
      <c r="AB463" s="0" t="n">
        <f aca="false">COS(AA463)</f>
        <v>0.492727341548291</v>
      </c>
      <c r="AC463" s="0" t="n">
        <f aca="false">SIN(AA463)</f>
        <v>-0.870183754669526</v>
      </c>
      <c r="AD463" s="0" t="n">
        <f aca="false">$T$5*(Z463-1)</f>
        <v>0.0104142016382444</v>
      </c>
      <c r="AE463" s="0" t="n">
        <f aca="false">2*$T$5*$U$5*Z463*$X$5/(Y463+Y464)</f>
        <v>8.79361801229592E-006</v>
      </c>
      <c r="AF463" s="0" t="n">
        <f aca="false">AB463*AE463</f>
        <v>4.33285602578974E-006</v>
      </c>
      <c r="AG463" s="0" t="n">
        <f aca="false">AG462+AF462</f>
        <v>0.00348472826208472</v>
      </c>
      <c r="AH463" s="0" t="n">
        <f aca="false">AC463*AE463</f>
        <v>-7.65206353906924E-006</v>
      </c>
      <c r="AI463" s="0" t="n">
        <f aca="false">AI462+AH462</f>
        <v>0.00365625471602576</v>
      </c>
      <c r="AJ463" s="6" t="n">
        <f aca="false">Y463/$P$5</f>
        <v>1.872</v>
      </c>
      <c r="AK463" s="0" t="n">
        <f aca="false">SQRT(AG463^2+AI463^2)</f>
        <v>0.00505089394157436</v>
      </c>
      <c r="AL463" s="0" t="n">
        <f aca="false">$W$5*(Y463/$V$5-Z463)</f>
        <v>0.00835171286576596</v>
      </c>
      <c r="AM463" s="0" t="n">
        <f aca="false">SQRT(AK463^2+AL463^2)</f>
        <v>0.00976025806017614</v>
      </c>
      <c r="AN463" s="2" t="n">
        <f aca="false">Y463</f>
        <v>1872</v>
      </c>
      <c r="AO463" s="0" t="n">
        <f aca="false">AM463/Z463</f>
        <v>0.0078378620163999</v>
      </c>
    </row>
    <row r="464" customFormat="false" ht="12.75" hidden="false" customHeight="false" outlineLevel="0" collapsed="false">
      <c r="Y464" s="0" t="n">
        <f aca="false">Y463+$X$5</f>
        <v>1876</v>
      </c>
      <c r="Z464" s="0" t="n">
        <f aca="false">(Y464/$V$5)^$O$5</f>
        <v>1.24542207269567</v>
      </c>
      <c r="AA464" s="0" t="n">
        <f aca="false">$Q$5*(Y464-$V$5)</f>
        <v>11.5359282239817</v>
      </c>
      <c r="AB464" s="0" t="n">
        <f aca="false">COS(AA464)</f>
        <v>0.514439533781506</v>
      </c>
      <c r="AC464" s="0" t="n">
        <f aca="false">SIN(AA464)</f>
        <v>-0.857526656193652</v>
      </c>
      <c r="AD464" s="0" t="n">
        <f aca="false">$T$5*(Z464-1)</f>
        <v>0.0104206390073</v>
      </c>
      <c r="AE464" s="0" t="n">
        <f aca="false">2*$T$5*$U$5*Z464*$X$5/(Y464+Y465)</f>
        <v>8.77595659186512E-006</v>
      </c>
      <c r="AF464" s="0" t="n">
        <f aca="false">AB464*AE464</f>
        <v>4.51469901760583E-006</v>
      </c>
      <c r="AG464" s="0" t="n">
        <f aca="false">AG463+AF463</f>
        <v>0.00348906111811051</v>
      </c>
      <c r="AH464" s="0" t="n">
        <f aca="false">AC464*AE464</f>
        <v>-7.52561671112274E-006</v>
      </c>
      <c r="AI464" s="0" t="n">
        <f aca="false">AI463+AH463</f>
        <v>0.00364860265248669</v>
      </c>
      <c r="AJ464" s="6" t="n">
        <f aca="false">Y464/$P$5</f>
        <v>1.876</v>
      </c>
      <c r="AK464" s="0" t="n">
        <f aca="false">SQRT(AG464^2+AI464^2)</f>
        <v>0.0050483510973033</v>
      </c>
      <c r="AL464" s="0" t="n">
        <f aca="false">$W$5*(Y464/$V$5-Z464)</f>
        <v>0.00837001843123325</v>
      </c>
      <c r="AM464" s="0" t="n">
        <f aca="false">SQRT(AK464^2+AL464^2)</f>
        <v>0.00977461289979443</v>
      </c>
      <c r="AN464" s="2" t="n">
        <f aca="false">Y464</f>
        <v>1876</v>
      </c>
      <c r="AO464" s="0" t="n">
        <f aca="false">AM464/Z464</f>
        <v>0.00784843396796207</v>
      </c>
    </row>
    <row r="465" customFormat="false" ht="12.75" hidden="false" customHeight="false" outlineLevel="0" collapsed="false">
      <c r="Y465" s="0" t="n">
        <f aca="false">Y464+$X$5</f>
        <v>1880</v>
      </c>
      <c r="Z465" s="0" t="n">
        <f aca="false">(Y465/$V$5)^$O$5</f>
        <v>1.24557337811708</v>
      </c>
      <c r="AA465" s="0" t="n">
        <f aca="false">$Q$5*(Y465-$V$5)</f>
        <v>11.5610609652104</v>
      </c>
      <c r="AB465" s="0" t="n">
        <f aca="false">COS(AA465)</f>
        <v>0.535826794978997</v>
      </c>
      <c r="AC465" s="0" t="n">
        <f aca="false">SIN(AA465)</f>
        <v>-0.844327925502015</v>
      </c>
      <c r="AD465" s="0" t="n">
        <f aca="false">$T$5*(Z465-1)</f>
        <v>0.0104270634464675</v>
      </c>
      <c r="AE465" s="0" t="n">
        <f aca="false">2*$T$5*$U$5*Z465*$X$5/(Y465+Y466)</f>
        <v>8.75836810529508E-006</v>
      </c>
      <c r="AF465" s="0" t="n">
        <f aca="false">AB465*AE465</f>
        <v>4.69296831110653E-006</v>
      </c>
      <c r="AG465" s="0" t="n">
        <f aca="false">AG464+AF464</f>
        <v>0.00349357581712811</v>
      </c>
      <c r="AH465" s="0" t="n">
        <f aca="false">AC465*AE465</f>
        <v>-7.39493477312681E-006</v>
      </c>
      <c r="AI465" s="0" t="n">
        <f aca="false">AI464+AH464</f>
        <v>0.00364107703577557</v>
      </c>
      <c r="AJ465" s="6" t="n">
        <f aca="false">Y465/$P$5</f>
        <v>1.88</v>
      </c>
      <c r="AK465" s="0" t="n">
        <f aca="false">SQRT(AG465^2+AI465^2)</f>
        <v>0.00504603943409825</v>
      </c>
      <c r="AL465" s="0" t="n">
        <f aca="false">$W$5*(Y465/$V$5-Z465)</f>
        <v>0.00838832405252906</v>
      </c>
      <c r="AM465" s="0" t="n">
        <f aca="false">SQRT(AK465^2+AL465^2)</f>
        <v>0.00978910079530863</v>
      </c>
      <c r="AN465" s="2" t="n">
        <f aca="false">Y465</f>
        <v>1880</v>
      </c>
      <c r="AO465" s="0" t="n">
        <f aca="false">AM465/Z465</f>
        <v>0.00785911209029425</v>
      </c>
    </row>
    <row r="466" customFormat="false" ht="12.75" hidden="false" customHeight="false" outlineLevel="0" collapsed="false">
      <c r="Y466" s="0" t="n">
        <f aca="false">Y465+$X$5</f>
        <v>1884</v>
      </c>
      <c r="Z466" s="0" t="n">
        <f aca="false">(Y466/$V$5)^$O$5</f>
        <v>1.24572438027736</v>
      </c>
      <c r="AA466" s="0" t="n">
        <f aca="false">$Q$5*(Y466-$V$5)</f>
        <v>11.5861937064392</v>
      </c>
      <c r="AB466" s="0" t="n">
        <f aca="false">COS(AA466)</f>
        <v>0.556875616488188</v>
      </c>
      <c r="AC466" s="0" t="n">
        <f aca="false">SIN(AA466)</f>
        <v>-0.830595899195813</v>
      </c>
      <c r="AD466" s="0" t="n">
        <f aca="false">$T$5*(Z466-1)</f>
        <v>0.0104334750091451</v>
      </c>
      <c r="AE466" s="0" t="n">
        <f aca="false">2*$T$5*$U$5*Z466*$X$5/(Y466+Y467)</f>
        <v>8.74085209735581E-006</v>
      </c>
      <c r="AF466" s="0" t="n">
        <f aca="false">AB466*AE466</f>
        <v>4.86756740034709E-006</v>
      </c>
      <c r="AG466" s="0" t="n">
        <f aca="false">AG465+AF465</f>
        <v>0.00349826878543922</v>
      </c>
      <c r="AH466" s="0" t="n">
        <f aca="false">AC466*AE466</f>
        <v>-7.26011590754085E-006</v>
      </c>
      <c r="AI466" s="0" t="n">
        <f aca="false">AI465+AH465</f>
        <v>0.00363368210100244</v>
      </c>
      <c r="AJ466" s="6" t="n">
        <f aca="false">Y466/$P$5</f>
        <v>1.884</v>
      </c>
      <c r="AK466" s="0" t="n">
        <f aca="false">SQRT(AG466^2+AI466^2)</f>
        <v>0.00504395976454253</v>
      </c>
      <c r="AL466" s="0" t="n">
        <f aca="false">$W$5*(Y466/$V$5-Z466)</f>
        <v>0.00840662972942283</v>
      </c>
      <c r="AM466" s="0" t="n">
        <f aca="false">SQRT(AK466^2+AL466^2)</f>
        <v>0.00980372141148144</v>
      </c>
      <c r="AN466" s="2" t="n">
        <f aca="false">Y466</f>
        <v>1884</v>
      </c>
      <c r="AO466" s="0" t="n">
        <f aca="false">AM466/Z466</f>
        <v>0.00786989607548553</v>
      </c>
    </row>
    <row r="467" customFormat="false" ht="12.75" hidden="false" customHeight="false" outlineLevel="0" collapsed="false">
      <c r="Y467" s="0" t="n">
        <f aca="false">Y466+$X$5</f>
        <v>1888</v>
      </c>
      <c r="Z467" s="0" t="n">
        <f aca="false">(Y467/$V$5)^$O$5</f>
        <v>1.24587508042626</v>
      </c>
      <c r="AA467" s="0" t="n">
        <f aca="false">$Q$5*(Y467-$V$5)</f>
        <v>11.6113264476679</v>
      </c>
      <c r="AB467" s="0" t="n">
        <f aca="false">COS(AA467)</f>
        <v>0.577572703422268</v>
      </c>
      <c r="AC467" s="0" t="n">
        <f aca="false">SIN(AA467)</f>
        <v>-0.816339250717184</v>
      </c>
      <c r="AD467" s="0" t="n">
        <f aca="false">$T$5*(Z467-1)</f>
        <v>0.0104398737483977</v>
      </c>
      <c r="AE467" s="0" t="n">
        <f aca="false">2*$T$5*$U$5*Z467*$X$5/(Y467+Y468)</f>
        <v>8.72340811661612E-006</v>
      </c>
      <c r="AF467" s="0" t="n">
        <f aca="false">AB467*AE467</f>
        <v>5.03840240896973E-006</v>
      </c>
      <c r="AG467" s="0" t="n">
        <f aca="false">AG466+AF466</f>
        <v>0.00350313635283957</v>
      </c>
      <c r="AH467" s="0" t="n">
        <f aca="false">AC467*AE467</f>
        <v>-7.12126044561861E-006</v>
      </c>
      <c r="AI467" s="0" t="n">
        <f aca="false">AI466+AH466</f>
        <v>0.0036264219850949</v>
      </c>
      <c r="AJ467" s="6" t="n">
        <f aca="false">Y467/$P$5</f>
        <v>1.888</v>
      </c>
      <c r="AK467" s="0" t="n">
        <f aca="false">SQRT(AG467^2+AI467^2)</f>
        <v>0.0050421127239051</v>
      </c>
      <c r="AL467" s="0" t="n">
        <f aca="false">$W$5*(Y467/$V$5-Z467)</f>
        <v>0.00842493546168543</v>
      </c>
      <c r="AM467" s="0" t="n">
        <f aca="false">SQRT(AK467^2+AL467^2)</f>
        <v>0.0098184743343419</v>
      </c>
      <c r="AN467" s="2" t="n">
        <f aca="false">Y467</f>
        <v>1888</v>
      </c>
      <c r="AO467" s="0" t="n">
        <f aca="false">AM467/Z467</f>
        <v>0.00788078555273989</v>
      </c>
    </row>
    <row r="468" customFormat="false" ht="12.75" hidden="false" customHeight="false" outlineLevel="0" collapsed="false">
      <c r="Y468" s="0" t="n">
        <f aca="false">Y467+$X$5</f>
        <v>1892</v>
      </c>
      <c r="Z468" s="0" t="n">
        <f aca="false">(Y468/$V$5)^$O$5</f>
        <v>1.24602547980575</v>
      </c>
      <c r="AA468" s="0" t="n">
        <f aca="false">$Q$5*(Y468-$V$5)</f>
        <v>11.6364591888966</v>
      </c>
      <c r="AB468" s="0" t="n">
        <f aca="false">COS(AA468)</f>
        <v>0.597904983057519</v>
      </c>
      <c r="AC468" s="0" t="n">
        <f aca="false">SIN(AA468)</f>
        <v>-0.801566984870876</v>
      </c>
      <c r="AD468" s="0" t="n">
        <f aca="false">$T$5*(Z468-1)</f>
        <v>0.0104462597169596</v>
      </c>
      <c r="AE468" s="0" t="n">
        <f aca="false">2*$T$5*$U$5*Z468*$X$5/(Y468+Y469)</f>
        <v>8.70603571540403E-006</v>
      </c>
      <c r="AF468" s="0" t="n">
        <f aca="false">AB468*AE468</f>
        <v>5.20538213691681E-006</v>
      </c>
      <c r="AG468" s="0" t="n">
        <f aca="false">AG467+AF467</f>
        <v>0.00350817475524854</v>
      </c>
      <c r="AH468" s="0" t="n">
        <f aca="false">AC468*AE468</f>
        <v>-6.97847079857457E-006</v>
      </c>
      <c r="AI468" s="0" t="n">
        <f aca="false">AI467+AH467</f>
        <v>0.00361930072464928</v>
      </c>
      <c r="AJ468" s="6" t="n">
        <f aca="false">Y468/$P$5</f>
        <v>1.892</v>
      </c>
      <c r="AK468" s="0" t="n">
        <f aca="false">SQRT(AG468^2+AI468^2)</f>
        <v>0.0050404987698451</v>
      </c>
      <c r="AL468" s="0" t="n">
        <f aca="false">$W$5*(Y468/$V$5-Z468)</f>
        <v>0.00844324124908918</v>
      </c>
      <c r="AM468" s="0" t="n">
        <f aca="false">SQRT(AK468^2+AL468^2)</f>
        <v>0.00983335907201252</v>
      </c>
      <c r="AN468" s="2" t="n">
        <f aca="false">Y468</f>
        <v>1892</v>
      </c>
      <c r="AO468" s="0" t="n">
        <f aca="false">AM468/Z468</f>
        <v>0.0078917800890761</v>
      </c>
    </row>
    <row r="469" customFormat="false" ht="12.75" hidden="false" customHeight="false" outlineLevel="0" collapsed="false">
      <c r="Y469" s="0" t="n">
        <f aca="false">Y468+$X$5</f>
        <v>1896</v>
      </c>
      <c r="Z469" s="0" t="n">
        <f aca="false">(Y469/$V$5)^$O$5</f>
        <v>1.2461755796501</v>
      </c>
      <c r="AA469" s="0" t="n">
        <f aca="false">$Q$5*(Y469-$V$5)</f>
        <v>11.6615919301253</v>
      </c>
      <c r="AB469" s="0" t="n">
        <f aca="false">COS(AA469)</f>
        <v>0.617859613090335</v>
      </c>
      <c r="AC469" s="0" t="n">
        <f aca="false">SIN(AA469)</f>
        <v>-0.786288432136619</v>
      </c>
      <c r="AD469" s="0" t="n">
        <f aca="false">$T$5*(Z469-1)</f>
        <v>0.0104526329672375</v>
      </c>
      <c r="AE469" s="0" t="n">
        <f aca="false">2*$T$5*$U$5*Z469*$X$5/(Y469+Y470)</f>
        <v>8.68873444976756E-006</v>
      </c>
      <c r="AF469" s="0" t="n">
        <f aca="false">AB469*AE469</f>
        <v>5.36841810537805E-006</v>
      </c>
      <c r="AG469" s="0" t="n">
        <f aca="false">AG468+AF468</f>
        <v>0.00351338013738545</v>
      </c>
      <c r="AH469" s="0" t="n">
        <f aca="false">AC469*AE469</f>
        <v>-6.83185138775916E-006</v>
      </c>
      <c r="AI469" s="0" t="n">
        <f aca="false">AI468+AH468</f>
        <v>0.00361232225385071</v>
      </c>
      <c r="AJ469" s="6" t="n">
        <f aca="false">Y469/$P$5</f>
        <v>1.896</v>
      </c>
      <c r="AK469" s="0" t="n">
        <f aca="false">SQRT(AG469^2+AI469^2)</f>
        <v>0.00503911818232513</v>
      </c>
      <c r="AL469" s="0" t="n">
        <f aca="false">$W$5*(Y469/$V$5-Z469)</f>
        <v>0.00846154709140778</v>
      </c>
      <c r="AM469" s="0" t="n">
        <f aca="false">SQRT(AK469^2+AL469^2)</f>
        <v>0.00984837505558918</v>
      </c>
      <c r="AN469" s="2" t="n">
        <f aca="false">Y469</f>
        <v>1896</v>
      </c>
      <c r="AO469" s="0" t="n">
        <f aca="false">AM469/Z469</f>
        <v>0.00790287919006919</v>
      </c>
    </row>
    <row r="470" customFormat="false" ht="12.75" hidden="false" customHeight="false" outlineLevel="0" collapsed="false">
      <c r="Y470" s="0" t="n">
        <f aca="false">Y469+$X$5</f>
        <v>1900</v>
      </c>
      <c r="Z470" s="0" t="n">
        <f aca="false">(Y470/$V$5)^$O$5</f>
        <v>1.2463253811859</v>
      </c>
      <c r="AA470" s="0" t="n">
        <f aca="false">$Q$5*(Y470-$V$5)</f>
        <v>11.686724671354</v>
      </c>
      <c r="AB470" s="0" t="n">
        <f aca="false">COS(AA470)</f>
        <v>0.63742398974869</v>
      </c>
      <c r="AC470" s="0" t="n">
        <f aca="false">SIN(AA470)</f>
        <v>-0.770513242775789</v>
      </c>
      <c r="AD470" s="0" t="n">
        <f aca="false">$T$5*(Z470-1)</f>
        <v>0.0104589935513128</v>
      </c>
      <c r="AE470" s="0" t="n">
        <f aca="false">2*$T$5*$U$5*Z470*$X$5/(Y470+Y471)</f>
        <v>8.67150387943608E-006</v>
      </c>
      <c r="AF470" s="0" t="n">
        <f aca="false">AB470*AE470</f>
        <v>5.52742459995139E-006</v>
      </c>
      <c r="AG470" s="0" t="n">
        <f aca="false">AG469+AF469</f>
        <v>0.00351874855549083</v>
      </c>
      <c r="AH470" s="0" t="n">
        <f aca="false">AC470*AE470</f>
        <v>-6.68150857388712E-006</v>
      </c>
      <c r="AI470" s="0" t="n">
        <f aca="false">AI469+AH469</f>
        <v>0.00360549040246295</v>
      </c>
      <c r="AJ470" s="6" t="n">
        <f aca="false">Y470/$P$5</f>
        <v>1.9</v>
      </c>
      <c r="AK470" s="0" t="n">
        <f aca="false">SQRT(AG470^2+AI470^2)</f>
        <v>0.00503797106373402</v>
      </c>
      <c r="AL470" s="0" t="n">
        <f aca="false">$W$5*(Y470/$V$5-Z470)</f>
        <v>0.00847985298841637</v>
      </c>
      <c r="AM470" s="0" t="n">
        <f aca="false">SQRT(AK470^2+AL470^2)</f>
        <v>0.00986352164007234</v>
      </c>
      <c r="AN470" s="2" t="n">
        <f aca="false">Y470</f>
        <v>1900</v>
      </c>
      <c r="AO470" s="0" t="n">
        <f aca="false">AM470/Z470</f>
        <v>0.00791408230063245</v>
      </c>
    </row>
    <row r="471" customFormat="false" ht="12.75" hidden="false" customHeight="false" outlineLevel="0" collapsed="false">
      <c r="Y471" s="0" t="n">
        <f aca="false">Y470+$X$5</f>
        <v>1904</v>
      </c>
      <c r="Z471" s="0" t="n">
        <f aca="false">(Y471/$V$5)^$O$5</f>
        <v>1.24647488563216</v>
      </c>
      <c r="AA471" s="0" t="n">
        <f aca="false">$Q$5*(Y471-$V$5)</f>
        <v>11.7118574125827</v>
      </c>
      <c r="AB471" s="0" t="n">
        <f aca="false">COS(AA471)</f>
        <v>0.656585755752956</v>
      </c>
      <c r="AC471" s="0" t="n">
        <f aca="false">SIN(AA471)</f>
        <v>-0.754251380736104</v>
      </c>
      <c r="AD471" s="0" t="n">
        <f aca="false">$T$5*(Z471-1)</f>
        <v>0.0104653415209448</v>
      </c>
      <c r="AE471" s="0" t="n">
        <f aca="false">2*$T$5*$U$5*Z471*$X$5/(Y471+Y472)</f>
        <v>8.6543435677821E-006</v>
      </c>
      <c r="AF471" s="0" t="n">
        <f aca="false">AB471*AE471</f>
        <v>5.68231871199794E-006</v>
      </c>
      <c r="AG471" s="0" t="n">
        <f aca="false">AG470+AF470</f>
        <v>0.00352427598009078</v>
      </c>
      <c r="AH471" s="0" t="n">
        <f aca="false">AC471*AE471</f>
        <v>-6.52755058536427E-006</v>
      </c>
      <c r="AI471" s="0" t="n">
        <f aca="false">AI470+AH470</f>
        <v>0.00359880889388906</v>
      </c>
      <c r="AJ471" s="6" t="n">
        <f aca="false">Y471/$P$5</f>
        <v>1.904</v>
      </c>
      <c r="AK471" s="0" t="n">
        <f aca="false">SQRT(AG471^2+AI471^2)</f>
        <v>0.00503705733921899</v>
      </c>
      <c r="AL471" s="0" t="n">
        <f aca="false">$W$5*(Y471/$V$5-Z471)</f>
        <v>0.00849815893989145</v>
      </c>
      <c r="AM471" s="0" t="n">
        <f aca="false">SQRT(AK471^2+AL471^2)</f>
        <v>0.00987879810534849</v>
      </c>
      <c r="AN471" s="2" t="n">
        <f aca="false">Y471</f>
        <v>1904</v>
      </c>
      <c r="AO471" s="0" t="n">
        <f aca="false">AM471/Z471</f>
        <v>0.00792538880583891</v>
      </c>
    </row>
    <row r="472" customFormat="false" ht="12.75" hidden="false" customHeight="false" outlineLevel="0" collapsed="false">
      <c r="Y472" s="0" t="n">
        <f aca="false">Y471+$X$5</f>
        <v>1908</v>
      </c>
      <c r="Z472" s="0" t="n">
        <f aca="false">(Y472/$V$5)^$O$5</f>
        <v>1.24662409420037</v>
      </c>
      <c r="AA472" s="0" t="n">
        <f aca="false">$Q$5*(Y472-$V$5)</f>
        <v>11.7369901538115</v>
      </c>
      <c r="AB472" s="0" t="n">
        <f aca="false">COS(AA472)</f>
        <v>0.675332808121024</v>
      </c>
      <c r="AC472" s="0" t="n">
        <f aca="false">SIN(AA472)</f>
        <v>-0.737513117358174</v>
      </c>
      <c r="AD472" s="0" t="n">
        <f aca="false">$T$5*(Z472-1)</f>
        <v>0.0104716769275729</v>
      </c>
      <c r="AE472" s="0" t="n">
        <f aca="false">2*$T$5*$U$5*Z472*$X$5/(Y472+Y473)</f>
        <v>8.63725308178361E-006</v>
      </c>
      <c r="AF472" s="0" t="n">
        <f aca="false">AB472*AE472</f>
        <v>5.83302037817289E-006</v>
      </c>
      <c r="AG472" s="0" t="n">
        <f aca="false">AG471+AF471</f>
        <v>0.00352995829880278</v>
      </c>
      <c r="AH472" s="0" t="n">
        <f aca="false">AC472*AE472</f>
        <v>-6.37008744575773E-006</v>
      </c>
      <c r="AI472" s="0" t="n">
        <f aca="false">AI471+AH471</f>
        <v>0.0035922813433037</v>
      </c>
      <c r="AJ472" s="6" t="n">
        <f aca="false">Y472/$P$5</f>
        <v>1.908</v>
      </c>
      <c r="AK472" s="0" t="n">
        <f aca="false">SQRT(AG472^2+AI472^2)</f>
        <v>0.00503637675722681</v>
      </c>
      <c r="AL472" s="0" t="n">
        <f aca="false">$W$5*(Y472/$V$5-Z472)</f>
        <v>0.00851646494561092</v>
      </c>
      <c r="AM472" s="0" t="n">
        <f aca="false">SQRT(AK472^2+AL472^2)</f>
        <v>0.00989420365722043</v>
      </c>
      <c r="AN472" s="2" t="n">
        <f aca="false">Y472</f>
        <v>1908</v>
      </c>
      <c r="AO472" s="0" t="n">
        <f aca="false">AM472/Z472</f>
        <v>0.00793679803178115</v>
      </c>
    </row>
    <row r="473" customFormat="false" ht="12.75" hidden="false" customHeight="false" outlineLevel="0" collapsed="false">
      <c r="Y473" s="0" t="n">
        <f aca="false">Y472+$X$5</f>
        <v>1912</v>
      </c>
      <c r="Z473" s="0" t="n">
        <f aca="false">(Y473/$V$5)^$O$5</f>
        <v>1.24677300809452</v>
      </c>
      <c r="AA473" s="0" t="n">
        <f aca="false">$Q$5*(Y473-$V$5)</f>
        <v>11.7621228950402</v>
      </c>
      <c r="AB473" s="0" t="n">
        <f aca="false">COS(AA473)</f>
        <v>0.693653305812805</v>
      </c>
      <c r="AC473" s="0" t="n">
        <f aca="false">SIN(AA473)</f>
        <v>-0.720309024887907</v>
      </c>
      <c r="AD473" s="0" t="n">
        <f aca="false">$T$5*(Z473-1)</f>
        <v>0.0104779998223195</v>
      </c>
      <c r="AE473" s="0" t="n">
        <f aca="false">2*$T$5*$U$5*Z473*$X$5/(Y473+Y474)</f>
        <v>8.62023199198677E-006</v>
      </c>
      <c r="AF473" s="0" t="n">
        <f aca="false">AB473*AE473</f>
        <v>5.97945241811493E-006</v>
      </c>
      <c r="AG473" s="0" t="n">
        <f aca="false">AG472+AF472</f>
        <v>0.00353579131918095</v>
      </c>
      <c r="AH473" s="0" t="n">
        <f aca="false">AC473*AE473</f>
        <v>-6.20923090045553E-006</v>
      </c>
      <c r="AI473" s="0" t="n">
        <f aca="false">AI472+AH472</f>
        <v>0.00358591125585794</v>
      </c>
      <c r="AJ473" s="6" t="n">
        <f aca="false">Y473/$P$5</f>
        <v>1.912</v>
      </c>
      <c r="AK473" s="0" t="n">
        <f aca="false">SQRT(AG473^2+AI473^2)</f>
        <v>0.00503592889025293</v>
      </c>
      <c r="AL473" s="0" t="n">
        <f aca="false">$W$5*(Y473/$V$5-Z473)</f>
        <v>0.00853477100535405</v>
      </c>
      <c r="AM473" s="0" t="n">
        <f aca="false">SQRT(AK473^2+AL473^2)</f>
        <v>0.00990973742848499</v>
      </c>
      <c r="AN473" s="2" t="n">
        <f aca="false">Y473</f>
        <v>1912</v>
      </c>
      <c r="AO473" s="0" t="n">
        <f aca="false">AM473/Z473</f>
        <v>0.00794830924646848</v>
      </c>
    </row>
    <row r="474" customFormat="false" ht="12.75" hidden="false" customHeight="false" outlineLevel="0" collapsed="false">
      <c r="Y474" s="0" t="n">
        <f aca="false">Y473+$X$5</f>
        <v>1916</v>
      </c>
      <c r="Z474" s="0" t="n">
        <f aca="false">(Y474/$V$5)^$O$5</f>
        <v>1.24692162851123</v>
      </c>
      <c r="AA474" s="0" t="n">
        <f aca="false">$Q$5*(Y474-$V$5)</f>
        <v>11.7872556362689</v>
      </c>
      <c r="AB474" s="0" t="n">
        <f aca="false">COS(AA474)</f>
        <v>0.711535677209285</v>
      </c>
      <c r="AC474" s="0" t="n">
        <f aca="false">SIN(AA474)</f>
        <v>-0.702649969798849</v>
      </c>
      <c r="AD474" s="0" t="n">
        <f aca="false">$T$5*(Z474-1)</f>
        <v>0.0104843102559926</v>
      </c>
      <c r="AE474" s="0" t="n">
        <f aca="false">2*$T$5*$U$5*Z474*$X$5/(Y474+Y475)</f>
        <v>8.60327987246919E-006</v>
      </c>
      <c r="AF474" s="0" t="n">
        <f aca="false">AB474*AE474</f>
        <v>6.12154057027838E-006</v>
      </c>
      <c r="AG474" s="0" t="n">
        <f aca="false">AG473+AF473</f>
        <v>0.00354177077159907</v>
      </c>
      <c r="AH474" s="0" t="n">
        <f aca="false">AC474*AE474</f>
        <v>-6.04509434256152E-006</v>
      </c>
      <c r="AI474" s="0" t="n">
        <f aca="false">AI473+AH473</f>
        <v>0.00357970202495748</v>
      </c>
      <c r="AJ474" s="6" t="n">
        <f aca="false">Y474/$P$5</f>
        <v>1.916</v>
      </c>
      <c r="AK474" s="0" t="n">
        <f aca="false">SQRT(AG474^2+AI474^2)</f>
        <v>0.00503571313579697</v>
      </c>
      <c r="AL474" s="0" t="n">
        <f aca="false">$W$5*(Y474/$V$5-Z474)</f>
        <v>0.00855307711890146</v>
      </c>
      <c r="AM474" s="0" t="n">
        <f aca="false">SQRT(AK474^2+AL474^2)</f>
        <v>0.0099253984800568</v>
      </c>
      <c r="AN474" s="2" t="n">
        <f aca="false">Y474</f>
        <v>1916</v>
      </c>
      <c r="AO474" s="0" t="n">
        <f aca="false">AM474/Z474</f>
        <v>0.0079599216607601</v>
      </c>
    </row>
    <row r="475" customFormat="false" ht="12.75" hidden="false" customHeight="false" outlineLevel="0" collapsed="false">
      <c r="Y475" s="0" t="n">
        <f aca="false">Y474+$X$5</f>
        <v>1920</v>
      </c>
      <c r="Z475" s="0" t="n">
        <f aca="false">(Y475/$V$5)^$O$5</f>
        <v>1.24706995663976</v>
      </c>
      <c r="AA475" s="0" t="n">
        <f aca="false">$Q$5*(Y475-$V$5)</f>
        <v>11.8123883774976</v>
      </c>
      <c r="AB475" s="0" t="n">
        <f aca="false">COS(AA475)</f>
        <v>0.728968627421412</v>
      </c>
      <c r="AC475" s="0" t="n">
        <f aca="false">SIN(AA475)</f>
        <v>-0.684547105928689</v>
      </c>
      <c r="AD475" s="0" t="n">
        <f aca="false">$T$5*(Z475-1)</f>
        <v>0.0104906082790883</v>
      </c>
      <c r="AE475" s="0" t="n">
        <f aca="false">2*$T$5*$U$5*Z475*$X$5/(Y475+Y476)</f>
        <v>8.58639630080354E-006</v>
      </c>
      <c r="AF475" s="0" t="n">
        <f aca="false">AB475*AE475</f>
        <v>6.25921352589304E-006</v>
      </c>
      <c r="AG475" s="0" t="n">
        <f aca="false">AG474+AF474</f>
        <v>0.00354789231216935</v>
      </c>
      <c r="AH475" s="0" t="n">
        <f aca="false">AC475*AE475</f>
        <v>-5.87779273807186E-006</v>
      </c>
      <c r="AI475" s="0" t="n">
        <f aca="false">AI474+AH474</f>
        <v>0.00357365693061492</v>
      </c>
      <c r="AJ475" s="6" t="n">
        <f aca="false">Y475/$P$5</f>
        <v>1.92</v>
      </c>
      <c r="AK475" s="0" t="n">
        <f aca="false">SQRT(AG475^2+AI475^2)</f>
        <v>0.00503572871752266</v>
      </c>
      <c r="AL475" s="0" t="n">
        <f aca="false">$W$5*(Y475/$V$5-Z475)</f>
        <v>0.00857138328603511</v>
      </c>
      <c r="AM475" s="0" t="n">
        <f aca="false">SQRT(AK475^2+AL475^2)</f>
        <v>0.00994118580213671</v>
      </c>
      <c r="AN475" s="2" t="n">
        <f aca="false">Y475</f>
        <v>1920</v>
      </c>
      <c r="AO475" s="0" t="n">
        <f aca="false">AM475/Z475</f>
        <v>0.00797163442933331</v>
      </c>
    </row>
    <row r="476" customFormat="false" ht="12.75" hidden="false" customHeight="false" outlineLevel="0" collapsed="false">
      <c r="Y476" s="0" t="n">
        <f aca="false">Y475+$X$5</f>
        <v>1924</v>
      </c>
      <c r="Z476" s="0" t="n">
        <f aca="false">(Y476/$V$5)^$O$5</f>
        <v>1.24721799366209</v>
      </c>
      <c r="AA476" s="0" t="n">
        <f aca="false">$Q$5*(Y476-$V$5)</f>
        <v>11.8375211187263</v>
      </c>
      <c r="AB476" s="0" t="n">
        <f aca="false">COS(AA476)</f>
        <v>0.745941145424182</v>
      </c>
      <c r="AC476" s="0" t="n">
        <f aca="false">SIN(AA476)</f>
        <v>-0.666011867434251</v>
      </c>
      <c r="AD476" s="0" t="n">
        <f aca="false">$T$5*(Z476-1)</f>
        <v>0.0104968939417935</v>
      </c>
      <c r="AE476" s="0" t="n">
        <f aca="false">2*$T$5*$U$5*Z476*$X$5/(Y476+Y477)</f>
        <v>8.5695808580217E-006</v>
      </c>
      <c r="AF476" s="0" t="n">
        <f aca="false">AB476*AE476</f>
        <v>6.39240296103786E-006</v>
      </c>
      <c r="AG476" s="0" t="n">
        <f aca="false">AG475+AF475</f>
        <v>0.00355415152569524</v>
      </c>
      <c r="AH476" s="0" t="n">
        <f aca="false">AC476*AE476</f>
        <v>-5.70744255037984E-006</v>
      </c>
      <c r="AI476" s="0" t="n">
        <f aca="false">AI475+AH475</f>
        <v>0.00356777913787685</v>
      </c>
      <c r="AJ476" s="6" t="n">
        <f aca="false">Y476/$P$5</f>
        <v>1.924</v>
      </c>
      <c r="AK476" s="0" t="n">
        <f aca="false">SQRT(AG476^2+AI476^2)</f>
        <v>0.00503597468661937</v>
      </c>
      <c r="AL476" s="0" t="n">
        <f aca="false">$W$5*(Y476/$V$5-Z476)</f>
        <v>0.00858968950653832</v>
      </c>
      <c r="AM476" s="0" t="n">
        <f aca="false">SQRT(AK476^2+AL476^2)</f>
        <v>0.0099570983154233</v>
      </c>
      <c r="AN476" s="2" t="n">
        <f aca="false">Y476</f>
        <v>1924</v>
      </c>
      <c r="AO476" s="0" t="n">
        <f aca="false">AM476/Z476</f>
        <v>0.00798344665168535</v>
      </c>
    </row>
    <row r="477" customFormat="false" ht="12.75" hidden="false" customHeight="false" outlineLevel="0" collapsed="false">
      <c r="Y477" s="0" t="n">
        <f aca="false">Y476+$X$5</f>
        <v>1928</v>
      </c>
      <c r="Z477" s="0" t="n">
        <f aca="false">(Y477/$V$5)^$O$5</f>
        <v>1.24736574075296</v>
      </c>
      <c r="AA477" s="0" t="n">
        <f aca="false">$Q$5*(Y477-$V$5)</f>
        <v>11.8626538599551</v>
      </c>
      <c r="AB477" s="0" t="n">
        <f aca="false">COS(AA477)</f>
        <v>0.762442511011448</v>
      </c>
      <c r="AC477" s="0" t="n">
        <f aca="false">SIN(AA477)</f>
        <v>-0.647055961569444</v>
      </c>
      <c r="AD477" s="0" t="n">
        <f aca="false">$T$5*(Z477-1)</f>
        <v>0.0105031672939881</v>
      </c>
      <c r="AE477" s="0" t="n">
        <f aca="false">2*$T$5*$U$5*Z477*$X$5/(Y477+Y478)</f>
        <v>8.55283312857935E-006</v>
      </c>
      <c r="AF477" s="0" t="n">
        <f aca="false">AB477*AE477</f>
        <v>6.52104356681594E-006</v>
      </c>
      <c r="AG477" s="0" t="n">
        <f aca="false">AG476+AF476</f>
        <v>0.00356054392865628</v>
      </c>
      <c r="AH477" s="0" t="n">
        <f aca="false">AC477*AE477</f>
        <v>-5.5341616641559E-006</v>
      </c>
      <c r="AI477" s="0" t="n">
        <f aca="false">AI476+AH476</f>
        <v>0.00356207169532647</v>
      </c>
      <c r="AJ477" s="6" t="n">
        <f aca="false">Y477/$P$5</f>
        <v>1.928</v>
      </c>
      <c r="AK477" s="0" t="n">
        <f aca="false">SQRT(AG477^2+AI477^2)</f>
        <v>0.0050364499233624</v>
      </c>
      <c r="AL477" s="0" t="n">
        <f aca="false">$W$5*(Y477/$V$5-Z477)</f>
        <v>0.0086079957801957</v>
      </c>
      <c r="AM477" s="0" t="n">
        <f aca="false">SQRT(AK477^2+AL477^2)</f>
        <v>0.00997313487236607</v>
      </c>
      <c r="AN477" s="2" t="n">
        <f aca="false">Y477</f>
        <v>1928</v>
      </c>
      <c r="AO477" s="0" t="n">
        <f aca="false">AM477/Z477</f>
        <v>0.00799535737316779</v>
      </c>
    </row>
    <row r="478" customFormat="false" ht="12.75" hidden="false" customHeight="false" outlineLevel="0" collapsed="false">
      <c r="Y478" s="0" t="n">
        <f aca="false">Y477+$X$5</f>
        <v>1932</v>
      </c>
      <c r="Z478" s="0" t="n">
        <f aca="false">(Y478/$V$5)^$O$5</f>
        <v>1.24751319907996</v>
      </c>
      <c r="AA478" s="0" t="n">
        <f aca="false">$Q$5*(Y478-$V$5)</f>
        <v>11.8877866011838</v>
      </c>
      <c r="AB478" s="0" t="n">
        <f aca="false">COS(AA478)</f>
        <v>0.778462301567024</v>
      </c>
      <c r="AC478" s="0" t="n">
        <f aca="false">SIN(AA478)</f>
        <v>-0.6276913612907</v>
      </c>
      <c r="AD478" s="0" t="n">
        <f aca="false">$T$5*(Z478-1)</f>
        <v>0.010509428385248</v>
      </c>
      <c r="AE478" s="0" t="n">
        <f aca="false">2*$T$5*$U$5*Z478*$X$5/(Y478+Y479)</f>
        <v>8.53615270032092E-006</v>
      </c>
      <c r="AF478" s="0" t="n">
        <f aca="false">AB478*AE478</f>
        <v>6.64507307761939E-006</v>
      </c>
      <c r="AG478" s="0" t="n">
        <f aca="false">AG477+AF477</f>
        <v>0.00356706497222309</v>
      </c>
      <c r="AH478" s="0" t="n">
        <f aca="false">AC478*AE478</f>
        <v>-5.35806930864972E-006</v>
      </c>
      <c r="AI478" s="0" t="n">
        <f aca="false">AI477+AH477</f>
        <v>0.00355653753366232</v>
      </c>
      <c r="AJ478" s="6" t="n">
        <f aca="false">Y478/$P$5</f>
        <v>1.932</v>
      </c>
      <c r="AK478" s="0" t="n">
        <f aca="false">SQRT(AG478^2+AI478^2)</f>
        <v>0.0050371531388682</v>
      </c>
      <c r="AL478" s="0" t="n">
        <f aca="false">$W$5*(Y478/$V$5-Z478)</f>
        <v>0.00862630210679321</v>
      </c>
      <c r="AM478" s="0" t="n">
        <f aca="false">SQRT(AK478^2+AL478^2)</f>
        <v>0.00998929425845864</v>
      </c>
      <c r="AN478" s="2" t="n">
        <f aca="false">Y478</f>
        <v>1932</v>
      </c>
      <c r="AO478" s="0" t="n">
        <f aca="false">AM478/Z478</f>
        <v>0.00800736558605208</v>
      </c>
    </row>
    <row r="479" customFormat="false" ht="12.75" hidden="false" customHeight="false" outlineLevel="0" collapsed="false">
      <c r="Y479" s="0" t="n">
        <f aca="false">Y478+$X$5</f>
        <v>1936</v>
      </c>
      <c r="Z479" s="0" t="n">
        <f aca="false">(Y479/$V$5)^$O$5</f>
        <v>1.24766036980358</v>
      </c>
      <c r="AA479" s="0" t="n">
        <f aca="false">$Q$5*(Y479-$V$5)</f>
        <v>11.9129193424125</v>
      </c>
      <c r="AB479" s="0" t="n">
        <f aca="false">COS(AA479)</f>
        <v>0.793990398647836</v>
      </c>
      <c r="AC479" s="0" t="n">
        <f aca="false">SIN(AA479)</f>
        <v>-0.607930297694605</v>
      </c>
      <c r="AD479" s="0" t="n">
        <f aca="false">$T$5*(Z479-1)</f>
        <v>0.0105156772648473</v>
      </c>
      <c r="AE479" s="0" t="n">
        <f aca="false">2*$T$5*$U$5*Z479*$X$5/(Y479+Y480)</f>
        <v>8.51953916444504E-006</v>
      </c>
      <c r="AF479" s="0" t="n">
        <f aca="false">AB479*AE479</f>
        <v>6.76443229747357E-006</v>
      </c>
      <c r="AG479" s="0" t="n">
        <f aca="false">AG478+AF478</f>
        <v>0.00357371004530071</v>
      </c>
      <c r="AH479" s="0" t="n">
        <f aca="false">AC479*AE479</f>
        <v>-5.17928598046191E-006</v>
      </c>
      <c r="AI479" s="0" t="n">
        <f aca="false">AI478+AH478</f>
        <v>0.00355117946435367</v>
      </c>
      <c r="AJ479" s="6" t="n">
        <f aca="false">Y479/$P$5</f>
        <v>1.936</v>
      </c>
      <c r="AK479" s="0" t="n">
        <f aca="false">SQRT(AG479^2+AI479^2)</f>
        <v>0.00503808287704067</v>
      </c>
      <c r="AL479" s="0" t="n">
        <f aca="false">$W$5*(Y479/$V$5-Z479)</f>
        <v>0.00864460848611807</v>
      </c>
      <c r="AM479" s="0" t="n">
        <f aca="false">SQRT(AK479^2+AL479^2)</f>
        <v>0.0100055751935706</v>
      </c>
      <c r="AN479" s="2" t="n">
        <f aca="false">Y479</f>
        <v>1936</v>
      </c>
      <c r="AO479" s="0" t="n">
        <f aca="false">AM479/Z479</f>
        <v>0.00801947023062514</v>
      </c>
    </row>
    <row r="480" customFormat="false" ht="12.75" hidden="false" customHeight="false" outlineLevel="0" collapsed="false">
      <c r="Y480" s="0" t="n">
        <f aca="false">Y479+$X$5</f>
        <v>1940</v>
      </c>
      <c r="Z480" s="0" t="n">
        <f aca="false">(Y480/$V$5)^$O$5</f>
        <v>1.24780725407724</v>
      </c>
      <c r="AA480" s="0" t="n">
        <f aca="false">$Q$5*(Y480-$V$5)</f>
        <v>11.9380520836412</v>
      </c>
      <c r="AB480" s="0" t="n">
        <f aca="false">COS(AA480)</f>
        <v>0.809016994374947</v>
      </c>
      <c r="AC480" s="0" t="n">
        <f aca="false">SIN(AA480)</f>
        <v>-0.587785252292474</v>
      </c>
      <c r="AD480" s="0" t="n">
        <f aca="false">$T$5*(Z480-1)</f>
        <v>0.0105219139817605</v>
      </c>
      <c r="AE480" s="0" t="n">
        <f aca="false">2*$T$5*$U$5*Z480*$X$5/(Y480+Y481)</f>
        <v>8.50299211547038E-006</v>
      </c>
      <c r="AF480" s="0" t="n">
        <f aca="false">AB480*AE480</f>
        <v>6.87906512445172E-006</v>
      </c>
      <c r="AG480" s="0" t="n">
        <f aca="false">AG479+AF479</f>
        <v>0.00358047447759819</v>
      </c>
      <c r="AH480" s="0" t="n">
        <f aca="false">AC480*AE480</f>
        <v>-4.99793336583267E-006</v>
      </c>
      <c r="AI480" s="0" t="n">
        <f aca="false">AI479+AH479</f>
        <v>0.0035460001783732</v>
      </c>
      <c r="AJ480" s="6" t="n">
        <f aca="false">Y480/$P$5</f>
        <v>1.94</v>
      </c>
      <c r="AK480" s="0" t="n">
        <f aca="false">SQRT(AG480^2+AI480^2)</f>
        <v>0.00503923751670377</v>
      </c>
      <c r="AL480" s="0" t="n">
        <f aca="false">$W$5*(Y480/$V$5-Z480)</f>
        <v>0.00866291491795885</v>
      </c>
      <c r="AM480" s="0" t="n">
        <f aca="false">SQRT(AK480^2+AL480^2)</f>
        <v>0.0100219763333161</v>
      </c>
      <c r="AN480" s="2" t="n">
        <f aca="false">Y480</f>
        <v>1940</v>
      </c>
      <c r="AO480" s="0" t="n">
        <f aca="false">AM480/Z480</f>
        <v>0.00803167019631363</v>
      </c>
    </row>
    <row r="481" customFormat="false" ht="12.75" hidden="false" customHeight="false" outlineLevel="0" collapsed="false">
      <c r="Y481" s="0" t="n">
        <f aca="false">Y480+$X$5</f>
        <v>1944</v>
      </c>
      <c r="Z481" s="0" t="n">
        <f aca="false">(Y481/$V$5)^$O$5</f>
        <v>1.24795385304738</v>
      </c>
      <c r="AA481" s="0" t="n">
        <f aca="false">$Q$5*(Y481-$V$5)</f>
        <v>11.9631848248699</v>
      </c>
      <c r="AB481" s="0" t="n">
        <f aca="false">COS(AA481)</f>
        <v>0.823532597628427</v>
      </c>
      <c r="AC481" s="0" t="n">
        <f aca="false">SIN(AA481)</f>
        <v>-0.567268949126757</v>
      </c>
      <c r="AD481" s="0" t="n">
        <f aca="false">$T$5*(Z481-1)</f>
        <v>0.0105281385846656</v>
      </c>
      <c r="AE481" s="0" t="n">
        <f aca="false">2*$T$5*$U$5*Z481*$X$5/(Y481+Y482)</f>
        <v>8.48651115120196E-006</v>
      </c>
      <c r="AF481" s="0" t="n">
        <f aca="false">AB481*AE481</f>
        <v>6.98891857315196E-006</v>
      </c>
      <c r="AG481" s="0" t="n">
        <f aca="false">AG480+AF480</f>
        <v>0.00358735354272264</v>
      </c>
      <c r="AH481" s="0" t="n">
        <f aca="false">AC481*AE481</f>
        <v>-4.81413426249484E-006</v>
      </c>
      <c r="AI481" s="0" t="n">
        <f aca="false">AI480+AH480</f>
        <v>0.00354100224500737</v>
      </c>
      <c r="AJ481" s="6" t="n">
        <f aca="false">Y481/$P$5</f>
        <v>1.944</v>
      </c>
      <c r="AK481" s="0" t="n">
        <f aca="false">SQRT(AG481^2+AI481^2)</f>
        <v>0.00504061527391567</v>
      </c>
      <c r="AL481" s="0" t="n">
        <f aca="false">$W$5*(Y481/$V$5-Z481)</f>
        <v>0.00868122140210535</v>
      </c>
      <c r="AM481" s="0" t="n">
        <f aca="false">SQRT(AK481^2+AL481^2)</f>
        <v>0.0100384962704582</v>
      </c>
      <c r="AN481" s="2" t="n">
        <f aca="false">Y481</f>
        <v>1944</v>
      </c>
      <c r="AO481" s="0" t="n">
        <f aca="false">AM481/Z481</f>
        <v>0.00804396432283549</v>
      </c>
    </row>
    <row r="482" customFormat="false" ht="12.75" hidden="false" customHeight="false" outlineLevel="0" collapsed="false">
      <c r="Y482" s="0" t="n">
        <f aca="false">Y481+$X$5</f>
        <v>1948</v>
      </c>
      <c r="Z482" s="0" t="n">
        <f aca="false">(Y482/$V$5)^$O$5</f>
        <v>1.2481001678535</v>
      </c>
      <c r="AA482" s="0" t="n">
        <f aca="false">$Q$5*(Y482-$V$5)</f>
        <v>11.9883175660987</v>
      </c>
      <c r="AB482" s="0" t="n">
        <f aca="false">COS(AA482)</f>
        <v>0.837528040042142</v>
      </c>
      <c r="AC482" s="0" t="n">
        <f aca="false">SIN(AA482)</f>
        <v>-0.546394346734269</v>
      </c>
      <c r="AD482" s="0" t="n">
        <f aca="false">$T$5*(Z482-1)</f>
        <v>0.0105343511219458</v>
      </c>
      <c r="AE482" s="0" t="n">
        <f aca="false">2*$T$5*$U$5*Z482*$X$5/(Y482+Y483)</f>
        <v>8.47009587269775E-006</v>
      </c>
      <c r="AF482" s="0" t="n">
        <f aca="false">AB482*AE482</f>
        <v>7.09394279522958E-006</v>
      </c>
      <c r="AG482" s="0" t="n">
        <f aca="false">AG481+AF481</f>
        <v>0.00359434246129579</v>
      </c>
      <c r="AH482" s="0" t="n">
        <f aca="false">AC482*AE482</f>
        <v>-4.62801250113932E-006</v>
      </c>
      <c r="AI482" s="0" t="n">
        <f aca="false">AI481+AH481</f>
        <v>0.00353618811074488</v>
      </c>
      <c r="AJ482" s="6" t="n">
        <f aca="false">Y482/$P$5</f>
        <v>1.948</v>
      </c>
      <c r="AK482" s="0" t="n">
        <f aca="false">SQRT(AG482^2+AI482^2)</f>
        <v>0.00504221420445892</v>
      </c>
      <c r="AL482" s="0" t="n">
        <f aca="false">$W$5*(Y482/$V$5-Z482)</f>
        <v>0.00869952793834866</v>
      </c>
      <c r="AM482" s="0" t="n">
        <f aca="false">SQRT(AK482^2+AL482^2)</f>
        <v>0.0100551335363463</v>
      </c>
      <c r="AN482" s="2" t="n">
        <f aca="false">Y482</f>
        <v>1948</v>
      </c>
      <c r="AO482" s="0" t="n">
        <f aca="false">AM482/Z482</f>
        <v>0.00805635140137769</v>
      </c>
    </row>
    <row r="483" customFormat="false" ht="12.75" hidden="false" customHeight="false" outlineLevel="0" collapsed="false">
      <c r="Y483" s="0" t="n">
        <f aca="false">Y482+$X$5</f>
        <v>1952</v>
      </c>
      <c r="Z483" s="0" t="n">
        <f aca="false">(Y483/$V$5)^$O$5</f>
        <v>1.24824619962823</v>
      </c>
      <c r="AA483" s="0" t="n">
        <f aca="false">$Q$5*(Y483-$V$5)</f>
        <v>12.0134503073274</v>
      </c>
      <c r="AB483" s="0" t="n">
        <f aca="false">COS(AA483)</f>
        <v>0.850994481794692</v>
      </c>
      <c r="AC483" s="0" t="n">
        <f aca="false">SIN(AA483)</f>
        <v>-0.525174629961296</v>
      </c>
      <c r="AD483" s="0" t="n">
        <f aca="false">$T$5*(Z483-1)</f>
        <v>0.0105405516416924</v>
      </c>
      <c r="AE483" s="0" t="n">
        <f aca="false">2*$T$5*$U$5*Z483*$X$5/(Y483+Y484)</f>
        <v>8.45374588423582E-006</v>
      </c>
      <c r="AF483" s="0" t="n">
        <f aca="false">AB483*AE483</f>
        <v>7.19409109797927E-006</v>
      </c>
      <c r="AG483" s="0" t="n">
        <f aca="false">AG482+AF482</f>
        <v>0.00360143640409102</v>
      </c>
      <c r="AH483" s="0" t="n">
        <f aca="false">AC483*AE483</f>
        <v>-4.43969286654037E-006</v>
      </c>
      <c r="AI483" s="0" t="n">
        <f aca="false">AI482+AH482</f>
        <v>0.00353156009824374</v>
      </c>
      <c r="AJ483" s="6" t="n">
        <f aca="false">Y483/$P$5</f>
        <v>1.952</v>
      </c>
      <c r="AK483" s="0" t="n">
        <f aca="false">SQRT(AG483^2+AI483^2)</f>
        <v>0.005044032206501</v>
      </c>
      <c r="AL483" s="0" t="n">
        <f aca="false">$W$5*(Y483/$V$5-Z483)</f>
        <v>0.00871783452648114</v>
      </c>
      <c r="AM483" s="0" t="n">
        <f aca="false">SQRT(AK483^2+AL483^2)</f>
        <v>0.0100718866023862</v>
      </c>
      <c r="AN483" s="2" t="n">
        <f aca="false">Y483</f>
        <v>1952</v>
      </c>
      <c r="AO483" s="0" t="n">
        <f aca="false">AM483/Z483</f>
        <v>0.00806883017579859</v>
      </c>
    </row>
    <row r="484" customFormat="false" ht="12.75" hidden="false" customHeight="false" outlineLevel="0" collapsed="false">
      <c r="Y484" s="0" t="n">
        <f aca="false">Y483+$X$5</f>
        <v>1956</v>
      </c>
      <c r="Z484" s="0" t="n">
        <f aca="false">(Y484/$V$5)^$O$5</f>
        <v>1.24839194949736</v>
      </c>
      <c r="AA484" s="0" t="n">
        <f aca="false">$Q$5*(Y484-$V$5)</f>
        <v>12.0385830485561</v>
      </c>
      <c r="AB484" s="0" t="n">
        <f aca="false">COS(AA484)</f>
        <v>0.863923417192836</v>
      </c>
      <c r="AC484" s="0" t="n">
        <f aca="false">SIN(AA484)</f>
        <v>-0.503623201635761</v>
      </c>
      <c r="AD484" s="0" t="n">
        <f aca="false">$T$5*(Z484-1)</f>
        <v>0.0105467401917069</v>
      </c>
      <c r="AE484" s="0" t="n">
        <f aca="false">2*$T$5*$U$5*Z484*$X$5/(Y484+Y485)</f>
        <v>8.43746079328181E-006</v>
      </c>
      <c r="AF484" s="0" t="n">
        <f aca="false">AB484*AE484</f>
        <v>7.2893199609626E-006</v>
      </c>
      <c r="AG484" s="0" t="n">
        <f aca="false">AG483+AF483</f>
        <v>0.003608630495189</v>
      </c>
      <c r="AH484" s="0" t="n">
        <f aca="false">AC484*AE484</f>
        <v>-4.24930101838879E-006</v>
      </c>
      <c r="AI484" s="0" t="n">
        <f aca="false">AI483+AH483</f>
        <v>0.0035271204053772</v>
      </c>
      <c r="AJ484" s="6" t="n">
        <f aca="false">Y484/$P$5</f>
        <v>1.956</v>
      </c>
      <c r="AK484" s="0" t="n">
        <f aca="false">SQRT(AG484^2+AI484^2)</f>
        <v>0.00504606702341895</v>
      </c>
      <c r="AL484" s="0" t="n">
        <f aca="false">$W$5*(Y484/$V$5-Z484)</f>
        <v>0.00873614116629639</v>
      </c>
      <c r="AM484" s="0" t="n">
        <f aca="false">SQRT(AK484^2+AL484^2)</f>
        <v>0.0100887538815403</v>
      </c>
      <c r="AN484" s="2" t="n">
        <f aca="false">Y484</f>
        <v>1956</v>
      </c>
      <c r="AO484" s="0" t="n">
        <f aca="false">AM484/Z484</f>
        <v>0.00808139934385381</v>
      </c>
    </row>
    <row r="485" customFormat="false" ht="12.75" hidden="false" customHeight="false" outlineLevel="0" collapsed="false">
      <c r="Y485" s="0" t="n">
        <f aca="false">Y484+$X$5</f>
        <v>1960</v>
      </c>
      <c r="Z485" s="0" t="n">
        <f aca="false">(Y485/$V$5)^$O$5</f>
        <v>1.24853741857992</v>
      </c>
      <c r="AA485" s="0" t="n">
        <f aca="false">$Q$5*(Y485-$V$5)</f>
        <v>12.0637157897848</v>
      </c>
      <c r="AB485" s="0" t="n">
        <f aca="false">COS(AA485)</f>
        <v>0.876306680043864</v>
      </c>
      <c r="AC485" s="0" t="n">
        <f aca="false">SIN(AA485)</f>
        <v>-0.481753674101715</v>
      </c>
      <c r="AD485" s="0" t="n">
        <f aca="false">$T$5*(Z485-1)</f>
        <v>0.0105529168195034</v>
      </c>
      <c r="AE485" s="0" t="n">
        <f aca="false">2*$T$5*$U$5*Z485*$X$5/(Y485+Y486)</f>
        <v>8.42124021045679E-006</v>
      </c>
      <c r="AF485" s="0" t="n">
        <f aca="false">AB485*AE485</f>
        <v>7.37958905067728E-006</v>
      </c>
      <c r="AG485" s="0" t="n">
        <f aca="false">AG484+AF484</f>
        <v>0.00361591981514996</v>
      </c>
      <c r="AH485" s="0" t="n">
        <f aca="false">AC485*AE485</f>
        <v>-4.05696341188066E-006</v>
      </c>
      <c r="AI485" s="0" t="n">
        <f aca="false">AI484+AH484</f>
        <v>0.00352287110435881</v>
      </c>
      <c r="AJ485" s="6" t="n">
        <f aca="false">Y485/$P$5</f>
        <v>1.96</v>
      </c>
      <c r="AK485" s="0" t="n">
        <f aca="false">SQRT(AG485^2+AI485^2)</f>
        <v>0.00504831624678173</v>
      </c>
      <c r="AL485" s="0" t="n">
        <f aca="false">$W$5*(Y485/$V$5-Z485)</f>
        <v>0.00875444785758925</v>
      </c>
      <c r="AM485" s="0" t="n">
        <f aca="false">SQRT(AK485^2+AL485^2)</f>
        <v>0.010105733729857</v>
      </c>
      <c r="AN485" s="2" t="n">
        <f aca="false">Y485</f>
        <v>1960</v>
      </c>
      <c r="AO485" s="0" t="n">
        <f aca="false">AM485/Z485</f>
        <v>0.00809405755844406</v>
      </c>
    </row>
    <row r="486" customFormat="false" ht="12.75" hidden="false" customHeight="false" outlineLevel="0" collapsed="false">
      <c r="Y486" s="0" t="n">
        <f aca="false">Y485+$X$5</f>
        <v>1964</v>
      </c>
      <c r="Z486" s="0" t="n">
        <f aca="false">(Y486/$V$5)^$O$5</f>
        <v>1.24868260798822</v>
      </c>
      <c r="AA486" s="0" t="n">
        <f aca="false">$Q$5*(Y486-$V$5)</f>
        <v>12.0888485310135</v>
      </c>
      <c r="AB486" s="0" t="n">
        <f aca="false">COS(AA486)</f>
        <v>0.888136448813545</v>
      </c>
      <c r="AC486" s="0" t="n">
        <f aca="false">SIN(AA486)</f>
        <v>-0.459579860621487</v>
      </c>
      <c r="AD486" s="0" t="n">
        <f aca="false">$T$5*(Z486-1)</f>
        <v>0.0105590815723108</v>
      </c>
      <c r="AE486" s="0" t="n">
        <f aca="false">2*$T$5*$U$5*Z486*$X$5/(Y486+Y487)</f>
        <v>8.40508374950553E-006</v>
      </c>
      <c r="AF486" s="0" t="n">
        <f aca="false">AB486*AE486</f>
        <v>7.46486123326628E-006</v>
      </c>
      <c r="AG486" s="0" t="n">
        <f aca="false">AG485+AF485</f>
        <v>0.00362329940420064</v>
      </c>
      <c r="AH486" s="0" t="n">
        <f aca="false">AC486*AE486</f>
        <v>-3.86280721810968E-006</v>
      </c>
      <c r="AI486" s="0" t="n">
        <f aca="false">AI485+AH485</f>
        <v>0.00351881414094693</v>
      </c>
      <c r="AJ486" s="6" t="n">
        <f aca="false">Y486/$P$5</f>
        <v>1.964</v>
      </c>
      <c r="AK486" s="0" t="n">
        <f aca="false">SQRT(AG486^2+AI486^2)</f>
        <v>0.00505077731948348</v>
      </c>
      <c r="AL486" s="0" t="n">
        <f aca="false">$W$5*(Y486/$V$5-Z486)</f>
        <v>0.0087727546001558</v>
      </c>
      <c r="AM486" s="0" t="n">
        <f aca="false">SQRT(AK486^2+AL486^2)</f>
        <v>0.0101228244480265</v>
      </c>
      <c r="AN486" s="2" t="n">
        <f aca="false">Y486</f>
        <v>1964</v>
      </c>
      <c r="AO486" s="0" t="n">
        <f aca="false">AM486/Z486</f>
        <v>0.00810680342888383</v>
      </c>
    </row>
    <row r="487" customFormat="false" ht="12.75" hidden="false" customHeight="false" outlineLevel="0" collapsed="false">
      <c r="Y487" s="0" t="n">
        <f aca="false">Y486+$X$5</f>
        <v>1968</v>
      </c>
      <c r="Z487" s="0" t="n">
        <f aca="false">(Y487/$V$5)^$O$5</f>
        <v>1.24882751882793</v>
      </c>
      <c r="AA487" s="0" t="n">
        <f aca="false">$Q$5*(Y487-$V$5)</f>
        <v>12.1139812722422</v>
      </c>
      <c r="AB487" s="0" t="n">
        <f aca="false">COS(AA487)</f>
        <v>0.899405251566372</v>
      </c>
      <c r="AC487" s="0" t="n">
        <f aca="false">SIN(AA487)</f>
        <v>-0.437115766650932</v>
      </c>
      <c r="AD487" s="0" t="n">
        <f aca="false">$T$5*(Z487-1)</f>
        <v>0.0105652344970752</v>
      </c>
      <c r="AE487" s="0" t="n">
        <f aca="false">2*$T$5*$U$5*Z487*$X$5/(Y487+Y488)</f>
        <v>8.38899102726517E-006</v>
      </c>
      <c r="AF487" s="0" t="n">
        <f aca="false">AB487*AE487</f>
        <v>7.54510258526546E-006</v>
      </c>
      <c r="AG487" s="0" t="n">
        <f aca="false">AG486+AF486</f>
        <v>0.0036307642654339</v>
      </c>
      <c r="AH487" s="0" t="n">
        <f aca="false">AC487*AE487</f>
        <v>-3.6669602443108E-006</v>
      </c>
      <c r="AI487" s="0" t="n">
        <f aca="false">AI486+AH486</f>
        <v>0.00351495133372882</v>
      </c>
      <c r="AJ487" s="6" t="n">
        <f aca="false">Y487/$P$5</f>
        <v>1.968</v>
      </c>
      <c r="AK487" s="0" t="n">
        <f aca="false">SQRT(AG487^2+AI487^2)</f>
        <v>0.00505344753902064</v>
      </c>
      <c r="AL487" s="0" t="n">
        <f aca="false">$W$5*(Y487/$V$5-Z487)</f>
        <v>0.00879106139379334</v>
      </c>
      <c r="AM487" s="0" t="n">
        <f aca="false">SQRT(AK487^2+AL487^2)</f>
        <v>0.0101400242829629</v>
      </c>
      <c r="AN487" s="2" t="n">
        <f aca="false">Y487</f>
        <v>1968</v>
      </c>
      <c r="AO487" s="0" t="n">
        <f aca="false">AM487/Z487</f>
        <v>0.0081196355221894</v>
      </c>
    </row>
    <row r="488" customFormat="false" ht="12.75" hidden="false" customHeight="false" outlineLevel="0" collapsed="false">
      <c r="Y488" s="0" t="n">
        <f aca="false">Y487+$X$5</f>
        <v>1972</v>
      </c>
      <c r="Z488" s="0" t="n">
        <f aca="false">(Y488/$V$5)^$O$5</f>
        <v>1.24897215219809</v>
      </c>
      <c r="AA488" s="0" t="n">
        <f aca="false">$Q$5*(Y488-$V$5)</f>
        <v>12.139114013471</v>
      </c>
      <c r="AB488" s="0" t="n">
        <f aca="false">COS(AA488)</f>
        <v>0.910105970684995</v>
      </c>
      <c r="AC488" s="0" t="n">
        <f aca="false">SIN(AA488)</f>
        <v>-0.414375580993285</v>
      </c>
      <c r="AD488" s="0" t="n">
        <f aca="false">$T$5*(Z488-1)</f>
        <v>0.0105713756404625</v>
      </c>
      <c r="AE488" s="0" t="n">
        <f aca="false">2*$T$5*$U$5*Z488*$X$5/(Y488+Y489)</f>
        <v>8.37296166363422E-006</v>
      </c>
      <c r="AF488" s="0" t="n">
        <f aca="false">AB488*AE488</f>
        <v>7.62028240239008E-006</v>
      </c>
      <c r="AG488" s="0" t="n">
        <f aca="false">AG487+AF487</f>
        <v>0.00363830936801917</v>
      </c>
      <c r="AH488" s="0" t="n">
        <f aca="false">AC488*AE488</f>
        <v>-3.46955085400293E-006</v>
      </c>
      <c r="AI488" s="0" t="n">
        <f aca="false">AI487+AH487</f>
        <v>0.00351128437348451</v>
      </c>
      <c r="AJ488" s="6" t="n">
        <f aca="false">Y488/$P$5</f>
        <v>1.972</v>
      </c>
      <c r="AK488" s="0" t="n">
        <f aca="false">SQRT(AG488^2+AI488^2)</f>
        <v>0.00505632406090556</v>
      </c>
      <c r="AL488" s="0" t="n">
        <f aca="false">$W$5*(Y488/$V$5-Z488)</f>
        <v>0.00880936823830038</v>
      </c>
      <c r="AM488" s="0" t="n">
        <f aca="false">SQRT(AK488^2+AL488^2)</f>
        <v>0.0101573314294094</v>
      </c>
      <c r="AN488" s="2" t="n">
        <f aca="false">Y488</f>
        <v>1972</v>
      </c>
      <c r="AO488" s="0" t="n">
        <f aca="false">AM488/Z488</f>
        <v>0.00813255236438486</v>
      </c>
    </row>
    <row r="489" customFormat="false" ht="12.75" hidden="false" customHeight="false" outlineLevel="0" collapsed="false">
      <c r="Y489" s="0" t="n">
        <f aca="false">Y488+$X$5</f>
        <v>1976</v>
      </c>
      <c r="Z489" s="0" t="n">
        <f aca="false">(Y489/$V$5)^$O$5</f>
        <v>1.24911650919119</v>
      </c>
      <c r="AA489" s="0" t="n">
        <f aca="false">$Q$5*(Y489-$V$5)</f>
        <v>12.1642467546997</v>
      </c>
      <c r="AB489" s="0" t="n">
        <f aca="false">COS(AA489)</f>
        <v>0.92023184736587</v>
      </c>
      <c r="AC489" s="0" t="n">
        <f aca="false">SIN(AA489)</f>
        <v>-0.391373666837203</v>
      </c>
      <c r="AD489" s="0" t="n">
        <f aca="false">$T$5*(Z489-1)</f>
        <v>0.0105775050488598</v>
      </c>
      <c r="AE489" s="0" t="n">
        <f aca="false">2*$T$5*$U$5*Z489*$X$5/(Y489+Y490)</f>
        <v>8.35699528154198E-006</v>
      </c>
      <c r="AF489" s="0" t="n">
        <f aca="false">AB489*AE489</f>
        <v>7.69037320636124E-006</v>
      </c>
      <c r="AG489" s="0" t="n">
        <f aca="false">AG488+AF488</f>
        <v>0.00364592965042156</v>
      </c>
      <c r="AH489" s="0" t="n">
        <f aca="false">AC489*AE489</f>
        <v>-3.27070788707829E-006</v>
      </c>
      <c r="AI489" s="0" t="n">
        <f aca="false">AI488+AH488</f>
        <v>0.0035078148226305</v>
      </c>
      <c r="AJ489" s="6" t="n">
        <f aca="false">Y489/$P$5</f>
        <v>1.976</v>
      </c>
      <c r="AK489" s="0" t="n">
        <f aca="false">SQRT(AG489^2+AI489^2)</f>
        <v>0.00505940390220917</v>
      </c>
      <c r="AL489" s="0" t="n">
        <f aca="false">$W$5*(Y489/$V$5-Z489)</f>
        <v>0.00882767513347661</v>
      </c>
      <c r="AM489" s="0" t="n">
        <f aca="false">SQRT(AK489^2+AL489^2)</f>
        <v>0.0101747440315661</v>
      </c>
      <c r="AN489" s="2" t="n">
        <f aca="false">Y489</f>
        <v>1976</v>
      </c>
      <c r="AO489" s="0" t="n">
        <f aca="false">AM489/Z489</f>
        <v>0.00814555244182496</v>
      </c>
    </row>
    <row r="490" customFormat="false" ht="12.75" hidden="false" customHeight="false" outlineLevel="0" collapsed="false">
      <c r="Y490" s="0" t="n">
        <f aca="false">Y489+$X$5</f>
        <v>1980</v>
      </c>
      <c r="Z490" s="0" t="n">
        <f aca="false">(Y490/$V$5)^$O$5</f>
        <v>1.24926059089322</v>
      </c>
      <c r="AA490" s="0" t="n">
        <f aca="false">$Q$5*(Y490-$V$5)</f>
        <v>12.1893794959284</v>
      </c>
      <c r="AB490" s="0" t="n">
        <f aca="false">COS(AA490)</f>
        <v>0.929776485888251</v>
      </c>
      <c r="AC490" s="0" t="n">
        <f aca="false">SIN(AA490)</f>
        <v>-0.368124552684678</v>
      </c>
      <c r="AD490" s="0" t="n">
        <f aca="false">$T$5*(Z490-1)</f>
        <v>0.0105836227683783</v>
      </c>
      <c r="AE490" s="0" t="n">
        <f aca="false">2*$T$5*$U$5*Z490*$X$5/(Y490+Y491)</f>
        <v>8.3410915069183E-006</v>
      </c>
      <c r="AF490" s="0" t="n">
        <f aca="false">AB490*AE490</f>
        <v>7.75535074977483E-006</v>
      </c>
      <c r="AG490" s="0" t="n">
        <f aca="false">AG489+AF489</f>
        <v>0.00365362002362792</v>
      </c>
      <c r="AH490" s="0" t="n">
        <f aca="false">AC490*AE490</f>
        <v>-3.07056057988627E-006</v>
      </c>
      <c r="AI490" s="0" t="n">
        <f aca="false">AI489+AH489</f>
        <v>0.00350454411474343</v>
      </c>
      <c r="AJ490" s="6" t="n">
        <f aca="false">Y490/$P$5</f>
        <v>1.98</v>
      </c>
      <c r="AK490" s="0" t="n">
        <f aca="false">SQRT(AG490^2+AI490^2)</f>
        <v>0.00506268394522487</v>
      </c>
      <c r="AL490" s="0" t="n">
        <f aca="false">$W$5*(Y490/$V$5-Z490)</f>
        <v>0.00884598207912295</v>
      </c>
      <c r="AM490" s="0" t="n">
        <f aca="false">SQRT(AK490^2+AL490^2)</f>
        <v>0.0101922601847383</v>
      </c>
      <c r="AN490" s="2" t="n">
        <f aca="false">Y490</f>
        <v>1980</v>
      </c>
      <c r="AO490" s="0" t="n">
        <f aca="false">AM490/Z490</f>
        <v>0.00815863420253327</v>
      </c>
    </row>
    <row r="491" customFormat="false" ht="12.75" hidden="false" customHeight="false" outlineLevel="0" collapsed="false">
      <c r="Y491" s="0" t="n">
        <f aca="false">Y490+$X$5</f>
        <v>1984</v>
      </c>
      <c r="Z491" s="0" t="n">
        <f aca="false">(Y491/$V$5)^$O$5</f>
        <v>1.24940439838372</v>
      </c>
      <c r="AA491" s="0" t="n">
        <f aca="false">$Q$5*(Y491-$V$5)</f>
        <v>12.2145122371571</v>
      </c>
      <c r="AB491" s="0" t="n">
        <f aca="false">COS(AA491)</f>
        <v>0.938733857653874</v>
      </c>
      <c r="AC491" s="0" t="n">
        <f aca="false">SIN(AA491)</f>
        <v>-0.344642923174517</v>
      </c>
      <c r="AD491" s="0" t="n">
        <f aca="false">$T$5*(Z491-1)</f>
        <v>0.0105897288448555</v>
      </c>
      <c r="AE491" s="0" t="n">
        <f aca="false">2*$T$5*$U$5*Z491*$X$5/(Y491+Y492)</f>
        <v>8.32524996866369E-006</v>
      </c>
      <c r="AF491" s="0" t="n">
        <f aca="false">AB491*AE491</f>
        <v>7.81519401901646E-006</v>
      </c>
      <c r="AG491" s="0" t="n">
        <f aca="false">AG490+AF490</f>
        <v>0.0036613753743777</v>
      </c>
      <c r="AH491" s="0" t="n">
        <f aca="false">AC491*AE491</f>
        <v>-2.86923848535881E-006</v>
      </c>
      <c r="AI491" s="0" t="n">
        <f aca="false">AI490+AH490</f>
        <v>0.00350147355416354</v>
      </c>
      <c r="AJ491" s="6" t="n">
        <f aca="false">Y491/$P$5</f>
        <v>1.984</v>
      </c>
      <c r="AK491" s="0" t="n">
        <f aca="false">SQRT(AG491^2+AI491^2)</f>
        <v>0.00506616094124595</v>
      </c>
      <c r="AL491" s="0" t="n">
        <f aca="false">$W$5*(Y491/$V$5-Z491)</f>
        <v>0.00886428907504148</v>
      </c>
      <c r="AM491" s="0" t="n">
        <f aca="false">SQRT(AK491^2+AL491^2)</f>
        <v>0.0102098779370033</v>
      </c>
      <c r="AN491" s="2" t="n">
        <f aca="false">Y491</f>
        <v>1984</v>
      </c>
      <c r="AO491" s="0" t="n">
        <f aca="false">AM491/Z491</f>
        <v>0.00817179605755444</v>
      </c>
    </row>
    <row r="492" customFormat="false" ht="12.75" hidden="false" customHeight="false" outlineLevel="0" collapsed="false">
      <c r="Y492" s="0" t="n">
        <f aca="false">Y491+$X$5</f>
        <v>1988</v>
      </c>
      <c r="Z492" s="0" t="n">
        <f aca="false">(Y492/$V$5)^$O$5</f>
        <v>1.24954793273583</v>
      </c>
      <c r="AA492" s="0" t="n">
        <f aca="false">$Q$5*(Y492-$V$5)</f>
        <v>12.2396449783858</v>
      </c>
      <c r="AB492" s="0" t="n">
        <f aca="false">COS(AA492)</f>
        <v>0.947098304994744</v>
      </c>
      <c r="AC492" s="0" t="n">
        <f aca="false">SIN(AA492)</f>
        <v>-0.320943609807209</v>
      </c>
      <c r="AD492" s="0" t="n">
        <f aca="false">$T$5*(Z492-1)</f>
        <v>0.010595823323857</v>
      </c>
      <c r="AE492" s="0" t="n">
        <f aca="false">2*$T$5*$U$5*Z492*$X$5/(Y492+Y493)</f>
        <v>8.30947029861982E-006</v>
      </c>
      <c r="AF492" s="0" t="n">
        <f aca="false">AB492*AE492</f>
        <v>7.86988523522701E-006</v>
      </c>
      <c r="AG492" s="0" t="n">
        <f aca="false">AG491+AF491</f>
        <v>0.00366919056839671</v>
      </c>
      <c r="AH492" s="0" t="n">
        <f aca="false">AC492*AE492</f>
        <v>-2.66687139322483E-006</v>
      </c>
      <c r="AI492" s="0" t="n">
        <f aca="false">AI491+AH491</f>
        <v>0.00349860431567818</v>
      </c>
      <c r="AJ492" s="6" t="n">
        <f aca="false">Y492/$P$5</f>
        <v>1.988</v>
      </c>
      <c r="AK492" s="0" t="n">
        <f aca="false">SQRT(AG492^2+AI492^2)</f>
        <v>0.00506983151444832</v>
      </c>
      <c r="AL492" s="0" t="n">
        <f aca="false">$W$5*(Y492/$V$5-Z492)</f>
        <v>0.00888259612103545</v>
      </c>
      <c r="AM492" s="0" t="n">
        <f aca="false">SQRT(AK492^2+AL492^2)</f>
        <v>0.0102275952908945</v>
      </c>
      <c r="AN492" s="2" t="n">
        <f aca="false">Y492</f>
        <v>1988</v>
      </c>
      <c r="AO492" s="0" t="n">
        <f aca="false">AM492/Z492</f>
        <v>0.00818503638231916</v>
      </c>
    </row>
    <row r="493" customFormat="false" ht="12.75" hidden="false" customHeight="false" outlineLevel="0" collapsed="false">
      <c r="Y493" s="0" t="n">
        <f aca="false">Y492+$X$5</f>
        <v>1992</v>
      </c>
      <c r="Z493" s="0" t="n">
        <f aca="false">(Y493/$V$5)^$O$5</f>
        <v>1.24969119501636</v>
      </c>
      <c r="AA493" s="0" t="n">
        <f aca="false">$Q$5*(Y493-$V$5)</f>
        <v>12.2647777196146</v>
      </c>
      <c r="AB493" s="0" t="n">
        <f aca="false">COS(AA493)</f>
        <v>0.954864544746643</v>
      </c>
      <c r="AC493" s="0" t="n">
        <f aca="false">SIN(AA493)</f>
        <v>-0.297041581577034</v>
      </c>
      <c r="AD493" s="0" t="n">
        <f aca="false">$T$5*(Z493-1)</f>
        <v>0.0106019062506788</v>
      </c>
      <c r="AE493" s="0" t="n">
        <f aca="false">2*$T$5*$U$5*Z493*$X$5/(Y493+Y494)</f>
        <v>8.29375213154038E-006</v>
      </c>
      <c r="AF493" s="0" t="n">
        <f aca="false">AB493*AE493</f>
        <v>7.91940985332481E-006</v>
      </c>
      <c r="AG493" s="0" t="n">
        <f aca="false">AG492+AF492</f>
        <v>0.00367706045363194</v>
      </c>
      <c r="AH493" s="0" t="n">
        <f aca="false">AC493*AE493</f>
        <v>-2.46358925036066E-006</v>
      </c>
      <c r="AI493" s="0" t="n">
        <f aca="false">AI492+AH492</f>
        <v>0.00349593744428496</v>
      </c>
      <c r="AJ493" s="6" t="n">
        <f aca="false">Y493/$P$5</f>
        <v>1.992</v>
      </c>
      <c r="AK493" s="0" t="n">
        <f aca="false">SQRT(AG493^2+AI493^2)</f>
        <v>0.00507369216587068</v>
      </c>
      <c r="AL493" s="0" t="n">
        <f aca="false">$W$5*(Y493/$V$5-Z493)</f>
        <v>0.00890090321690929</v>
      </c>
      <c r="AM493" s="0" t="n">
        <f aca="false">SQRT(AK493^2+AL493^2)</f>
        <v>0.0102454102051018</v>
      </c>
      <c r="AN493" s="2" t="n">
        <f aca="false">Y493</f>
        <v>1992</v>
      </c>
      <c r="AO493" s="0" t="n">
        <f aca="false">AM493/Z493</f>
        <v>0.00819835351802066</v>
      </c>
    </row>
    <row r="494" customFormat="false" ht="12.75" hidden="false" customHeight="false" outlineLevel="0" collapsed="false">
      <c r="Y494" s="0" t="n">
        <f aca="false">Y493+$X$5</f>
        <v>1996</v>
      </c>
      <c r="Z494" s="0" t="n">
        <f aca="false">(Y494/$V$5)^$O$5</f>
        <v>1.24983418628577</v>
      </c>
      <c r="AA494" s="0" t="n">
        <f aca="false">$Q$5*(Y494-$V$5)</f>
        <v>12.2899104608433</v>
      </c>
      <c r="AB494" s="0" t="n">
        <f aca="false">COS(AA494)</f>
        <v>0.962027671586086</v>
      </c>
      <c r="AC494" s="0" t="n">
        <f aca="false">SIN(AA494)</f>
        <v>-0.272951935517325</v>
      </c>
      <c r="AD494" s="0" t="n">
        <f aca="false">$T$5*(Z494-1)</f>
        <v>0.0106079776703496</v>
      </c>
      <c r="AE494" s="0" t="n">
        <f aca="false">2*$T$5*$U$5*Z494*$X$5/(Y494+Y495)</f>
        <v>8.27809510506222E-006</v>
      </c>
      <c r="AF494" s="0" t="n">
        <f aca="false">AB494*AE494</f>
        <v>7.96375655909118E-006</v>
      </c>
      <c r="AG494" s="0" t="n">
        <f aca="false">AG493+AF493</f>
        <v>0.00368497986348526</v>
      </c>
      <c r="AH494" s="0" t="n">
        <f aca="false">AC494*AE494</f>
        <v>-2.25952208132322E-006</v>
      </c>
      <c r="AI494" s="0" t="n">
        <f aca="false">AI493+AH493</f>
        <v>0.00349347385503459</v>
      </c>
      <c r="AJ494" s="6" t="n">
        <f aca="false">Y494/$P$5</f>
        <v>1.996</v>
      </c>
      <c r="AK494" s="0" t="n">
        <f aca="false">SQRT(AG494^2+AI494^2)</f>
        <v>0.00507773927748384</v>
      </c>
      <c r="AL494" s="0" t="n">
        <f aca="false">$W$5*(Y494/$V$5-Z494)</f>
        <v>0.00891921036246857</v>
      </c>
      <c r="AM494" s="0" t="n">
        <f aca="false">SQRT(AK494^2+AL494^2)</f>
        <v>0.0102633205961847</v>
      </c>
      <c r="AN494" s="2" t="n">
        <f aca="false">Y494</f>
        <v>1996</v>
      </c>
      <c r="AO494" s="0" t="n">
        <f aca="false">AM494/Z494</f>
        <v>0.00821174577300128</v>
      </c>
    </row>
    <row r="495" customFormat="false" ht="12.75" hidden="false" customHeight="false" outlineLevel="0" collapsed="false">
      <c r="Y495" s="0" t="n">
        <f aca="false">Y494+$X$5</f>
        <v>2000</v>
      </c>
      <c r="Z495" s="0" t="n">
        <f aca="false">(Y495/$V$5)^$O$5</f>
        <v>1.24997690759834</v>
      </c>
      <c r="AA495" s="0" t="n">
        <f aca="false">$Q$5*(Y495-$V$5)</f>
        <v>12.315043202072</v>
      </c>
      <c r="AB495" s="0" t="n">
        <f aca="false">COS(AA495)</f>
        <v>0.968583161128631</v>
      </c>
      <c r="AC495" s="0" t="n">
        <f aca="false">SIN(AA495)</f>
        <v>-0.248689887164854</v>
      </c>
      <c r="AD495" s="0" t="n">
        <f aca="false">$T$5*(Z495-1)</f>
        <v>0.0106140376276327</v>
      </c>
      <c r="AE495" s="0" t="n">
        <f aca="false">2*$T$5*$U$5*Z495*$X$5/(Y495+Y496)</f>
        <v>8.26249885967689E-006</v>
      </c>
      <c r="AF495" s="0" t="n">
        <f aca="false">AB495*AE495</f>
        <v>8.00291726432756E-006</v>
      </c>
      <c r="AG495" s="0" t="n">
        <f aca="false">AG494+AF494</f>
        <v>0.00369294362004436</v>
      </c>
      <c r="AH495" s="0" t="n">
        <f aca="false">AC495*AE495</f>
        <v>-2.05479990911278E-006</v>
      </c>
      <c r="AI495" s="0" t="n">
        <f aca="false">AI494+AH494</f>
        <v>0.00349121433295327</v>
      </c>
      <c r="AJ495" s="6" t="n">
        <f aca="false">Y495/$P$5</f>
        <v>2</v>
      </c>
      <c r="AK495" s="0" t="n">
        <f aca="false">SQRT(AG495^2+AI495^2)</f>
        <v>0.00508196911634109</v>
      </c>
      <c r="AL495" s="0" t="n">
        <f aca="false">$W$5*(Y495/$V$5-Z495)</f>
        <v>0.00893751755752002</v>
      </c>
      <c r="AM495" s="0" t="n">
        <f aca="false">SQRT(AK495^2+AL495^2)</f>
        <v>0.0102813243402989</v>
      </c>
      <c r="AN495" s="2" t="n">
        <f aca="false">Y495</f>
        <v>2000</v>
      </c>
      <c r="AO495" s="0" t="n">
        <f aca="false">AM495/Z495</f>
        <v>0.00822521142414792</v>
      </c>
    </row>
    <row r="496" customFormat="false" ht="12.75" hidden="false" customHeight="false" outlineLevel="0" collapsed="false">
      <c r="Y496" s="0" t="n">
        <f aca="false">Y495+$X$5</f>
        <v>2004</v>
      </c>
      <c r="Z496" s="0" t="n">
        <f aca="false">(Y496/$V$5)^$O$5</f>
        <v>1.25011936000209</v>
      </c>
      <c r="AA496" s="0" t="n">
        <f aca="false">$Q$5*(Y496-$V$5)</f>
        <v>12.3401759433007</v>
      </c>
      <c r="AB496" s="0" t="n">
        <f aca="false">COS(AA496)</f>
        <v>0.974526872786578</v>
      </c>
      <c r="AC496" s="0" t="n">
        <f aca="false">SIN(AA496)</f>
        <v>-0.22427076094938</v>
      </c>
      <c r="AD496" s="0" t="n">
        <f aca="false">$T$5*(Z496-1)</f>
        <v>0.0106200861670283</v>
      </c>
      <c r="AE496" s="0" t="n">
        <f aca="false">2*$T$5*$U$5*Z496*$X$5/(Y496+Y497)</f>
        <v>8.24696303870253E-006</v>
      </c>
      <c r="AF496" s="0" t="n">
        <f aca="false">AB496*AE496</f>
        <v>8.03688710009326E-006</v>
      </c>
      <c r="AG496" s="0" t="n">
        <f aca="false">AG495+AF495</f>
        <v>0.00370094653730868</v>
      </c>
      <c r="AH496" s="0" t="n">
        <f aca="false">AC496*AE496</f>
        <v>-1.84955267621123E-006</v>
      </c>
      <c r="AI496" s="0" t="n">
        <f aca="false">AI495+AH495</f>
        <v>0.00348915953304416</v>
      </c>
      <c r="AJ496" s="6" t="n">
        <f aca="false">Y496/$P$5</f>
        <v>2.004</v>
      </c>
      <c r="AK496" s="0" t="n">
        <f aca="false">SQRT(AG496^2+AI496^2)</f>
        <v>0.00508637783880141</v>
      </c>
      <c r="AL496" s="0" t="n">
        <f aca="false">$W$5*(Y496/$V$5-Z496)</f>
        <v>0.00895582480187149</v>
      </c>
      <c r="AM496" s="0" t="n">
        <f aca="false">SQRT(AK496^2+AL496^2)</f>
        <v>0.0102994192749333</v>
      </c>
      <c r="AN496" s="2" t="n">
        <f aca="false">Y496</f>
        <v>2004</v>
      </c>
      <c r="AO496" s="0" t="n">
        <f aca="false">AM496/Z496</f>
        <v>0.00823874871829521</v>
      </c>
    </row>
    <row r="497" customFormat="false" ht="12.75" hidden="false" customHeight="false" outlineLevel="0" collapsed="false">
      <c r="Y497" s="0" t="n">
        <f aca="false">Y496+$X$5</f>
        <v>2008</v>
      </c>
      <c r="Z497" s="0" t="n">
        <f aca="false">(Y497/$V$5)^$O$5</f>
        <v>1.25026154453893</v>
      </c>
      <c r="AA497" s="0" t="n">
        <f aca="false">$Q$5*(Y497-$V$5)</f>
        <v>12.3653086845294</v>
      </c>
      <c r="AB497" s="0" t="n">
        <f aca="false">COS(AA497)</f>
        <v>0.979855052384247</v>
      </c>
      <c r="AC497" s="0" t="n">
        <f aca="false">SIN(AA497)</f>
        <v>-0.199709980514407</v>
      </c>
      <c r="AD497" s="0" t="n">
        <f aca="false">$T$5*(Z497-1)</f>
        <v>0.0106261233327752</v>
      </c>
      <c r="AE497" s="0" t="n">
        <f aca="false">2*$T$5*$U$5*Z497*$X$5/(Y497+Y498)</f>
        <v>1.64793719615484E-005</v>
      </c>
      <c r="AF497" s="0" t="n">
        <f aca="false">AB497*AE497</f>
        <v>1.61473958766425E-005</v>
      </c>
      <c r="AG497" s="0" t="n">
        <f aca="false">AG496+AF496</f>
        <v>0.00370898342440878</v>
      </c>
      <c r="AH497" s="0" t="n">
        <f aca="false">AC497*AE497</f>
        <v>-3.2910950533305E-006</v>
      </c>
      <c r="AI497" s="0" t="n">
        <f aca="false">AI496+AH496</f>
        <v>0.00348730998036795</v>
      </c>
      <c r="AJ497" s="6" t="n">
        <f aca="false">Y497/$P$5</f>
        <v>2.008</v>
      </c>
      <c r="AK497" s="0" t="n">
        <f aca="false">SQRT(AG497^2+AI497^2)</f>
        <v>0.00509096149481735</v>
      </c>
      <c r="AL497" s="0" t="n">
        <f aca="false">$W$5*(Y497/$V$5-Z497)</f>
        <v>0.00897413209533197</v>
      </c>
      <c r="AM497" s="0" t="n">
        <f aca="false">SQRT(AK497^2+AL497^2)</f>
        <v>0.0103176032006557</v>
      </c>
      <c r="AN497" s="2" t="n">
        <f aca="false">Y497</f>
        <v>2008</v>
      </c>
      <c r="AO497" s="0" t="n">
        <f aca="false">AM497/Z497</f>
        <v>0.00825235587363491</v>
      </c>
    </row>
  </sheetData>
  <hyperlinks>
    <hyperlink ref="E1" r:id="rId1" display="Flt Path Angl Dispersions.do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2010-12-12T20:12:22Z</dcterms:created>
  <dc:creator>Owner</dc:creator>
  <dc:description/>
  <dc:language>en-US</dc:language>
  <cp:lastModifiedBy>Owner</cp:lastModifiedBy>
  <dcterms:modified xsi:type="dcterms:W3CDTF">2011-05-08T19:22:38Z</dcterms:modified>
  <cp:revision>0</cp:revision>
  <dc:subject/>
  <dc:title/>
</cp:coreProperties>
</file>