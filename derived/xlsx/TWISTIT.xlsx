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FinS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<sst xmlns="http://schemas.openxmlformats.org/spreadsheetml/2006/main" count="38" uniqueCount="35">
  <si>
    <t xml:space="preserve">Root Chord, in</t>
  </si>
  <si>
    <t xml:space="preserve">Tip Chord, in</t>
  </si>
  <si>
    <t xml:space="preserve">Body Radius, in</t>
  </si>
  <si>
    <t xml:space="preserve">Fin semispan, in from centerline</t>
  </si>
  <si>
    <t xml:space="preserve">Solid Plate Fin?</t>
  </si>
  <si>
    <t xml:space="preserve">Fin total airfoil thickness, in</t>
  </si>
  <si>
    <t xml:space="preserve">Fin skin thickness, in</t>
  </si>
  <si>
    <r>
      <rPr>
        <sz val="11"/>
        <color rgb="FF000000"/>
        <rFont val="Calibri"/>
        <family val="2"/>
      </rPr>
      <t xml:space="preserve">Fin torsional modulus of elasticity, lb/in</t>
    </r>
    <r>
      <rPr>
        <vertAlign val="superscript"/>
        <sz val="10"/>
        <rFont val="Arial"/>
        <family val="2"/>
      </rPr>
      <t xml:space="preserve">2</t>
    </r>
  </si>
  <si>
    <r>
      <rPr>
        <sz val="11"/>
        <color rgb="FF000000"/>
        <rFont val="Calibri"/>
        <family val="2"/>
      </rPr>
      <t xml:space="preserve">Airfoil normal force coefficient slope, rad</t>
    </r>
    <r>
      <rPr>
        <vertAlign val="superscript"/>
        <sz val="10"/>
        <rFont val="Arial"/>
        <family val="2"/>
      </rPr>
      <t xml:space="preserve">-1</t>
    </r>
  </si>
  <si>
    <t xml:space="preserve">Dynamic Pressure, psf</t>
  </si>
  <si>
    <t xml:space="preserve">A, in</t>
  </si>
  <si>
    <t xml:space="preserve">B</t>
  </si>
  <si>
    <r>
      <rPr>
        <sz val="11"/>
        <color rgb="FF000000"/>
        <rFont val="Calibri"/>
        <family val="2"/>
      </rPr>
      <t xml:space="preserve">Constant K, in</t>
    </r>
    <r>
      <rPr>
        <vertAlign val="superscript"/>
        <sz val="10"/>
        <rFont val="Arial"/>
        <family val="2"/>
      </rPr>
      <t xml:space="preserve">-3</t>
    </r>
  </si>
  <si>
    <r>
      <rPr>
        <sz val="11"/>
        <color rgb="FF000000"/>
        <rFont val="Calibri"/>
        <family val="2"/>
      </rPr>
      <t xml:space="preserve">Fin J/c, in</t>
    </r>
    <r>
      <rPr>
        <vertAlign val="superscript"/>
        <sz val="10"/>
        <rFont val="Arial"/>
        <family val="2"/>
      </rPr>
      <t xml:space="preserve">3</t>
    </r>
  </si>
  <si>
    <t xml:space="preserve">dh, in</t>
  </si>
  <si>
    <t xml:space="preserve">u(R)</t>
  </si>
  <si>
    <t xml:space="preserve">u'(R)</t>
  </si>
  <si>
    <t xml:space="preserve">N</t>
  </si>
  <si>
    <t xml:space="preserve">Number of Fin panels</t>
  </si>
  <si>
    <t xml:space="preserve">Rigid Fin</t>
  </si>
  <si>
    <t xml:space="preserve">i</t>
  </si>
  <si>
    <t xml:space="preserve">y,in</t>
  </si>
  <si>
    <t xml:space="preserve">D(RK4), rad</t>
  </si>
  <si>
    <t xml:space="preserve">P(RK4), in</t>
  </si>
  <si>
    <t xml:space="preserve">A(RK4), rad</t>
  </si>
  <si>
    <t xml:space="preserve">CLd per fin</t>
  </si>
  <si>
    <t xml:space="preserve">CLp per fin, in</t>
  </si>
  <si>
    <t xml:space="preserve">Rigid CLd/CLp</t>
  </si>
  <si>
    <t xml:space="preserve">CN a per fin</t>
  </si>
  <si>
    <t xml:space="preserve">Calculate using RK4 Table (Simpson'Rule)</t>
  </si>
  <si>
    <t xml:space="preserve">Flexible Fin</t>
  </si>
  <si>
    <t xml:space="preserve">dCLd</t>
  </si>
  <si>
    <t xml:space="preserve">dCLp, in</t>
  </si>
  <si>
    <t xml:space="preserve">dCNa, rad</t>
  </si>
  <si>
    <t xml:space="preserve">Flexible CLd/CLp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</si>
</sst>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sz val="11"/>
      <color rgb="FFFF0000"/>
      <name val="Calibri"/>
      <family val="2"/>
    </font>
    <font>
      <b val="true"/>
      <sz val="20"/>
      <color rgb="FFFFFFFF"/>
      <name val="Calibri"/>
      <family val="0"/>
    </font>
    <font>
      <b val="true"/>
      <sz val="18"/>
      <color rgb="FF000000"/>
      <name val="Calibri"/>
      <family val="2"/>
    </font>
    <font>
      <b val="true"/>
      <sz val="12"/>
      <color rgb="FF000000"/>
      <name val="Calibri"/>
      <family val="2"/>
    </font>
    <font>
      <b val="true"/>
      <sz val="1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Function D(y)</a:t>
            </a:r>
          </a:p>
        </c:rich>
      </c:tx>
      <c:layout>
        <c:manualLayout>
          <c:xMode val="edge"/>
          <c:yMode val="edge"/>
          <c:x val="0.417503888351759"/>
          <c:y val="0.02838409110516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5387363907688"/>
          <c:y val="0.169873177465275"/>
          <c:w val="0.821850435075035"/>
          <c:h val="0.706668967302217"/>
        </c:manualLayout>
      </c:layout>
      <c:scatterChart>
        <c:scatterStyle val="line"/>
        <c:varyColors val="0"/>
        <c:ser>
          <c:idx val="0"/>
          <c:order val="0"/>
          <c:tx>
            <c:strRef>
              <c:f>InputFinSA!$C$9</c:f>
              <c:strCache>
                <c:ptCount val="1"/>
                <c:pt idx="0">
                  <c:v>D(RK4), rad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InputFinSA!$B$10:$B$8000</c:f>
              <c:numCache>
                <c:formatCode>General</c:formatCode>
                <c:ptCount val="7991"/>
                <c:pt idx="0">
                  <c:v>12.5</c:v>
                </c:pt>
                <c:pt idx="1">
                  <c:v>12.590635451505</c:v>
                </c:pt>
                <c:pt idx="2">
                  <c:v>12.68127090301</c:v>
                </c:pt>
                <c:pt idx="3">
                  <c:v>12.7719063545151</c:v>
                </c:pt>
                <c:pt idx="4">
                  <c:v>12.8625418060201</c:v>
                </c:pt>
                <c:pt idx="5">
                  <c:v>12.9531772575251</c:v>
                </c:pt>
                <c:pt idx="6">
                  <c:v>13.0438127090301</c:v>
                </c:pt>
                <c:pt idx="7">
                  <c:v>13.1344481605351</c:v>
                </c:pt>
                <c:pt idx="8">
                  <c:v>13.2250836120401</c:v>
                </c:pt>
                <c:pt idx="9">
                  <c:v>13.3157190635452</c:v>
                </c:pt>
                <c:pt idx="10">
                  <c:v>13.4063545150502</c:v>
                </c:pt>
                <c:pt idx="11">
                  <c:v>13.4969899665552</c:v>
                </c:pt>
                <c:pt idx="12">
                  <c:v>13.5876254180602</c:v>
                </c:pt>
                <c:pt idx="13">
                  <c:v>13.6782608695652</c:v>
                </c:pt>
                <c:pt idx="14">
                  <c:v>13.7688963210702</c:v>
                </c:pt>
                <c:pt idx="15">
                  <c:v>13.8595317725753</c:v>
                </c:pt>
                <c:pt idx="16">
                  <c:v>13.9501672240803</c:v>
                </c:pt>
                <c:pt idx="17">
                  <c:v>14.0408026755853</c:v>
                </c:pt>
                <c:pt idx="18">
                  <c:v>14.1314381270903</c:v>
                </c:pt>
                <c:pt idx="19">
                  <c:v>14.2220735785953</c:v>
                </c:pt>
                <c:pt idx="20">
                  <c:v>14.3127090301003</c:v>
                </c:pt>
                <c:pt idx="21">
                  <c:v>14.4033444816054</c:v>
                </c:pt>
                <c:pt idx="22">
                  <c:v>14.4939799331104</c:v>
                </c:pt>
                <c:pt idx="23">
                  <c:v>14.5846153846154</c:v>
                </c:pt>
                <c:pt idx="24">
                  <c:v>14.6752508361204</c:v>
                </c:pt>
                <c:pt idx="25">
                  <c:v>14.7658862876254</c:v>
                </c:pt>
                <c:pt idx="26">
                  <c:v>14.8565217391304</c:v>
                </c:pt>
                <c:pt idx="27">
                  <c:v>14.9471571906355</c:v>
                </c:pt>
                <c:pt idx="28">
                  <c:v>15.0377926421405</c:v>
                </c:pt>
                <c:pt idx="29">
                  <c:v>15.1284280936455</c:v>
                </c:pt>
                <c:pt idx="30">
                  <c:v>15.2190635451505</c:v>
                </c:pt>
                <c:pt idx="31">
                  <c:v>15.3096989966555</c:v>
                </c:pt>
                <c:pt idx="32">
                  <c:v>15.4003344481605</c:v>
                </c:pt>
                <c:pt idx="33">
                  <c:v>15.4909698996656</c:v>
                </c:pt>
                <c:pt idx="34">
                  <c:v>15.5816053511706</c:v>
                </c:pt>
                <c:pt idx="35">
                  <c:v>15.6722408026756</c:v>
                </c:pt>
                <c:pt idx="36">
                  <c:v>15.7628762541806</c:v>
                </c:pt>
                <c:pt idx="37">
                  <c:v>15.8535117056856</c:v>
                </c:pt>
                <c:pt idx="38">
                  <c:v>15.9441471571906</c:v>
                </c:pt>
                <c:pt idx="39">
                  <c:v>16.0347826086957</c:v>
                </c:pt>
                <c:pt idx="40">
                  <c:v>16.1254180602007</c:v>
                </c:pt>
                <c:pt idx="41">
                  <c:v>16.2160535117057</c:v>
                </c:pt>
                <c:pt idx="42">
                  <c:v>16.3066889632107</c:v>
                </c:pt>
                <c:pt idx="43">
                  <c:v>16.3973244147157</c:v>
                </c:pt>
                <c:pt idx="44">
                  <c:v>16.4879598662207</c:v>
                </c:pt>
                <c:pt idx="45">
                  <c:v>16.5785953177258</c:v>
                </c:pt>
                <c:pt idx="46">
                  <c:v>16.6692307692308</c:v>
                </c:pt>
                <c:pt idx="47">
                  <c:v>16.7598662207358</c:v>
                </c:pt>
                <c:pt idx="48">
                  <c:v>16.8505016722408</c:v>
                </c:pt>
                <c:pt idx="49">
                  <c:v>16.9411371237458</c:v>
                </c:pt>
                <c:pt idx="50">
                  <c:v>17.0317725752508</c:v>
                </c:pt>
                <c:pt idx="51">
                  <c:v>17.1224080267559</c:v>
                </c:pt>
                <c:pt idx="52">
                  <c:v>17.2130434782609</c:v>
                </c:pt>
                <c:pt idx="53">
                  <c:v>17.3036789297659</c:v>
                </c:pt>
                <c:pt idx="54">
                  <c:v>17.3943143812709</c:v>
                </c:pt>
                <c:pt idx="55">
                  <c:v>17.4849498327759</c:v>
                </c:pt>
                <c:pt idx="56">
                  <c:v>17.5755852842809</c:v>
                </c:pt>
                <c:pt idx="57">
                  <c:v>17.666220735786</c:v>
                </c:pt>
                <c:pt idx="58">
                  <c:v>17.756856187291</c:v>
                </c:pt>
                <c:pt idx="59">
                  <c:v>17.847491638796</c:v>
                </c:pt>
                <c:pt idx="60">
                  <c:v>17.938127090301</c:v>
                </c:pt>
                <c:pt idx="61">
                  <c:v>18.028762541806</c:v>
                </c:pt>
                <c:pt idx="62">
                  <c:v>18.119397993311</c:v>
                </c:pt>
                <c:pt idx="63">
                  <c:v>18.2100334448161</c:v>
                </c:pt>
                <c:pt idx="64">
                  <c:v>18.3006688963211</c:v>
                </c:pt>
                <c:pt idx="65">
                  <c:v>18.3913043478261</c:v>
                </c:pt>
                <c:pt idx="66">
                  <c:v>18.4819397993311</c:v>
                </c:pt>
                <c:pt idx="67">
                  <c:v>18.5725752508361</c:v>
                </c:pt>
                <c:pt idx="68">
                  <c:v>18.6632107023411</c:v>
                </c:pt>
                <c:pt idx="69">
                  <c:v>18.7538461538462</c:v>
                </c:pt>
                <c:pt idx="70">
                  <c:v>18.8444816053512</c:v>
                </c:pt>
                <c:pt idx="71">
                  <c:v>18.9351170568562</c:v>
                </c:pt>
                <c:pt idx="72">
                  <c:v>19.0257525083612</c:v>
                </c:pt>
                <c:pt idx="73">
                  <c:v>19.1163879598662</c:v>
                </c:pt>
                <c:pt idx="74">
                  <c:v>19.2070234113712</c:v>
                </c:pt>
                <c:pt idx="75">
                  <c:v>19.2976588628763</c:v>
                </c:pt>
                <c:pt idx="76">
                  <c:v>19.3882943143813</c:v>
                </c:pt>
                <c:pt idx="77">
                  <c:v>19.4789297658863</c:v>
                </c:pt>
                <c:pt idx="78">
                  <c:v>19.5695652173913</c:v>
                </c:pt>
                <c:pt idx="79">
                  <c:v>19.6602006688963</c:v>
                </c:pt>
                <c:pt idx="80">
                  <c:v>19.7508361204013</c:v>
                </c:pt>
                <c:pt idx="81">
                  <c:v>19.8414715719064</c:v>
                </c:pt>
                <c:pt idx="82">
                  <c:v>19.9321070234114</c:v>
                </c:pt>
                <c:pt idx="83">
                  <c:v>20.0227424749164</c:v>
                </c:pt>
                <c:pt idx="84">
                  <c:v>20.1133779264214</c:v>
                </c:pt>
                <c:pt idx="85">
                  <c:v>20.2040133779264</c:v>
                </c:pt>
                <c:pt idx="86">
                  <c:v>20.2946488294314</c:v>
                </c:pt>
                <c:pt idx="87">
                  <c:v>20.3852842809365</c:v>
                </c:pt>
                <c:pt idx="88">
                  <c:v>20.4759197324415</c:v>
                </c:pt>
                <c:pt idx="89">
                  <c:v>20.5665551839465</c:v>
                </c:pt>
                <c:pt idx="90">
                  <c:v>20.6571906354515</c:v>
                </c:pt>
                <c:pt idx="91">
                  <c:v>20.7478260869565</c:v>
                </c:pt>
                <c:pt idx="92">
                  <c:v>20.8384615384615</c:v>
                </c:pt>
                <c:pt idx="93">
                  <c:v>20.9290969899666</c:v>
                </c:pt>
                <c:pt idx="94">
                  <c:v>21.0197324414716</c:v>
                </c:pt>
                <c:pt idx="95">
                  <c:v>21.1103678929766</c:v>
                </c:pt>
                <c:pt idx="96">
                  <c:v>21.2010033444816</c:v>
                </c:pt>
                <c:pt idx="97">
                  <c:v>21.2916387959866</c:v>
                </c:pt>
                <c:pt idx="98">
                  <c:v>21.3822742474916</c:v>
                </c:pt>
                <c:pt idx="99">
                  <c:v>21.4729096989967</c:v>
                </c:pt>
                <c:pt idx="100">
                  <c:v>21.5635451505017</c:v>
                </c:pt>
                <c:pt idx="101">
                  <c:v>21.6541806020067</c:v>
                </c:pt>
                <c:pt idx="102">
                  <c:v>21.7448160535117</c:v>
                </c:pt>
                <c:pt idx="103">
                  <c:v>21.8354515050167</c:v>
                </c:pt>
                <c:pt idx="104">
                  <c:v>21.9260869565217</c:v>
                </c:pt>
                <c:pt idx="105">
                  <c:v>22.0167224080268</c:v>
                </c:pt>
                <c:pt idx="106">
                  <c:v>22.1073578595318</c:v>
                </c:pt>
                <c:pt idx="107">
                  <c:v>22.1979933110368</c:v>
                </c:pt>
                <c:pt idx="108">
                  <c:v>22.2886287625418</c:v>
                </c:pt>
                <c:pt idx="109">
                  <c:v>22.3792642140468</c:v>
                </c:pt>
                <c:pt idx="110">
                  <c:v>22.4698996655518</c:v>
                </c:pt>
                <c:pt idx="111">
                  <c:v>22.5605351170569</c:v>
                </c:pt>
                <c:pt idx="112">
                  <c:v>22.6511705685619</c:v>
                </c:pt>
                <c:pt idx="113">
                  <c:v>22.7418060200669</c:v>
                </c:pt>
                <c:pt idx="114">
                  <c:v>22.8324414715719</c:v>
                </c:pt>
                <c:pt idx="115">
                  <c:v>22.9230769230769</c:v>
                </c:pt>
                <c:pt idx="116">
                  <c:v>23.0137123745819</c:v>
                </c:pt>
                <c:pt idx="117">
                  <c:v>23.104347826087</c:v>
                </c:pt>
                <c:pt idx="118">
                  <c:v>23.194983277592</c:v>
                </c:pt>
                <c:pt idx="119">
                  <c:v>23.285618729097</c:v>
                </c:pt>
                <c:pt idx="120">
                  <c:v>23.376254180602</c:v>
                </c:pt>
                <c:pt idx="121">
                  <c:v>23.466889632107</c:v>
                </c:pt>
                <c:pt idx="122">
                  <c:v>23.557525083612</c:v>
                </c:pt>
                <c:pt idx="123">
                  <c:v>23.6481605351171</c:v>
                </c:pt>
                <c:pt idx="124">
                  <c:v>23.7387959866221</c:v>
                </c:pt>
                <c:pt idx="125">
                  <c:v>23.8294314381271</c:v>
                </c:pt>
                <c:pt idx="126">
                  <c:v>23.9200668896321</c:v>
                </c:pt>
                <c:pt idx="127">
                  <c:v>24.0107023411371</c:v>
                </c:pt>
                <c:pt idx="128">
                  <c:v>24.1013377926421</c:v>
                </c:pt>
                <c:pt idx="129">
                  <c:v>24.1919732441472</c:v>
                </c:pt>
                <c:pt idx="130">
                  <c:v>24.2826086956522</c:v>
                </c:pt>
                <c:pt idx="131">
                  <c:v>24.3732441471572</c:v>
                </c:pt>
                <c:pt idx="132">
                  <c:v>24.4638795986622</c:v>
                </c:pt>
                <c:pt idx="133">
                  <c:v>24.5545150501672</c:v>
                </c:pt>
                <c:pt idx="134">
                  <c:v>24.6451505016722</c:v>
                </c:pt>
                <c:pt idx="135">
                  <c:v>24.7357859531773</c:v>
                </c:pt>
                <c:pt idx="136">
                  <c:v>24.8264214046823</c:v>
                </c:pt>
                <c:pt idx="137">
                  <c:v>24.9170568561873</c:v>
                </c:pt>
                <c:pt idx="138">
                  <c:v>25.0076923076923</c:v>
                </c:pt>
                <c:pt idx="139">
                  <c:v>25.0983277591973</c:v>
                </c:pt>
                <c:pt idx="140">
                  <c:v>25.1889632107023</c:v>
                </c:pt>
                <c:pt idx="141">
                  <c:v>25.2795986622074</c:v>
                </c:pt>
                <c:pt idx="142">
                  <c:v>25.3702341137124</c:v>
                </c:pt>
                <c:pt idx="143">
                  <c:v>25.4608695652174</c:v>
                </c:pt>
                <c:pt idx="144">
                  <c:v>25.5515050167224</c:v>
                </c:pt>
                <c:pt idx="145">
                  <c:v>25.6421404682274</c:v>
                </c:pt>
                <c:pt idx="146">
                  <c:v>25.7327759197324</c:v>
                </c:pt>
                <c:pt idx="147">
                  <c:v>25.8234113712375</c:v>
                </c:pt>
                <c:pt idx="148">
                  <c:v>25.9140468227425</c:v>
                </c:pt>
                <c:pt idx="149">
                  <c:v>26.0046822742475</c:v>
                </c:pt>
                <c:pt idx="150">
                  <c:v>26.0953177257525</c:v>
                </c:pt>
                <c:pt idx="151">
                  <c:v>26.1859531772575</c:v>
                </c:pt>
                <c:pt idx="152">
                  <c:v>26.2765886287625</c:v>
                </c:pt>
                <c:pt idx="153">
                  <c:v>26.3672240802676</c:v>
                </c:pt>
                <c:pt idx="154">
                  <c:v>26.4578595317726</c:v>
                </c:pt>
                <c:pt idx="155">
                  <c:v>26.5484949832776</c:v>
                </c:pt>
                <c:pt idx="156">
                  <c:v>26.6391304347826</c:v>
                </c:pt>
                <c:pt idx="157">
                  <c:v>26.7297658862876</c:v>
                </c:pt>
                <c:pt idx="158">
                  <c:v>26.8204013377926</c:v>
                </c:pt>
                <c:pt idx="159">
                  <c:v>26.9110367892977</c:v>
                </c:pt>
                <c:pt idx="160">
                  <c:v>27.0016722408027</c:v>
                </c:pt>
                <c:pt idx="161">
                  <c:v>27.0923076923077</c:v>
                </c:pt>
                <c:pt idx="162">
                  <c:v>27.1829431438127</c:v>
                </c:pt>
                <c:pt idx="163">
                  <c:v>27.2735785953177</c:v>
                </c:pt>
                <c:pt idx="164">
                  <c:v>27.3642140468227</c:v>
                </c:pt>
                <c:pt idx="165">
                  <c:v>27.4548494983278</c:v>
                </c:pt>
                <c:pt idx="166">
                  <c:v>27.5454849498328</c:v>
                </c:pt>
                <c:pt idx="167">
                  <c:v>27.6361204013378</c:v>
                </c:pt>
                <c:pt idx="168">
                  <c:v>27.7267558528428</c:v>
                </c:pt>
                <c:pt idx="169">
                  <c:v>27.8173913043478</c:v>
                </c:pt>
                <c:pt idx="170">
                  <c:v>27.9080267558528</c:v>
                </c:pt>
                <c:pt idx="171">
                  <c:v>27.9986622073579</c:v>
                </c:pt>
                <c:pt idx="172">
                  <c:v>28.0892976588629</c:v>
                </c:pt>
                <c:pt idx="173">
                  <c:v>28.1799331103679</c:v>
                </c:pt>
                <c:pt idx="174">
                  <c:v>28.2705685618729</c:v>
                </c:pt>
                <c:pt idx="175">
                  <c:v>28.3612040133779</c:v>
                </c:pt>
                <c:pt idx="176">
                  <c:v>28.4518394648829</c:v>
                </c:pt>
                <c:pt idx="177">
                  <c:v>28.542474916388</c:v>
                </c:pt>
                <c:pt idx="178">
                  <c:v>28.633110367893</c:v>
                </c:pt>
                <c:pt idx="179">
                  <c:v>28.723745819398</c:v>
                </c:pt>
                <c:pt idx="180">
                  <c:v>28.814381270903</c:v>
                </c:pt>
                <c:pt idx="181">
                  <c:v>28.905016722408</c:v>
                </c:pt>
                <c:pt idx="182">
                  <c:v>28.995652173913</c:v>
                </c:pt>
                <c:pt idx="183">
                  <c:v>29.0862876254181</c:v>
                </c:pt>
                <c:pt idx="184">
                  <c:v>29.1769230769231</c:v>
                </c:pt>
                <c:pt idx="185">
                  <c:v>29.2675585284281</c:v>
                </c:pt>
                <c:pt idx="186">
                  <c:v>29.3581939799331</c:v>
                </c:pt>
                <c:pt idx="187">
                  <c:v>29.4488294314381</c:v>
                </c:pt>
                <c:pt idx="188">
                  <c:v>29.5394648829431</c:v>
                </c:pt>
                <c:pt idx="189">
                  <c:v>29.6301003344482</c:v>
                </c:pt>
                <c:pt idx="190">
                  <c:v>29.7207357859532</c:v>
                </c:pt>
                <c:pt idx="191">
                  <c:v>29.8113712374582</c:v>
                </c:pt>
                <c:pt idx="192">
                  <c:v>29.9020066889632</c:v>
                </c:pt>
                <c:pt idx="193">
                  <c:v>29.9926421404682</c:v>
                </c:pt>
                <c:pt idx="194">
                  <c:v>30.0832775919732</c:v>
                </c:pt>
                <c:pt idx="195">
                  <c:v>30.1739130434783</c:v>
                </c:pt>
                <c:pt idx="196">
                  <c:v>30.2645484949833</c:v>
                </c:pt>
                <c:pt idx="197">
                  <c:v>30.3551839464883</c:v>
                </c:pt>
                <c:pt idx="198">
                  <c:v>30.4458193979933</c:v>
                </c:pt>
                <c:pt idx="199">
                  <c:v>30.5364548494983</c:v>
                </c:pt>
                <c:pt idx="200">
                  <c:v>30.6270903010033</c:v>
                </c:pt>
                <c:pt idx="201">
                  <c:v>30.7177257525084</c:v>
                </c:pt>
                <c:pt idx="202">
                  <c:v>30.8083612040134</c:v>
                </c:pt>
                <c:pt idx="203">
                  <c:v>30.8989966555184</c:v>
                </c:pt>
                <c:pt idx="204">
                  <c:v>30.9896321070234</c:v>
                </c:pt>
                <c:pt idx="205">
                  <c:v>31.0802675585284</c:v>
                </c:pt>
                <c:pt idx="206">
                  <c:v>31.1709030100334</c:v>
                </c:pt>
                <c:pt idx="207">
                  <c:v>31.2615384615385</c:v>
                </c:pt>
                <c:pt idx="208">
                  <c:v>31.3521739130435</c:v>
                </c:pt>
                <c:pt idx="209">
                  <c:v>31.4428093645485</c:v>
                </c:pt>
                <c:pt idx="210">
                  <c:v>31.5334448160535</c:v>
                </c:pt>
                <c:pt idx="211">
                  <c:v>31.6240802675585</c:v>
                </c:pt>
                <c:pt idx="212">
                  <c:v>31.7147157190636</c:v>
                </c:pt>
                <c:pt idx="213">
                  <c:v>31.8053511705686</c:v>
                </c:pt>
                <c:pt idx="214">
                  <c:v>31.8959866220736</c:v>
                </c:pt>
                <c:pt idx="215">
                  <c:v>31.9866220735786</c:v>
                </c:pt>
                <c:pt idx="216">
                  <c:v>32.0772575250836</c:v>
                </c:pt>
                <c:pt idx="217">
                  <c:v>32.1678929765886</c:v>
                </c:pt>
                <c:pt idx="218">
                  <c:v>32.2585284280937</c:v>
                </c:pt>
                <c:pt idx="219">
                  <c:v>32.3491638795987</c:v>
                </c:pt>
                <c:pt idx="220">
                  <c:v>32.4397993311037</c:v>
                </c:pt>
                <c:pt idx="221">
                  <c:v>32.5304347826087</c:v>
                </c:pt>
                <c:pt idx="222">
                  <c:v>32.6210702341137</c:v>
                </c:pt>
                <c:pt idx="223">
                  <c:v>32.7117056856187</c:v>
                </c:pt>
                <c:pt idx="224">
                  <c:v>32.8023411371238</c:v>
                </c:pt>
                <c:pt idx="225">
                  <c:v>32.8929765886288</c:v>
                </c:pt>
                <c:pt idx="226">
                  <c:v>32.9836120401338</c:v>
                </c:pt>
                <c:pt idx="227">
                  <c:v>33.0742474916388</c:v>
                </c:pt>
                <c:pt idx="228">
                  <c:v>33.1648829431438</c:v>
                </c:pt>
                <c:pt idx="229">
                  <c:v>33.2555183946488</c:v>
                </c:pt>
                <c:pt idx="230">
                  <c:v>33.3461538461539</c:v>
                </c:pt>
                <c:pt idx="231">
                  <c:v>33.4367892976589</c:v>
                </c:pt>
                <c:pt idx="232">
                  <c:v>33.5274247491639</c:v>
                </c:pt>
                <c:pt idx="233">
                  <c:v>33.6180602006689</c:v>
                </c:pt>
                <c:pt idx="234">
                  <c:v>33.7086956521739</c:v>
                </c:pt>
                <c:pt idx="235">
                  <c:v>33.7993311036789</c:v>
                </c:pt>
                <c:pt idx="236">
                  <c:v>33.8899665551839</c:v>
                </c:pt>
                <c:pt idx="237">
                  <c:v>33.980602006689</c:v>
                </c:pt>
                <c:pt idx="238">
                  <c:v>34.071237458194</c:v>
                </c:pt>
                <c:pt idx="239">
                  <c:v>34.161872909699</c:v>
                </c:pt>
                <c:pt idx="240">
                  <c:v>34.252508361204</c:v>
                </c:pt>
                <c:pt idx="241">
                  <c:v>34.343143812709</c:v>
                </c:pt>
                <c:pt idx="242">
                  <c:v>34.433779264214</c:v>
                </c:pt>
                <c:pt idx="243">
                  <c:v>34.5244147157191</c:v>
                </c:pt>
                <c:pt idx="244">
                  <c:v>34.6150501672241</c:v>
                </c:pt>
                <c:pt idx="245">
                  <c:v>34.7056856187291</c:v>
                </c:pt>
                <c:pt idx="246">
                  <c:v>34.7963210702341</c:v>
                </c:pt>
                <c:pt idx="247">
                  <c:v>34.8869565217391</c:v>
                </c:pt>
                <c:pt idx="248">
                  <c:v>34.9775919732441</c:v>
                </c:pt>
                <c:pt idx="249">
                  <c:v>35.0682274247492</c:v>
                </c:pt>
                <c:pt idx="250">
                  <c:v>35.1588628762542</c:v>
                </c:pt>
                <c:pt idx="251">
                  <c:v>35.2494983277592</c:v>
                </c:pt>
                <c:pt idx="252">
                  <c:v>35.3401337792642</c:v>
                </c:pt>
                <c:pt idx="253">
                  <c:v>35.4307692307692</c:v>
                </c:pt>
                <c:pt idx="254">
                  <c:v>35.5214046822743</c:v>
                </c:pt>
                <c:pt idx="255">
                  <c:v>35.6120401337793</c:v>
                </c:pt>
                <c:pt idx="256">
                  <c:v>35.7026755852843</c:v>
                </c:pt>
                <c:pt idx="257">
                  <c:v>35.7933110367893</c:v>
                </c:pt>
                <c:pt idx="258">
                  <c:v>35.8839464882943</c:v>
                </c:pt>
                <c:pt idx="259">
                  <c:v>35.9745819397993</c:v>
                </c:pt>
                <c:pt idx="260">
                  <c:v>36.0652173913044</c:v>
                </c:pt>
                <c:pt idx="261">
                  <c:v>36.1558528428094</c:v>
                </c:pt>
                <c:pt idx="262">
                  <c:v>36.2464882943144</c:v>
                </c:pt>
                <c:pt idx="263">
                  <c:v>36.3371237458194</c:v>
                </c:pt>
                <c:pt idx="264">
                  <c:v>36.4277591973244</c:v>
                </c:pt>
                <c:pt idx="265">
                  <c:v>36.5183946488294</c:v>
                </c:pt>
                <c:pt idx="266">
                  <c:v>36.6090301003345</c:v>
                </c:pt>
                <c:pt idx="267">
                  <c:v>36.6996655518395</c:v>
                </c:pt>
                <c:pt idx="268">
                  <c:v>36.7903010033445</c:v>
                </c:pt>
                <c:pt idx="269">
                  <c:v>36.8809364548495</c:v>
                </c:pt>
                <c:pt idx="270">
                  <c:v>36.9715719063545</c:v>
                </c:pt>
                <c:pt idx="271">
                  <c:v>37.0622073578595</c:v>
                </c:pt>
                <c:pt idx="272">
                  <c:v>37.1528428093646</c:v>
                </c:pt>
                <c:pt idx="273">
                  <c:v>37.2434782608696</c:v>
                </c:pt>
                <c:pt idx="274">
                  <c:v>37.3341137123746</c:v>
                </c:pt>
                <c:pt idx="275">
                  <c:v>37.4247491638796</c:v>
                </c:pt>
                <c:pt idx="276">
                  <c:v>37.5153846153846</c:v>
                </c:pt>
                <c:pt idx="277">
                  <c:v>37.6060200668896</c:v>
                </c:pt>
                <c:pt idx="278">
                  <c:v>37.6966555183947</c:v>
                </c:pt>
                <c:pt idx="279">
                  <c:v>37.7872909698997</c:v>
                </c:pt>
                <c:pt idx="280">
                  <c:v>37.8779264214047</c:v>
                </c:pt>
                <c:pt idx="281">
                  <c:v>37.9685618729097</c:v>
                </c:pt>
                <c:pt idx="282">
                  <c:v>38.0591973244147</c:v>
                </c:pt>
                <c:pt idx="283">
                  <c:v>38.1498327759197</c:v>
                </c:pt>
                <c:pt idx="284">
                  <c:v>38.2404682274248</c:v>
                </c:pt>
                <c:pt idx="285">
                  <c:v>38.3311036789298</c:v>
                </c:pt>
                <c:pt idx="286">
                  <c:v>38.4217391304348</c:v>
                </c:pt>
                <c:pt idx="287">
                  <c:v>38.5123745819398</c:v>
                </c:pt>
                <c:pt idx="288">
                  <c:v>38.6030100334448</c:v>
                </c:pt>
                <c:pt idx="289">
                  <c:v>38.6936454849498</c:v>
                </c:pt>
                <c:pt idx="290">
                  <c:v>38.7842809364549</c:v>
                </c:pt>
                <c:pt idx="291">
                  <c:v>38.8749163879599</c:v>
                </c:pt>
                <c:pt idx="292">
                  <c:v>38.9655518394649</c:v>
                </c:pt>
                <c:pt idx="293">
                  <c:v>39.0561872909699</c:v>
                </c:pt>
                <c:pt idx="294">
                  <c:v>39.1468227424749</c:v>
                </c:pt>
                <c:pt idx="295">
                  <c:v>39.2374581939799</c:v>
                </c:pt>
                <c:pt idx="296">
                  <c:v>39.328093645485</c:v>
                </c:pt>
                <c:pt idx="297">
                  <c:v>39.41872909699</c:v>
                </c:pt>
                <c:pt idx="298">
                  <c:v>39.509364548495</c:v>
                </c:pt>
                <c:pt idx="299">
                  <c:v>39.6</c:v>
                </c:pt>
              </c:numCache>
            </c:numRef>
          </c:xVal>
          <c:yVal>
            <c:numRef>
              <c:f>InputFinSA!$C$10:$C$8000</c:f>
              <c:numCache>
                <c:formatCode>General</c:formatCode>
                <c:ptCount val="7991"/>
                <c:pt idx="0">
                  <c:v>0</c:v>
                </c:pt>
                <c:pt idx="1">
                  <c:v>1.07406767390355E-005</c:v>
                </c:pt>
                <c:pt idx="2">
                  <c:v>3.21921667950106E-005</c:v>
                </c:pt>
                <c:pt idx="3">
                  <c:v>6.43247205105198E-005</c:v>
                </c:pt>
                <c:pt idx="4">
                  <c:v>0.000107108700712712</c:v>
                </c:pt>
                <c:pt idx="5">
                  <c:v>0.000160514581437916</c:v>
                </c:pt>
                <c:pt idx="6">
                  <c:v>0.000224512946661002</c:v>
                </c:pt>
                <c:pt idx="7">
                  <c:v>0.000299074489029438</c:v>
                </c:pt>
                <c:pt idx="8">
                  <c:v>0.00038417000860203</c:v>
                </c:pt>
                <c:pt idx="9">
                  <c:v>0.000479770411592292</c:v>
                </c:pt>
                <c:pt idx="10">
                  <c:v>0.000585846709116438</c:v>
                </c:pt>
                <c:pt idx="11">
                  <c:v>0.000702370015945958</c:v>
                </c:pt>
                <c:pt idx="12">
                  <c:v>0.000829311549264747</c:v>
                </c:pt>
                <c:pt idx="13">
                  <c:v>0.000966642627430763</c:v>
                </c:pt>
                <c:pt idx="14">
                  <c:v>0.00111433466874219</c:v>
                </c:pt>
                <c:pt idx="15">
                  <c:v>0.00127235919020804</c:v>
                </c:pt>
                <c:pt idx="16">
                  <c:v>0.00144068780632328</c:v>
                </c:pt>
                <c:pt idx="17">
                  <c:v>0.00161929222784826</c:v>
                </c:pt>
                <c:pt idx="18">
                  <c:v>0.00180814426059262</c:v>
                </c:pt>
                <c:pt idx="19">
                  <c:v>0.00200721580420355</c:v>
                </c:pt>
                <c:pt idx="20">
                  <c:v>0.00221647885095832</c:v>
                </c:pt>
                <c:pt idx="21">
                  <c:v>0.0024359054845612</c:v>
                </c:pt>
                <c:pt idx="22">
                  <c:v>0.00266546787894463</c:v>
                </c:pt>
                <c:pt idx="23">
                  <c:v>0.00290513829707461</c:v>
                </c:pt>
                <c:pt idx="24">
                  <c:v>0.00315488908976042</c:v>
                </c:pt>
                <c:pt idx="25">
                  <c:v>0.00341469269446842</c:v>
                </c:pt>
                <c:pt idx="26">
                  <c:v>0.00368452163414015</c:v>
                </c:pt>
                <c:pt idx="27">
                  <c:v>0.00396434851601452</c:v>
                </c:pt>
                <c:pt idx="28">
                  <c:v>0.00425414603045413</c:v>
                </c:pt>
                <c:pt idx="29">
                  <c:v>0.00455388694977572</c:v>
                </c:pt>
                <c:pt idx="30">
                  <c:v>0.00486354412708474</c:v>
                </c:pt>
                <c:pt idx="31">
                  <c:v>0.00518309049511388</c:v>
                </c:pt>
                <c:pt idx="32">
                  <c:v>0.00551249906506576</c:v>
                </c:pt>
                <c:pt idx="33">
                  <c:v>0.0058517429254595</c:v>
                </c:pt>
                <c:pt idx="34">
                  <c:v>0.00620079524098143</c:v>
                </c:pt>
                <c:pt idx="35">
                  <c:v>0.00655962925133963</c:v>
                </c:pt>
                <c:pt idx="36">
                  <c:v>0.00692821827012252</c:v>
                </c:pt>
                <c:pt idx="37">
                  <c:v>0.0073065356836613</c:v>
                </c:pt>
                <c:pt idx="38">
                  <c:v>0.00769455494989633</c:v>
                </c:pt>
                <c:pt idx="39">
                  <c:v>0.00809224959724737</c:v>
                </c:pt>
                <c:pt idx="40">
                  <c:v>0.00849959322348771</c:v>
                </c:pt>
                <c:pt idx="41">
                  <c:v>0.00891655949462212</c:v>
                </c:pt>
                <c:pt idx="42">
                  <c:v>0.00934312214376856</c:v>
                </c:pt>
                <c:pt idx="43">
                  <c:v>0.00977925497004378</c:v>
                </c:pt>
                <c:pt idx="44">
                  <c:v>0.0102249318374527</c:v>
                </c:pt>
                <c:pt idx="45">
                  <c:v>0.0106801266737812</c:v>
                </c:pt>
                <c:pt idx="46">
                  <c:v>0.0111448134694935</c:v>
                </c:pt>
                <c:pt idx="47">
                  <c:v>0.0116189662766322</c:v>
                </c:pt>
                <c:pt idx="48">
                  <c:v>0.0121025592077225</c:v>
                </c:pt>
                <c:pt idx="49">
                  <c:v>0.0125955664346806</c:v>
                </c:pt>
                <c:pt idx="50">
                  <c:v>0.0130979621877245</c:v>
                </c:pt>
                <c:pt idx="51">
                  <c:v>0.01360972075429</c:v>
                </c:pt>
                <c:pt idx="52">
                  <c:v>0.0141308164779488</c:v>
                </c:pt>
                <c:pt idx="53">
                  <c:v>0.0146612237573314</c:v>
                </c:pt>
                <c:pt idx="54">
                  <c:v>0.0152009170450528</c:v>
                </c:pt>
                <c:pt idx="55">
                  <c:v>0.0157498708466423</c:v>
                </c:pt>
                <c:pt idx="56">
                  <c:v>0.0163080597194762</c:v>
                </c:pt>
                <c:pt idx="57">
                  <c:v>0.016875458271715</c:v>
                </c:pt>
                <c:pt idx="58">
                  <c:v>0.0174520411612429</c:v>
                </c:pt>
                <c:pt idx="59">
                  <c:v>0.0180377830946119</c:v>
                </c:pt>
                <c:pt idx="60">
                  <c:v>0.0186326588259887</c:v>
                </c:pt>
                <c:pt idx="61">
                  <c:v>0.0192366431561054</c:v>
                </c:pt>
                <c:pt idx="62">
                  <c:v>0.0198497109312132</c:v>
                </c:pt>
                <c:pt idx="63">
                  <c:v>0.0204718370420401</c:v>
                </c:pt>
                <c:pt idx="64">
                  <c:v>0.0211029964227519</c:v>
                </c:pt>
                <c:pt idx="65">
                  <c:v>0.0217431640499159</c:v>
                </c:pt>
                <c:pt idx="66">
                  <c:v>0.022392314941469</c:v>
                </c:pt>
                <c:pt idx="67">
                  <c:v>0.0230504241556884</c:v>
                </c:pt>
                <c:pt idx="68">
                  <c:v>0.0237174667901661</c:v>
                </c:pt>
                <c:pt idx="69">
                  <c:v>0.0243934179807866</c:v>
                </c:pt>
                <c:pt idx="70">
                  <c:v>0.0250782529007075</c:v>
                </c:pt>
                <c:pt idx="71">
                  <c:v>0.0257719467593444</c:v>
                </c:pt>
                <c:pt idx="72">
                  <c:v>0.0264744748013578</c:v>
                </c:pt>
                <c:pt idx="73">
                  <c:v>0.0271858123056444</c:v>
                </c:pt>
                <c:pt idx="74">
                  <c:v>0.0279059345843312</c:v>
                </c:pt>
                <c:pt idx="75">
                  <c:v>0.0286348169817727</c:v>
                </c:pt>
                <c:pt idx="76">
                  <c:v>0.0293724348735513</c:v>
                </c:pt>
                <c:pt idx="77">
                  <c:v>0.0301187636654817</c:v>
                </c:pt>
                <c:pt idx="78">
                  <c:v>0.0308737787926174</c:v>
                </c:pt>
                <c:pt idx="79">
                  <c:v>0.0316374557182611</c:v>
                </c:pt>
                <c:pt idx="80">
                  <c:v>0.0324097699329781</c:v>
                </c:pt>
                <c:pt idx="81">
                  <c:v>0.0331906969536129</c:v>
                </c:pt>
                <c:pt idx="82">
                  <c:v>0.0339802123223088</c:v>
                </c:pt>
                <c:pt idx="83">
                  <c:v>0.034778291605531</c:v>
                </c:pt>
                <c:pt idx="84">
                  <c:v>0.0355849103930923</c:v>
                </c:pt>
                <c:pt idx="85">
                  <c:v>0.0364000442971827</c:v>
                </c:pt>
                <c:pt idx="86">
                  <c:v>0.037223668951401</c:v>
                </c:pt>
                <c:pt idx="87">
                  <c:v>0.0380557600097907</c:v>
                </c:pt>
                <c:pt idx="88">
                  <c:v>0.0388962931458781</c:v>
                </c:pt>
                <c:pt idx="89">
                  <c:v>0.0397452440517141</c:v>
                </c:pt>
                <c:pt idx="90">
                  <c:v>0.0406025884369185</c:v>
                </c:pt>
                <c:pt idx="91">
                  <c:v>0.0414683020277275</c:v>
                </c:pt>
                <c:pt idx="92">
                  <c:v>0.0423423605660451</c:v>
                </c:pt>
                <c:pt idx="93">
                  <c:v>0.0432247398084958</c:v>
                </c:pt>
                <c:pt idx="94">
                  <c:v>0.0441154155254822</c:v>
                </c:pt>
                <c:pt idx="95">
                  <c:v>0.0450143635002444</c:v>
                </c:pt>
                <c:pt idx="96">
                  <c:v>0.0459215595279225</c:v>
                </c:pt>
                <c:pt idx="97">
                  <c:v>0.0468369794146229</c:v>
                </c:pt>
                <c:pt idx="98">
                  <c:v>0.0477605989764868</c:v>
                </c:pt>
                <c:pt idx="99">
                  <c:v>0.0486923940387618</c:v>
                </c:pt>
                <c:pt idx="100">
                  <c:v>0.0496323404348767</c:v>
                </c:pt>
                <c:pt idx="101">
                  <c:v>0.0505804140055193</c:v>
                </c:pt>
                <c:pt idx="102">
                  <c:v>0.0515365905977168</c:v>
                </c:pt>
                <c:pt idx="103">
                  <c:v>0.0525008460639195</c:v>
                </c:pt>
                <c:pt idx="104">
                  <c:v>0.0534731562610874</c:v>
                </c:pt>
                <c:pt idx="105">
                  <c:v>0.0544534970497792</c:v>
                </c:pt>
                <c:pt idx="106">
                  <c:v>0.0554418442932452</c:v>
                </c:pt>
                <c:pt idx="107">
                  <c:v>0.0564381738565223</c:v>
                </c:pt>
                <c:pt idx="108">
                  <c:v>0.0574424616055322</c:v>
                </c:pt>
                <c:pt idx="109">
                  <c:v>0.0584546834061824</c:v>
                </c:pt>
                <c:pt idx="110">
                  <c:v>0.0594748151234702</c:v>
                </c:pt>
                <c:pt idx="111">
                  <c:v>0.06050283262059</c:v>
                </c:pt>
                <c:pt idx="112">
                  <c:v>0.0615387117580421</c:v>
                </c:pt>
                <c:pt idx="113">
                  <c:v>0.0625824283927464</c:v>
                </c:pt>
                <c:pt idx="114">
                  <c:v>0.0636339583771571</c:v>
                </c:pt>
                <c:pt idx="115">
                  <c:v>0.0646932775583812</c:v>
                </c:pt>
                <c:pt idx="116">
                  <c:v>0.0657603617773002</c:v>
                </c:pt>
                <c:pt idx="117">
                  <c:v>0.0668351868676935</c:v>
                </c:pt>
                <c:pt idx="118">
                  <c:v>0.0679177286553656</c:v>
                </c:pt>
                <c:pt idx="119">
                  <c:v>0.069007962957276</c:v>
                </c:pt>
                <c:pt idx="120">
                  <c:v>0.0701058655806714</c:v>
                </c:pt>
                <c:pt idx="121">
                  <c:v>0.0712114123222214</c:v>
                </c:pt>
                <c:pt idx="122">
                  <c:v>0.0723245789671567</c:v>
                </c:pt>
                <c:pt idx="123">
                  <c:v>0.0734453412884101</c:v>
                </c:pt>
                <c:pt idx="124">
                  <c:v>0.0745736750457604</c:v>
                </c:pt>
                <c:pt idx="125">
                  <c:v>0.075709555984979</c:v>
                </c:pt>
                <c:pt idx="126">
                  <c:v>0.0768529598369795</c:v>
                </c:pt>
                <c:pt idx="127">
                  <c:v>0.07800386231697</c:v>
                </c:pt>
                <c:pt idx="128">
                  <c:v>0.0791622391236083</c:v>
                </c:pt>
                <c:pt idx="129">
                  <c:v>0.0803280659381596</c:v>
                </c:pt>
                <c:pt idx="130">
                  <c:v>0.0815013184236571</c:v>
                </c:pt>
                <c:pt idx="131">
                  <c:v>0.082681972224066</c:v>
                </c:pt>
                <c:pt idx="132">
                  <c:v>0.0838700029634492</c:v>
                </c:pt>
                <c:pt idx="133">
                  <c:v>0.0850653862451368</c:v>
                </c:pt>
                <c:pt idx="134">
                  <c:v>0.0862680976508976</c:v>
                </c:pt>
                <c:pt idx="135">
                  <c:v>0.0874781127401141</c:v>
                </c:pt>
                <c:pt idx="136">
                  <c:v>0.0886954070489594</c:v>
                </c:pt>
                <c:pt idx="137">
                  <c:v>0.089919956089578</c:v>
                </c:pt>
                <c:pt idx="138">
                  <c:v>0.0911517353492683</c:v>
                </c:pt>
                <c:pt idx="139">
                  <c:v>0.0923907202896683</c:v>
                </c:pt>
                <c:pt idx="140">
                  <c:v>0.0936368863459447</c:v>
                </c:pt>
                <c:pt idx="141">
                  <c:v>0.0948902089259833</c:v>
                </c:pt>
                <c:pt idx="142">
                  <c:v>0.0961506634095838</c:v>
                </c:pt>
                <c:pt idx="143">
                  <c:v>0.097418225147656</c:v>
                </c:pt>
                <c:pt idx="144">
                  <c:v>0.09869286946142</c:v>
                </c:pt>
                <c:pt idx="145">
                  <c:v>0.0999745716416078</c:v>
                </c:pt>
                <c:pt idx="146">
                  <c:v>0.101263306947669</c:v>
                </c:pt>
                <c:pt idx="147">
                  <c:v>0.102559050606979</c:v>
                </c:pt>
                <c:pt idx="148">
                  <c:v>0.103861777814048</c:v>
                </c:pt>
                <c:pt idx="149">
                  <c:v>0.105171463729737</c:v>
                </c:pt>
                <c:pt idx="150">
                  <c:v>0.10648808348047</c:v>
                </c:pt>
                <c:pt idx="151">
                  <c:v>0.107811612157458</c:v>
                </c:pt>
                <c:pt idx="152">
                  <c:v>0.109142024815916</c:v>
                </c:pt>
                <c:pt idx="153">
                  <c:v>0.110479296474292</c:v>
                </c:pt>
                <c:pt idx="154">
                  <c:v>0.111823402113489</c:v>
                </c:pt>
                <c:pt idx="155">
                  <c:v>0.113174316676099</c:v>
                </c:pt>
                <c:pt idx="156">
                  <c:v>0.114532015065635</c:v>
                </c:pt>
                <c:pt idx="157">
                  <c:v>0.115896472145764</c:v>
                </c:pt>
                <c:pt idx="158">
                  <c:v>0.11726766273955</c:v>
                </c:pt>
                <c:pt idx="159">
                  <c:v>0.11864556162869</c:v>
                </c:pt>
                <c:pt idx="160">
                  <c:v>0.120030143552761</c:v>
                </c:pt>
                <c:pt idx="161">
                  <c:v>0.121421383208466</c:v>
                </c:pt>
                <c:pt idx="162">
                  <c:v>0.122819255248883</c:v>
                </c:pt>
                <c:pt idx="163">
                  <c:v>0.124223734282717</c:v>
                </c:pt>
                <c:pt idx="164">
                  <c:v>0.125634794873555</c:v>
                </c:pt>
                <c:pt idx="165">
                  <c:v>0.127052411539125</c:v>
                </c:pt>
                <c:pt idx="166">
                  <c:v>0.128476558750554</c:v>
                </c:pt>
                <c:pt idx="167">
                  <c:v>0.129907210931633</c:v>
                </c:pt>
                <c:pt idx="168">
                  <c:v>0.131344342458084</c:v>
                </c:pt>
                <c:pt idx="169">
                  <c:v>0.132787927656826</c:v>
                </c:pt>
                <c:pt idx="170">
                  <c:v>0.134237940805251</c:v>
                </c:pt>
                <c:pt idx="171">
                  <c:v>0.135694356130492</c:v>
                </c:pt>
                <c:pt idx="172">
                  <c:v>0.137157147808707</c:v>
                </c:pt>
                <c:pt idx="173">
                  <c:v>0.138626289964355</c:v>
                </c:pt>
                <c:pt idx="174">
                  <c:v>0.14010175666948</c:v>
                </c:pt>
                <c:pt idx="175">
                  <c:v>0.141583521942998</c:v>
                </c:pt>
                <c:pt idx="176">
                  <c:v>0.143071559749983</c:v>
                </c:pt>
                <c:pt idx="177">
                  <c:v>0.144565844000958</c:v>
                </c:pt>
                <c:pt idx="178">
                  <c:v>0.146066348551195</c:v>
                </c:pt>
                <c:pt idx="179">
                  <c:v>0.147573047200005</c:v>
                </c:pt>
                <c:pt idx="180">
                  <c:v>0.149085913690039</c:v>
                </c:pt>
                <c:pt idx="181">
                  <c:v>0.150604921706596</c:v>
                </c:pt>
                <c:pt idx="182">
                  <c:v>0.152130044876923</c:v>
                </c:pt>
                <c:pt idx="183">
                  <c:v>0.153661256769524</c:v>
                </c:pt>
                <c:pt idx="184">
                  <c:v>0.155198530893474</c:v>
                </c:pt>
                <c:pt idx="185">
                  <c:v>0.15674184069773</c:v>
                </c:pt>
                <c:pt idx="186">
                  <c:v>0.158291159570451</c:v>
                </c:pt>
                <c:pt idx="187">
                  <c:v>0.159846460838315</c:v>
                </c:pt>
                <c:pt idx="188">
                  <c:v>0.161407717765844</c:v>
                </c:pt>
                <c:pt idx="189">
                  <c:v>0.162974903554726</c:v>
                </c:pt>
                <c:pt idx="190">
                  <c:v>0.164547991343148</c:v>
                </c:pt>
                <c:pt idx="191">
                  <c:v>0.166126954205125</c:v>
                </c:pt>
                <c:pt idx="192">
                  <c:v>0.167711765149833</c:v>
                </c:pt>
                <c:pt idx="193">
                  <c:v>0.16930239712095</c:v>
                </c:pt>
                <c:pt idx="194">
                  <c:v>0.170898822995991</c:v>
                </c:pt>
                <c:pt idx="195">
                  <c:v>0.172501015585656</c:v>
                </c:pt>
                <c:pt idx="196">
                  <c:v>0.174108947633171</c:v>
                </c:pt>
                <c:pt idx="197">
                  <c:v>0.175722591813642</c:v>
                </c:pt>
                <c:pt idx="198">
                  <c:v>0.177341920733403</c:v>
                </c:pt>
                <c:pt idx="199">
                  <c:v>0.178966906929371</c:v>
                </c:pt>
                <c:pt idx="200">
                  <c:v>0.180597522868407</c:v>
                </c:pt>
                <c:pt idx="201">
                  <c:v>0.182233740946671</c:v>
                </c:pt>
                <c:pt idx="202">
                  <c:v>0.183875533488991</c:v>
                </c:pt>
                <c:pt idx="203">
                  <c:v>0.185522872748228</c:v>
                </c:pt>
                <c:pt idx="204">
                  <c:v>0.187175730904642</c:v>
                </c:pt>
                <c:pt idx="205">
                  <c:v>0.188834080065271</c:v>
                </c:pt>
                <c:pt idx="206">
                  <c:v>0.1904978922633</c:v>
                </c:pt>
                <c:pt idx="207">
                  <c:v>0.192167139457445</c:v>
                </c:pt>
                <c:pt idx="208">
                  <c:v>0.193841793531331</c:v>
                </c:pt>
                <c:pt idx="209">
                  <c:v>0.195521826292878</c:v>
                </c:pt>
                <c:pt idx="210">
                  <c:v>0.197207209473689</c:v>
                </c:pt>
                <c:pt idx="211">
                  <c:v>0.19889791472844</c:v>
                </c:pt>
                <c:pt idx="212">
                  <c:v>0.200593913634273</c:v>
                </c:pt>
                <c:pt idx="213">
                  <c:v>0.202295177690194</c:v>
                </c:pt>
                <c:pt idx="214">
                  <c:v>0.204001678316474</c:v>
                </c:pt>
                <c:pt idx="215">
                  <c:v>0.205713386854049</c:v>
                </c:pt>
                <c:pt idx="216">
                  <c:v>0.207430274563928</c:v>
                </c:pt>
                <c:pt idx="217">
                  <c:v>0.209152312626601</c:v>
                </c:pt>
                <c:pt idx="218">
                  <c:v>0.210879472141452</c:v>
                </c:pt>
                <c:pt idx="219">
                  <c:v>0.212611724126176</c:v>
                </c:pt>
                <c:pt idx="220">
                  <c:v>0.214349039516192</c:v>
                </c:pt>
                <c:pt idx="221">
                  <c:v>0.216091389164071</c:v>
                </c:pt>
                <c:pt idx="222">
                  <c:v>0.217838743838958</c:v>
                </c:pt>
                <c:pt idx="223">
                  <c:v>0.219591074225998</c:v>
                </c:pt>
                <c:pt idx="224">
                  <c:v>0.221348350925771</c:v>
                </c:pt>
                <c:pt idx="225">
                  <c:v>0.223110544453723</c:v>
                </c:pt>
                <c:pt idx="226">
                  <c:v>0.224877625239605</c:v>
                </c:pt>
                <c:pt idx="227">
                  <c:v>0.226649563626912</c:v>
                </c:pt>
                <c:pt idx="228">
                  <c:v>0.22842632987233</c:v>
                </c:pt>
                <c:pt idx="229">
                  <c:v>0.230207894145179</c:v>
                </c:pt>
                <c:pt idx="230">
                  <c:v>0.231994226526868</c:v>
                </c:pt>
                <c:pt idx="231">
                  <c:v>0.233785297010342</c:v>
                </c:pt>
                <c:pt idx="232">
                  <c:v>0.235581075499547</c:v>
                </c:pt>
                <c:pt idx="233">
                  <c:v>0.237381531808881</c:v>
                </c:pt>
                <c:pt idx="234">
                  <c:v>0.239186635662666</c:v>
                </c:pt>
                <c:pt idx="235">
                  <c:v>0.240996356694608</c:v>
                </c:pt>
                <c:pt idx="236">
                  <c:v>0.24281066444727</c:v>
                </c:pt>
                <c:pt idx="237">
                  <c:v>0.244629528371544</c:v>
                </c:pt>
                <c:pt idx="238">
                  <c:v>0.24645291782613</c:v>
                </c:pt>
                <c:pt idx="239">
                  <c:v>0.248280802077011</c:v>
                </c:pt>
                <c:pt idx="240">
                  <c:v>0.250113150296941</c:v>
                </c:pt>
                <c:pt idx="241">
                  <c:v>0.251949931564929</c:v>
                </c:pt>
                <c:pt idx="242">
                  <c:v>0.253791114865728</c:v>
                </c:pt>
                <c:pt idx="243">
                  <c:v>0.255636669089333</c:v>
                </c:pt>
                <c:pt idx="244">
                  <c:v>0.25748656303047</c:v>
                </c:pt>
                <c:pt idx="245">
                  <c:v>0.259340765388105</c:v>
                </c:pt>
                <c:pt idx="246">
                  <c:v>0.261199244764939</c:v>
                </c:pt>
                <c:pt idx="247">
                  <c:v>0.263061969666922</c:v>
                </c:pt>
                <c:pt idx="248">
                  <c:v>0.264928908502756</c:v>
                </c:pt>
                <c:pt idx="249">
                  <c:v>0.266800029583418</c:v>
                </c:pt>
                <c:pt idx="250">
                  <c:v>0.268675301121669</c:v>
                </c:pt>
                <c:pt idx="251">
                  <c:v>0.270554691231578</c:v>
                </c:pt>
                <c:pt idx="252">
                  <c:v>0.272438167928048</c:v>
                </c:pt>
                <c:pt idx="253">
                  <c:v>0.274325699126341</c:v>
                </c:pt>
                <c:pt idx="254">
                  <c:v>0.27621725264161</c:v>
                </c:pt>
                <c:pt idx="255">
                  <c:v>0.278112796188435</c:v>
                </c:pt>
                <c:pt idx="256">
                  <c:v>0.280012297380359</c:v>
                </c:pt>
                <c:pt idx="257">
                  <c:v>0.281915723729434</c:v>
                </c:pt>
                <c:pt idx="258">
                  <c:v>0.28382304264576</c:v>
                </c:pt>
                <c:pt idx="259">
                  <c:v>0.285734221437042</c:v>
                </c:pt>
                <c:pt idx="260">
                  <c:v>0.287649227308136</c:v>
                </c:pt>
                <c:pt idx="261">
                  <c:v>0.289568027360609</c:v>
                </c:pt>
                <c:pt idx="262">
                  <c:v>0.291490588592299</c:v>
                </c:pt>
                <c:pt idx="263">
                  <c:v>0.293416877896875</c:v>
                </c:pt>
                <c:pt idx="264">
                  <c:v>0.295346862063408</c:v>
                </c:pt>
                <c:pt idx="265">
                  <c:v>0.297280507775942</c:v>
                </c:pt>
                <c:pt idx="266">
                  <c:v>0.299217781613065</c:v>
                </c:pt>
                <c:pt idx="267">
                  <c:v>0.301158650047491</c:v>
                </c:pt>
                <c:pt idx="268">
                  <c:v>0.303103079445641</c:v>
                </c:pt>
                <c:pt idx="269">
                  <c:v>0.305051036067227</c:v>
                </c:pt>
                <c:pt idx="270">
                  <c:v>0.307002486064844</c:v>
                </c:pt>
                <c:pt idx="271">
                  <c:v>0.308957395483561</c:v>
                </c:pt>
                <c:pt idx="272">
                  <c:v>0.310915730260521</c:v>
                </c:pt>
                <c:pt idx="273">
                  <c:v>0.312877456224538</c:v>
                </c:pt>
                <c:pt idx="274">
                  <c:v>0.314842539095706</c:v>
                </c:pt>
                <c:pt idx="275">
                  <c:v>0.316810944485003</c:v>
                </c:pt>
                <c:pt idx="276">
                  <c:v>0.318782637893907</c:v>
                </c:pt>
                <c:pt idx="277">
                  <c:v>0.32075758471401</c:v>
                </c:pt>
                <c:pt idx="278">
                  <c:v>0.322735750226639</c:v>
                </c:pt>
                <c:pt idx="279">
                  <c:v>0.324717099602479</c:v>
                </c:pt>
                <c:pt idx="280">
                  <c:v>0.326701597901202</c:v>
                </c:pt>
                <c:pt idx="281">
                  <c:v>0.328689210071098</c:v>
                </c:pt>
                <c:pt idx="282">
                  <c:v>0.33067990094871</c:v>
                </c:pt>
                <c:pt idx="283">
                  <c:v>0.332673635258477</c:v>
                </c:pt>
                <c:pt idx="284">
                  <c:v>0.334670377612371</c:v>
                </c:pt>
                <c:pt idx="285">
                  <c:v>0.336670092509553</c:v>
                </c:pt>
                <c:pt idx="286">
                  <c:v>0.338672744336016</c:v>
                </c:pt>
                <c:pt idx="287">
                  <c:v>0.340678297364248</c:v>
                </c:pt>
                <c:pt idx="288">
                  <c:v>0.342686715752885</c:v>
                </c:pt>
                <c:pt idx="289">
                  <c:v>0.344697963546381</c:v>
                </c:pt>
                <c:pt idx="290">
                  <c:v>0.346712004674671</c:v>
                </c:pt>
                <c:pt idx="291">
                  <c:v>0.348728802952845</c:v>
                </c:pt>
                <c:pt idx="292">
                  <c:v>0.350748322080822</c:v>
                </c:pt>
                <c:pt idx="293">
                  <c:v>0.352770525643032</c:v>
                </c:pt>
                <c:pt idx="294">
                  <c:v>0.3547953771081</c:v>
                </c:pt>
                <c:pt idx="295">
                  <c:v>0.356822839828531</c:v>
                </c:pt>
                <c:pt idx="296">
                  <c:v>0.358852877040409</c:v>
                </c:pt>
                <c:pt idx="297">
                  <c:v>0.360885451863086</c:v>
                </c:pt>
                <c:pt idx="298">
                  <c:v>0.362920527298887</c:v>
                </c:pt>
                <c:pt idx="299">
                  <c:v>0.364958066232815</c:v>
                </c:pt>
              </c:numCache>
            </c:numRef>
          </c:yVal>
          <c:smooth val="1"/>
        </c:ser>
        <c:axId val="84371142"/>
        <c:axId val="71532080"/>
      </c:scatterChart>
      <c:valAx>
        <c:axId val="843711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y(Fin semispan), in</a:t>
                </a:r>
              </a:p>
            </c:rich>
          </c:tx>
          <c:layout>
            <c:manualLayout>
              <c:xMode val="edge"/>
              <c:yMode val="edge"/>
              <c:x val="0.38034385640422"/>
              <c:y val="0.88922439824001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532080"/>
        <c:crossesAt val="0"/>
        <c:crossBetween val="midCat"/>
      </c:valAx>
      <c:valAx>
        <c:axId val="71532080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</a:t>
                </a:r>
              </a:p>
            </c:rich>
          </c:tx>
          <c:layout>
            <c:manualLayout>
              <c:xMode val="edge"/>
              <c:yMode val="edge"/>
              <c:x val="0.0105090588086931"/>
              <c:y val="0.50582348373738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371142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49972676447097"/>
          <c:y val="0.512466568889656"/>
          <c:w val="0.127537937702299"/>
          <c:h val="0.060909326201363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200" b="1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Function P(y)</a:t>
            </a:r>
          </a:p>
        </c:rich>
      </c:tx>
      <c:layout>
        <c:manualLayout>
          <c:xMode val="edge"/>
          <c:yMode val="edge"/>
          <c:x val="0.419529155495979"/>
          <c:y val="0.030325375610655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2583780160858"/>
          <c:y val="0.144160752143055"/>
          <c:w val="0.800309986595174"/>
          <c:h val="0.758779611024058"/>
        </c:manualLayout>
      </c:layout>
      <c:scatterChart>
        <c:scatterStyle val="line"/>
        <c:varyColors val="0"/>
        <c:ser>
          <c:idx val="0"/>
          <c:order val="0"/>
          <c:tx>
            <c:strRef>
              <c:f>InputFinSA!$D$9</c:f>
              <c:strCache>
                <c:ptCount val="1"/>
                <c:pt idx="0">
                  <c:v>P(RK4), 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InputFinSA!$B$10:$B$8000</c:f>
              <c:numCache>
                <c:formatCode>General</c:formatCode>
                <c:ptCount val="7991"/>
                <c:pt idx="0">
                  <c:v>12.5</c:v>
                </c:pt>
                <c:pt idx="1">
                  <c:v>12.590635451505</c:v>
                </c:pt>
                <c:pt idx="2">
                  <c:v>12.68127090301</c:v>
                </c:pt>
                <c:pt idx="3">
                  <c:v>12.7719063545151</c:v>
                </c:pt>
                <c:pt idx="4">
                  <c:v>12.8625418060201</c:v>
                </c:pt>
                <c:pt idx="5">
                  <c:v>12.9531772575251</c:v>
                </c:pt>
                <c:pt idx="6">
                  <c:v>13.0438127090301</c:v>
                </c:pt>
                <c:pt idx="7">
                  <c:v>13.1344481605351</c:v>
                </c:pt>
                <c:pt idx="8">
                  <c:v>13.2250836120401</c:v>
                </c:pt>
                <c:pt idx="9">
                  <c:v>13.3157190635452</c:v>
                </c:pt>
                <c:pt idx="10">
                  <c:v>13.4063545150502</c:v>
                </c:pt>
                <c:pt idx="11">
                  <c:v>13.4969899665552</c:v>
                </c:pt>
                <c:pt idx="12">
                  <c:v>13.5876254180602</c:v>
                </c:pt>
                <c:pt idx="13">
                  <c:v>13.6782608695652</c:v>
                </c:pt>
                <c:pt idx="14">
                  <c:v>13.7688963210702</c:v>
                </c:pt>
                <c:pt idx="15">
                  <c:v>13.8595317725753</c:v>
                </c:pt>
                <c:pt idx="16">
                  <c:v>13.9501672240803</c:v>
                </c:pt>
                <c:pt idx="17">
                  <c:v>14.0408026755853</c:v>
                </c:pt>
                <c:pt idx="18">
                  <c:v>14.1314381270903</c:v>
                </c:pt>
                <c:pt idx="19">
                  <c:v>14.2220735785953</c:v>
                </c:pt>
                <c:pt idx="20">
                  <c:v>14.3127090301003</c:v>
                </c:pt>
                <c:pt idx="21">
                  <c:v>14.4033444816054</c:v>
                </c:pt>
                <c:pt idx="22">
                  <c:v>14.4939799331104</c:v>
                </c:pt>
                <c:pt idx="23">
                  <c:v>14.5846153846154</c:v>
                </c:pt>
                <c:pt idx="24">
                  <c:v>14.6752508361204</c:v>
                </c:pt>
                <c:pt idx="25">
                  <c:v>14.7658862876254</c:v>
                </c:pt>
                <c:pt idx="26">
                  <c:v>14.8565217391304</c:v>
                </c:pt>
                <c:pt idx="27">
                  <c:v>14.9471571906355</c:v>
                </c:pt>
                <c:pt idx="28">
                  <c:v>15.0377926421405</c:v>
                </c:pt>
                <c:pt idx="29">
                  <c:v>15.1284280936455</c:v>
                </c:pt>
                <c:pt idx="30">
                  <c:v>15.2190635451505</c:v>
                </c:pt>
                <c:pt idx="31">
                  <c:v>15.3096989966555</c:v>
                </c:pt>
                <c:pt idx="32">
                  <c:v>15.4003344481605</c:v>
                </c:pt>
                <c:pt idx="33">
                  <c:v>15.4909698996656</c:v>
                </c:pt>
                <c:pt idx="34">
                  <c:v>15.5816053511706</c:v>
                </c:pt>
                <c:pt idx="35">
                  <c:v>15.6722408026756</c:v>
                </c:pt>
                <c:pt idx="36">
                  <c:v>15.7628762541806</c:v>
                </c:pt>
                <c:pt idx="37">
                  <c:v>15.8535117056856</c:v>
                </c:pt>
                <c:pt idx="38">
                  <c:v>15.9441471571906</c:v>
                </c:pt>
                <c:pt idx="39">
                  <c:v>16.0347826086957</c:v>
                </c:pt>
                <c:pt idx="40">
                  <c:v>16.1254180602007</c:v>
                </c:pt>
                <c:pt idx="41">
                  <c:v>16.2160535117057</c:v>
                </c:pt>
                <c:pt idx="42">
                  <c:v>16.3066889632107</c:v>
                </c:pt>
                <c:pt idx="43">
                  <c:v>16.3973244147157</c:v>
                </c:pt>
                <c:pt idx="44">
                  <c:v>16.4879598662207</c:v>
                </c:pt>
                <c:pt idx="45">
                  <c:v>16.5785953177258</c:v>
                </c:pt>
                <c:pt idx="46">
                  <c:v>16.6692307692308</c:v>
                </c:pt>
                <c:pt idx="47">
                  <c:v>16.7598662207358</c:v>
                </c:pt>
                <c:pt idx="48">
                  <c:v>16.8505016722408</c:v>
                </c:pt>
                <c:pt idx="49">
                  <c:v>16.9411371237458</c:v>
                </c:pt>
                <c:pt idx="50">
                  <c:v>17.0317725752508</c:v>
                </c:pt>
                <c:pt idx="51">
                  <c:v>17.1224080267559</c:v>
                </c:pt>
                <c:pt idx="52">
                  <c:v>17.2130434782609</c:v>
                </c:pt>
                <c:pt idx="53">
                  <c:v>17.3036789297659</c:v>
                </c:pt>
                <c:pt idx="54">
                  <c:v>17.3943143812709</c:v>
                </c:pt>
                <c:pt idx="55">
                  <c:v>17.4849498327759</c:v>
                </c:pt>
                <c:pt idx="56">
                  <c:v>17.5755852842809</c:v>
                </c:pt>
                <c:pt idx="57">
                  <c:v>17.666220735786</c:v>
                </c:pt>
                <c:pt idx="58">
                  <c:v>17.756856187291</c:v>
                </c:pt>
                <c:pt idx="59">
                  <c:v>17.847491638796</c:v>
                </c:pt>
                <c:pt idx="60">
                  <c:v>17.938127090301</c:v>
                </c:pt>
                <c:pt idx="61">
                  <c:v>18.028762541806</c:v>
                </c:pt>
                <c:pt idx="62">
                  <c:v>18.119397993311</c:v>
                </c:pt>
                <c:pt idx="63">
                  <c:v>18.2100334448161</c:v>
                </c:pt>
                <c:pt idx="64">
                  <c:v>18.3006688963211</c:v>
                </c:pt>
                <c:pt idx="65">
                  <c:v>18.3913043478261</c:v>
                </c:pt>
                <c:pt idx="66">
                  <c:v>18.4819397993311</c:v>
                </c:pt>
                <c:pt idx="67">
                  <c:v>18.5725752508361</c:v>
                </c:pt>
                <c:pt idx="68">
                  <c:v>18.6632107023411</c:v>
                </c:pt>
                <c:pt idx="69">
                  <c:v>18.7538461538462</c:v>
                </c:pt>
                <c:pt idx="70">
                  <c:v>18.8444816053512</c:v>
                </c:pt>
                <c:pt idx="71">
                  <c:v>18.9351170568562</c:v>
                </c:pt>
                <c:pt idx="72">
                  <c:v>19.0257525083612</c:v>
                </c:pt>
                <c:pt idx="73">
                  <c:v>19.1163879598662</c:v>
                </c:pt>
                <c:pt idx="74">
                  <c:v>19.2070234113712</c:v>
                </c:pt>
                <c:pt idx="75">
                  <c:v>19.2976588628763</c:v>
                </c:pt>
                <c:pt idx="76">
                  <c:v>19.3882943143813</c:v>
                </c:pt>
                <c:pt idx="77">
                  <c:v>19.4789297658863</c:v>
                </c:pt>
                <c:pt idx="78">
                  <c:v>19.5695652173913</c:v>
                </c:pt>
                <c:pt idx="79">
                  <c:v>19.6602006688963</c:v>
                </c:pt>
                <c:pt idx="80">
                  <c:v>19.7508361204013</c:v>
                </c:pt>
                <c:pt idx="81">
                  <c:v>19.8414715719064</c:v>
                </c:pt>
                <c:pt idx="82">
                  <c:v>19.9321070234114</c:v>
                </c:pt>
                <c:pt idx="83">
                  <c:v>20.0227424749164</c:v>
                </c:pt>
                <c:pt idx="84">
                  <c:v>20.1133779264214</c:v>
                </c:pt>
                <c:pt idx="85">
                  <c:v>20.2040133779264</c:v>
                </c:pt>
                <c:pt idx="86">
                  <c:v>20.2946488294314</c:v>
                </c:pt>
                <c:pt idx="87">
                  <c:v>20.3852842809365</c:v>
                </c:pt>
                <c:pt idx="88">
                  <c:v>20.4759197324415</c:v>
                </c:pt>
                <c:pt idx="89">
                  <c:v>20.5665551839465</c:v>
                </c:pt>
                <c:pt idx="90">
                  <c:v>20.6571906354515</c:v>
                </c:pt>
                <c:pt idx="91">
                  <c:v>20.7478260869565</c:v>
                </c:pt>
                <c:pt idx="92">
                  <c:v>20.8384615384615</c:v>
                </c:pt>
                <c:pt idx="93">
                  <c:v>20.9290969899666</c:v>
                </c:pt>
                <c:pt idx="94">
                  <c:v>21.0197324414716</c:v>
                </c:pt>
                <c:pt idx="95">
                  <c:v>21.1103678929766</c:v>
                </c:pt>
                <c:pt idx="96">
                  <c:v>21.2010033444816</c:v>
                </c:pt>
                <c:pt idx="97">
                  <c:v>21.2916387959866</c:v>
                </c:pt>
                <c:pt idx="98">
                  <c:v>21.3822742474916</c:v>
                </c:pt>
                <c:pt idx="99">
                  <c:v>21.4729096989967</c:v>
                </c:pt>
                <c:pt idx="100">
                  <c:v>21.5635451505017</c:v>
                </c:pt>
                <c:pt idx="101">
                  <c:v>21.6541806020067</c:v>
                </c:pt>
                <c:pt idx="102">
                  <c:v>21.7448160535117</c:v>
                </c:pt>
                <c:pt idx="103">
                  <c:v>21.8354515050167</c:v>
                </c:pt>
                <c:pt idx="104">
                  <c:v>21.9260869565217</c:v>
                </c:pt>
                <c:pt idx="105">
                  <c:v>22.0167224080268</c:v>
                </c:pt>
                <c:pt idx="106">
                  <c:v>22.1073578595318</c:v>
                </c:pt>
                <c:pt idx="107">
                  <c:v>22.1979933110368</c:v>
                </c:pt>
                <c:pt idx="108">
                  <c:v>22.2886287625418</c:v>
                </c:pt>
                <c:pt idx="109">
                  <c:v>22.3792642140468</c:v>
                </c:pt>
                <c:pt idx="110">
                  <c:v>22.4698996655518</c:v>
                </c:pt>
                <c:pt idx="111">
                  <c:v>22.5605351170569</c:v>
                </c:pt>
                <c:pt idx="112">
                  <c:v>22.6511705685619</c:v>
                </c:pt>
                <c:pt idx="113">
                  <c:v>22.7418060200669</c:v>
                </c:pt>
                <c:pt idx="114">
                  <c:v>22.8324414715719</c:v>
                </c:pt>
                <c:pt idx="115">
                  <c:v>22.9230769230769</c:v>
                </c:pt>
                <c:pt idx="116">
                  <c:v>23.0137123745819</c:v>
                </c:pt>
                <c:pt idx="117">
                  <c:v>23.104347826087</c:v>
                </c:pt>
                <c:pt idx="118">
                  <c:v>23.194983277592</c:v>
                </c:pt>
                <c:pt idx="119">
                  <c:v>23.285618729097</c:v>
                </c:pt>
                <c:pt idx="120">
                  <c:v>23.376254180602</c:v>
                </c:pt>
                <c:pt idx="121">
                  <c:v>23.466889632107</c:v>
                </c:pt>
                <c:pt idx="122">
                  <c:v>23.557525083612</c:v>
                </c:pt>
                <c:pt idx="123">
                  <c:v>23.6481605351171</c:v>
                </c:pt>
                <c:pt idx="124">
                  <c:v>23.7387959866221</c:v>
                </c:pt>
                <c:pt idx="125">
                  <c:v>23.8294314381271</c:v>
                </c:pt>
                <c:pt idx="126">
                  <c:v>23.9200668896321</c:v>
                </c:pt>
                <c:pt idx="127">
                  <c:v>24.0107023411371</c:v>
                </c:pt>
                <c:pt idx="128">
                  <c:v>24.1013377926421</c:v>
                </c:pt>
                <c:pt idx="129">
                  <c:v>24.1919732441472</c:v>
                </c:pt>
                <c:pt idx="130">
                  <c:v>24.2826086956522</c:v>
                </c:pt>
                <c:pt idx="131">
                  <c:v>24.3732441471572</c:v>
                </c:pt>
                <c:pt idx="132">
                  <c:v>24.4638795986622</c:v>
                </c:pt>
                <c:pt idx="133">
                  <c:v>24.5545150501672</c:v>
                </c:pt>
                <c:pt idx="134">
                  <c:v>24.6451505016722</c:v>
                </c:pt>
                <c:pt idx="135">
                  <c:v>24.7357859531773</c:v>
                </c:pt>
                <c:pt idx="136">
                  <c:v>24.8264214046823</c:v>
                </c:pt>
                <c:pt idx="137">
                  <c:v>24.9170568561873</c:v>
                </c:pt>
                <c:pt idx="138">
                  <c:v>25.0076923076923</c:v>
                </c:pt>
                <c:pt idx="139">
                  <c:v>25.0983277591973</c:v>
                </c:pt>
                <c:pt idx="140">
                  <c:v>25.1889632107023</c:v>
                </c:pt>
                <c:pt idx="141">
                  <c:v>25.2795986622074</c:v>
                </c:pt>
                <c:pt idx="142">
                  <c:v>25.3702341137124</c:v>
                </c:pt>
                <c:pt idx="143">
                  <c:v>25.4608695652174</c:v>
                </c:pt>
                <c:pt idx="144">
                  <c:v>25.5515050167224</c:v>
                </c:pt>
                <c:pt idx="145">
                  <c:v>25.6421404682274</c:v>
                </c:pt>
                <c:pt idx="146">
                  <c:v>25.7327759197324</c:v>
                </c:pt>
                <c:pt idx="147">
                  <c:v>25.8234113712375</c:v>
                </c:pt>
                <c:pt idx="148">
                  <c:v>25.9140468227425</c:v>
                </c:pt>
                <c:pt idx="149">
                  <c:v>26.0046822742475</c:v>
                </c:pt>
                <c:pt idx="150">
                  <c:v>26.0953177257525</c:v>
                </c:pt>
                <c:pt idx="151">
                  <c:v>26.1859531772575</c:v>
                </c:pt>
                <c:pt idx="152">
                  <c:v>26.2765886287625</c:v>
                </c:pt>
                <c:pt idx="153">
                  <c:v>26.3672240802676</c:v>
                </c:pt>
                <c:pt idx="154">
                  <c:v>26.4578595317726</c:v>
                </c:pt>
                <c:pt idx="155">
                  <c:v>26.5484949832776</c:v>
                </c:pt>
                <c:pt idx="156">
                  <c:v>26.6391304347826</c:v>
                </c:pt>
                <c:pt idx="157">
                  <c:v>26.7297658862876</c:v>
                </c:pt>
                <c:pt idx="158">
                  <c:v>26.8204013377926</c:v>
                </c:pt>
                <c:pt idx="159">
                  <c:v>26.9110367892977</c:v>
                </c:pt>
                <c:pt idx="160">
                  <c:v>27.0016722408027</c:v>
                </c:pt>
                <c:pt idx="161">
                  <c:v>27.0923076923077</c:v>
                </c:pt>
                <c:pt idx="162">
                  <c:v>27.1829431438127</c:v>
                </c:pt>
                <c:pt idx="163">
                  <c:v>27.2735785953177</c:v>
                </c:pt>
                <c:pt idx="164">
                  <c:v>27.3642140468227</c:v>
                </c:pt>
                <c:pt idx="165">
                  <c:v>27.4548494983278</c:v>
                </c:pt>
                <c:pt idx="166">
                  <c:v>27.5454849498328</c:v>
                </c:pt>
                <c:pt idx="167">
                  <c:v>27.6361204013378</c:v>
                </c:pt>
                <c:pt idx="168">
                  <c:v>27.7267558528428</c:v>
                </c:pt>
                <c:pt idx="169">
                  <c:v>27.8173913043478</c:v>
                </c:pt>
                <c:pt idx="170">
                  <c:v>27.9080267558528</c:v>
                </c:pt>
                <c:pt idx="171">
                  <c:v>27.9986622073579</c:v>
                </c:pt>
                <c:pt idx="172">
                  <c:v>28.0892976588629</c:v>
                </c:pt>
                <c:pt idx="173">
                  <c:v>28.1799331103679</c:v>
                </c:pt>
                <c:pt idx="174">
                  <c:v>28.2705685618729</c:v>
                </c:pt>
                <c:pt idx="175">
                  <c:v>28.3612040133779</c:v>
                </c:pt>
                <c:pt idx="176">
                  <c:v>28.4518394648829</c:v>
                </c:pt>
                <c:pt idx="177">
                  <c:v>28.542474916388</c:v>
                </c:pt>
                <c:pt idx="178">
                  <c:v>28.633110367893</c:v>
                </c:pt>
                <c:pt idx="179">
                  <c:v>28.723745819398</c:v>
                </c:pt>
                <c:pt idx="180">
                  <c:v>28.814381270903</c:v>
                </c:pt>
                <c:pt idx="181">
                  <c:v>28.905016722408</c:v>
                </c:pt>
                <c:pt idx="182">
                  <c:v>28.995652173913</c:v>
                </c:pt>
                <c:pt idx="183">
                  <c:v>29.0862876254181</c:v>
                </c:pt>
                <c:pt idx="184">
                  <c:v>29.1769230769231</c:v>
                </c:pt>
                <c:pt idx="185">
                  <c:v>29.2675585284281</c:v>
                </c:pt>
                <c:pt idx="186">
                  <c:v>29.3581939799331</c:v>
                </c:pt>
                <c:pt idx="187">
                  <c:v>29.4488294314381</c:v>
                </c:pt>
                <c:pt idx="188">
                  <c:v>29.5394648829431</c:v>
                </c:pt>
                <c:pt idx="189">
                  <c:v>29.6301003344482</c:v>
                </c:pt>
                <c:pt idx="190">
                  <c:v>29.7207357859532</c:v>
                </c:pt>
                <c:pt idx="191">
                  <c:v>29.8113712374582</c:v>
                </c:pt>
                <c:pt idx="192">
                  <c:v>29.9020066889632</c:v>
                </c:pt>
                <c:pt idx="193">
                  <c:v>29.9926421404682</c:v>
                </c:pt>
                <c:pt idx="194">
                  <c:v>30.0832775919732</c:v>
                </c:pt>
                <c:pt idx="195">
                  <c:v>30.1739130434783</c:v>
                </c:pt>
                <c:pt idx="196">
                  <c:v>30.2645484949833</c:v>
                </c:pt>
                <c:pt idx="197">
                  <c:v>30.3551839464883</c:v>
                </c:pt>
                <c:pt idx="198">
                  <c:v>30.4458193979933</c:v>
                </c:pt>
                <c:pt idx="199">
                  <c:v>30.5364548494983</c:v>
                </c:pt>
                <c:pt idx="200">
                  <c:v>30.6270903010033</c:v>
                </c:pt>
                <c:pt idx="201">
                  <c:v>30.7177257525084</c:v>
                </c:pt>
                <c:pt idx="202">
                  <c:v>30.8083612040134</c:v>
                </c:pt>
                <c:pt idx="203">
                  <c:v>30.8989966555184</c:v>
                </c:pt>
                <c:pt idx="204">
                  <c:v>30.9896321070234</c:v>
                </c:pt>
                <c:pt idx="205">
                  <c:v>31.0802675585284</c:v>
                </c:pt>
                <c:pt idx="206">
                  <c:v>31.1709030100334</c:v>
                </c:pt>
                <c:pt idx="207">
                  <c:v>31.2615384615385</c:v>
                </c:pt>
                <c:pt idx="208">
                  <c:v>31.3521739130435</c:v>
                </c:pt>
                <c:pt idx="209">
                  <c:v>31.4428093645485</c:v>
                </c:pt>
                <c:pt idx="210">
                  <c:v>31.5334448160535</c:v>
                </c:pt>
                <c:pt idx="211">
                  <c:v>31.6240802675585</c:v>
                </c:pt>
                <c:pt idx="212">
                  <c:v>31.7147157190636</c:v>
                </c:pt>
                <c:pt idx="213">
                  <c:v>31.8053511705686</c:v>
                </c:pt>
                <c:pt idx="214">
                  <c:v>31.8959866220736</c:v>
                </c:pt>
                <c:pt idx="215">
                  <c:v>31.9866220735786</c:v>
                </c:pt>
                <c:pt idx="216">
                  <c:v>32.0772575250836</c:v>
                </c:pt>
                <c:pt idx="217">
                  <c:v>32.1678929765886</c:v>
                </c:pt>
                <c:pt idx="218">
                  <c:v>32.2585284280937</c:v>
                </c:pt>
                <c:pt idx="219">
                  <c:v>32.3491638795987</c:v>
                </c:pt>
                <c:pt idx="220">
                  <c:v>32.4397993311037</c:v>
                </c:pt>
                <c:pt idx="221">
                  <c:v>32.5304347826087</c:v>
                </c:pt>
                <c:pt idx="222">
                  <c:v>32.6210702341137</c:v>
                </c:pt>
                <c:pt idx="223">
                  <c:v>32.7117056856187</c:v>
                </c:pt>
                <c:pt idx="224">
                  <c:v>32.8023411371238</c:v>
                </c:pt>
                <c:pt idx="225">
                  <c:v>32.8929765886288</c:v>
                </c:pt>
                <c:pt idx="226">
                  <c:v>32.9836120401338</c:v>
                </c:pt>
                <c:pt idx="227">
                  <c:v>33.0742474916388</c:v>
                </c:pt>
                <c:pt idx="228">
                  <c:v>33.1648829431438</c:v>
                </c:pt>
                <c:pt idx="229">
                  <c:v>33.2555183946488</c:v>
                </c:pt>
                <c:pt idx="230">
                  <c:v>33.3461538461539</c:v>
                </c:pt>
                <c:pt idx="231">
                  <c:v>33.4367892976589</c:v>
                </c:pt>
                <c:pt idx="232">
                  <c:v>33.5274247491639</c:v>
                </c:pt>
                <c:pt idx="233">
                  <c:v>33.6180602006689</c:v>
                </c:pt>
                <c:pt idx="234">
                  <c:v>33.7086956521739</c:v>
                </c:pt>
                <c:pt idx="235">
                  <c:v>33.7993311036789</c:v>
                </c:pt>
                <c:pt idx="236">
                  <c:v>33.8899665551839</c:v>
                </c:pt>
                <c:pt idx="237">
                  <c:v>33.980602006689</c:v>
                </c:pt>
                <c:pt idx="238">
                  <c:v>34.071237458194</c:v>
                </c:pt>
                <c:pt idx="239">
                  <c:v>34.161872909699</c:v>
                </c:pt>
                <c:pt idx="240">
                  <c:v>34.252508361204</c:v>
                </c:pt>
                <c:pt idx="241">
                  <c:v>34.343143812709</c:v>
                </c:pt>
                <c:pt idx="242">
                  <c:v>34.433779264214</c:v>
                </c:pt>
                <c:pt idx="243">
                  <c:v>34.5244147157191</c:v>
                </c:pt>
                <c:pt idx="244">
                  <c:v>34.6150501672241</c:v>
                </c:pt>
                <c:pt idx="245">
                  <c:v>34.7056856187291</c:v>
                </c:pt>
                <c:pt idx="246">
                  <c:v>34.7963210702341</c:v>
                </c:pt>
                <c:pt idx="247">
                  <c:v>34.8869565217391</c:v>
                </c:pt>
                <c:pt idx="248">
                  <c:v>34.9775919732441</c:v>
                </c:pt>
                <c:pt idx="249">
                  <c:v>35.0682274247492</c:v>
                </c:pt>
                <c:pt idx="250">
                  <c:v>35.1588628762542</c:v>
                </c:pt>
                <c:pt idx="251">
                  <c:v>35.2494983277592</c:v>
                </c:pt>
                <c:pt idx="252">
                  <c:v>35.3401337792642</c:v>
                </c:pt>
                <c:pt idx="253">
                  <c:v>35.4307692307692</c:v>
                </c:pt>
                <c:pt idx="254">
                  <c:v>35.5214046822743</c:v>
                </c:pt>
                <c:pt idx="255">
                  <c:v>35.6120401337793</c:v>
                </c:pt>
                <c:pt idx="256">
                  <c:v>35.7026755852843</c:v>
                </c:pt>
                <c:pt idx="257">
                  <c:v>35.7933110367893</c:v>
                </c:pt>
                <c:pt idx="258">
                  <c:v>35.8839464882943</c:v>
                </c:pt>
                <c:pt idx="259">
                  <c:v>35.9745819397993</c:v>
                </c:pt>
                <c:pt idx="260">
                  <c:v>36.0652173913044</c:v>
                </c:pt>
                <c:pt idx="261">
                  <c:v>36.1558528428094</c:v>
                </c:pt>
                <c:pt idx="262">
                  <c:v>36.2464882943144</c:v>
                </c:pt>
                <c:pt idx="263">
                  <c:v>36.3371237458194</c:v>
                </c:pt>
                <c:pt idx="264">
                  <c:v>36.4277591973244</c:v>
                </c:pt>
                <c:pt idx="265">
                  <c:v>36.5183946488294</c:v>
                </c:pt>
                <c:pt idx="266">
                  <c:v>36.6090301003345</c:v>
                </c:pt>
                <c:pt idx="267">
                  <c:v>36.6996655518395</c:v>
                </c:pt>
                <c:pt idx="268">
                  <c:v>36.7903010033445</c:v>
                </c:pt>
                <c:pt idx="269">
                  <c:v>36.8809364548495</c:v>
                </c:pt>
                <c:pt idx="270">
                  <c:v>36.9715719063545</c:v>
                </c:pt>
                <c:pt idx="271">
                  <c:v>37.0622073578595</c:v>
                </c:pt>
                <c:pt idx="272">
                  <c:v>37.1528428093646</c:v>
                </c:pt>
                <c:pt idx="273">
                  <c:v>37.2434782608696</c:v>
                </c:pt>
                <c:pt idx="274">
                  <c:v>37.3341137123746</c:v>
                </c:pt>
                <c:pt idx="275">
                  <c:v>37.4247491638796</c:v>
                </c:pt>
                <c:pt idx="276">
                  <c:v>37.5153846153846</c:v>
                </c:pt>
                <c:pt idx="277">
                  <c:v>37.6060200668896</c:v>
                </c:pt>
                <c:pt idx="278">
                  <c:v>37.6966555183947</c:v>
                </c:pt>
                <c:pt idx="279">
                  <c:v>37.7872909698997</c:v>
                </c:pt>
                <c:pt idx="280">
                  <c:v>37.8779264214047</c:v>
                </c:pt>
                <c:pt idx="281">
                  <c:v>37.9685618729097</c:v>
                </c:pt>
                <c:pt idx="282">
                  <c:v>38.0591973244147</c:v>
                </c:pt>
                <c:pt idx="283">
                  <c:v>38.1498327759197</c:v>
                </c:pt>
                <c:pt idx="284">
                  <c:v>38.2404682274248</c:v>
                </c:pt>
                <c:pt idx="285">
                  <c:v>38.3311036789298</c:v>
                </c:pt>
                <c:pt idx="286">
                  <c:v>38.4217391304348</c:v>
                </c:pt>
                <c:pt idx="287">
                  <c:v>38.5123745819398</c:v>
                </c:pt>
                <c:pt idx="288">
                  <c:v>38.6030100334448</c:v>
                </c:pt>
                <c:pt idx="289">
                  <c:v>38.6936454849498</c:v>
                </c:pt>
                <c:pt idx="290">
                  <c:v>38.7842809364549</c:v>
                </c:pt>
                <c:pt idx="291">
                  <c:v>38.8749163879599</c:v>
                </c:pt>
                <c:pt idx="292">
                  <c:v>38.9655518394649</c:v>
                </c:pt>
                <c:pt idx="293">
                  <c:v>39.0561872909699</c:v>
                </c:pt>
                <c:pt idx="294">
                  <c:v>39.1468227424749</c:v>
                </c:pt>
                <c:pt idx="295">
                  <c:v>39.2374581939799</c:v>
                </c:pt>
                <c:pt idx="296">
                  <c:v>39.328093645485</c:v>
                </c:pt>
                <c:pt idx="297">
                  <c:v>39.41872909699</c:v>
                </c:pt>
                <c:pt idx="298">
                  <c:v>39.509364548495</c:v>
                </c:pt>
                <c:pt idx="299">
                  <c:v>39.6</c:v>
                </c:pt>
              </c:numCache>
            </c:numRef>
          </c:xVal>
          <c:yVal>
            <c:numRef>
              <c:f>InputFinSA!$D$9:$D$8000</c:f>
              <c:numCache>
                <c:formatCode>General</c:formatCode>
                <c:ptCount val="7992"/>
                <c:pt idx="1">
                  <c:v>0</c:v>
                </c:pt>
                <c:pt idx="2">
                  <c:v>-0.000134744966683711</c:v>
                </c:pt>
                <c:pt idx="3">
                  <c:v>-0.000404831022955518</c:v>
                </c:pt>
                <c:pt idx="4">
                  <c:v>-0.000810850295078655</c:v>
                </c:pt>
                <c:pt idx="5">
                  <c:v>-0.00135339090681242</c:v>
                </c:pt>
                <c:pt idx="6">
                  <c:v>-0.0020330369734359</c:v>
                </c:pt>
                <c:pt idx="7">
                  <c:v>-0.00285036859565868</c:v>
                </c:pt>
                <c:pt idx="8">
                  <c:v>-0.0038059618534192</c:v>
                </c:pt>
                <c:pt idx="9">
                  <c:v>-0.00490038879957112</c:v>
                </c:pt>
                <c:pt idx="10">
                  <c:v>-0.0061342174534584</c:v>
                </c:pt>
                <c:pt idx="11">
                  <c:v>-0.00750801179437954</c:v>
                </c:pt>
                <c:pt idx="12">
                  <c:v>-0.0090223317549415</c:v>
                </c:pt>
                <c:pt idx="13">
                  <c:v>-0.0106777332143039</c:v>
                </c:pt>
                <c:pt idx="14">
                  <c:v>-0.012474767991314</c:v>
                </c:pt>
                <c:pt idx="15">
                  <c:v>-0.0144139838375329</c:v>
                </c:pt>
                <c:pt idx="16">
                  <c:v>-0.0164959244301541</c:v>
                </c:pt>
                <c:pt idx="17">
                  <c:v>-0.0187211293648134</c:v>
                </c:pt>
                <c:pt idx="18">
                  <c:v>-0.0210901341482929</c:v>
                </c:pt>
                <c:pt idx="19">
                  <c:v>-0.0236034701911179</c:v>
                </c:pt>
                <c:pt idx="20">
                  <c:v>-0.0262616648000476</c:v>
                </c:pt>
                <c:pt idx="21">
                  <c:v>-0.0290652411704609</c:v>
                </c:pt>
                <c:pt idx="22">
                  <c:v>-0.0320147183786368</c:v>
                </c:pt>
                <c:pt idx="23">
                  <c:v>-0.0351106113739308</c:v>
                </c:pt>
                <c:pt idx="24">
                  <c:v>-0.038353430970847</c:v>
                </c:pt>
                <c:pt idx="25">
                  <c:v>-0.0417436838410075</c:v>
                </c:pt>
                <c:pt idx="26">
                  <c:v>-0.0452818725050185</c:v>
                </c:pt>
                <c:pt idx="27">
                  <c:v>-0.0489684953242346</c:v>
                </c:pt>
                <c:pt idx="28">
                  <c:v>-0.0528040464924208</c:v>
                </c:pt>
                <c:pt idx="29">
                  <c:v>-0.0567890160273142</c:v>
                </c:pt>
                <c:pt idx="30">
                  <c:v>-0.0609238897620846</c:v>
                </c:pt>
                <c:pt idx="31">
                  <c:v>-0.0652091493366947</c:v>
                </c:pt>
                <c:pt idx="32">
                  <c:v>-0.0696452721891619</c:v>
                </c:pt>
                <c:pt idx="33">
                  <c:v>-0.0742327315467198</c:v>
                </c:pt>
                <c:pt idx="34">
                  <c:v>-0.0789719964168822</c:v>
                </c:pt>
                <c:pt idx="35">
                  <c:v>-0.0838635315784089</c:v>
                </c:pt>
                <c:pt idx="36">
                  <c:v>-0.0889077975721739</c:v>
                </c:pt>
                <c:pt idx="37">
                  <c:v>-0.0941052506919375</c:v>
                </c:pt>
                <c:pt idx="38">
                  <c:v>-0.0994563429750214</c:v>
                </c:pt>
                <c:pt idx="39">
                  <c:v>-0.104961522192889</c:v>
                </c:pt>
                <c:pt idx="40">
                  <c:v>-0.110621231841628</c:v>
                </c:pt>
                <c:pt idx="41">
                  <c:v>-0.116435911132344</c:v>
                </c:pt>
                <c:pt idx="42">
                  <c:v>-0.122405994981452</c:v>
                </c:pt>
                <c:pt idx="43">
                  <c:v>-0.128531914000883</c:v>
                </c:pt>
                <c:pt idx="44">
                  <c:v>-0.134814094488191</c:v>
                </c:pt>
                <c:pt idx="45">
                  <c:v>-0.14125295841657</c:v>
                </c:pt>
                <c:pt idx="46">
                  <c:v>-0.147848923424779</c:v>
                </c:pt>
                <c:pt idx="47">
                  <c:v>-0.154602402806978</c:v>
                </c:pt>
                <c:pt idx="48">
                  <c:v>-0.16151380550247</c:v>
                </c:pt>
                <c:pt idx="49">
                  <c:v>-0.168583536085351</c:v>
                </c:pt>
                <c:pt idx="50">
                  <c:v>-0.17581199475408</c:v>
                </c:pt>
                <c:pt idx="51">
                  <c:v>-0.183199577320946</c:v>
                </c:pt>
                <c:pt idx="52">
                  <c:v>-0.190746675201458</c:v>
                </c:pt>
                <c:pt idx="53">
                  <c:v>-0.198453675403642</c:v>
                </c:pt>
                <c:pt idx="54">
                  <c:v>-0.206320960517251</c:v>
                </c:pt>
                <c:pt idx="55">
                  <c:v>-0.214348908702888</c:v>
                </c:pt>
                <c:pt idx="56">
                  <c:v>-0.222537893681045</c:v>
                </c:pt>
                <c:pt idx="57">
                  <c:v>-0.230888284721054</c:v>
                </c:pt>
                <c:pt idx="58">
                  <c:v>-0.23940044662995</c:v>
                </c:pt>
                <c:pt idx="59">
                  <c:v>-0.248074739741259</c:v>
                </c:pt>
                <c:pt idx="60">
                  <c:v>-0.256911519903692</c:v>
                </c:pt>
                <c:pt idx="61">
                  <c:v>-0.265911138469758</c:v>
                </c:pt>
                <c:pt idx="62">
                  <c:v>-0.275073942284301</c:v>
                </c:pt>
                <c:pt idx="63">
                  <c:v>-0.284400273672942</c:v>
                </c:pt>
                <c:pt idx="64">
                  <c:v>-0.293890470430453</c:v>
                </c:pt>
                <c:pt idx="65">
                  <c:v>-0.303544865809041</c:v>
                </c:pt>
                <c:pt idx="66">
                  <c:v>-0.313363788506551</c:v>
                </c:pt>
                <c:pt idx="67">
                  <c:v>-0.323347562654598</c:v>
                </c:pt>
                <c:pt idx="68">
                  <c:v>-0.333496507806608</c:v>
                </c:pt>
                <c:pt idx="69">
                  <c:v>-0.343810938925785</c:v>
                </c:pt>
                <c:pt idx="70">
                  <c:v>-0.354291166373008</c:v>
                </c:pt>
                <c:pt idx="71">
                  <c:v>-0.364937495894632</c:v>
                </c:pt>
                <c:pt idx="72">
                  <c:v>-0.375750228610232</c:v>
                </c:pt>
                <c:pt idx="73">
                  <c:v>-0.386729661000255</c:v>
                </c:pt>
                <c:pt idx="74">
                  <c:v>-0.397876084893604</c:v>
                </c:pt>
                <c:pt idx="75">
                  <c:v>-0.409189787455145</c:v>
                </c:pt>
                <c:pt idx="76">
                  <c:v>-0.420671051173141</c:v>
                </c:pt>
                <c:pt idx="77">
                  <c:v>-0.432320153846604</c:v>
                </c:pt>
                <c:pt idx="78">
                  <c:v>-0.444137368572588</c:v>
                </c:pt>
                <c:pt idx="79">
                  <c:v>-0.456122963733393</c:v>
                </c:pt>
                <c:pt idx="80">
                  <c:v>-0.468277202983707</c:v>
                </c:pt>
                <c:pt idx="81">
                  <c:v>-0.480600345237674</c:v>
                </c:pt>
                <c:pt idx="82">
                  <c:v>-0.49309264465589</c:v>
                </c:pt>
                <c:pt idx="83">
                  <c:v>-0.505754350632327</c:v>
                </c:pt>
                <c:pt idx="84">
                  <c:v>-0.518585707781192</c:v>
                </c:pt>
                <c:pt idx="85">
                  <c:v>-0.531586955923707</c:v>
                </c:pt>
                <c:pt idx="86">
                  <c:v>-0.544758330074835</c:v>
                </c:pt>
                <c:pt idx="87">
                  <c:v>-0.558100060429924</c:v>
                </c:pt>
                <c:pt idx="88">
                  <c:v>-0.571612372351289</c:v>
                </c:pt>
                <c:pt idx="89">
                  <c:v>-0.585295486354731</c:v>
                </c:pt>
                <c:pt idx="90">
                  <c:v>-0.59914961809598</c:v>
                </c:pt>
                <c:pt idx="91">
                  <c:v>-0.613174978357084</c:v>
                </c:pt>
                <c:pt idx="92">
                  <c:v>-0.627371773032724</c:v>
                </c:pt>
                <c:pt idx="93">
                  <c:v>-0.641740203116468</c:v>
                </c:pt>
                <c:pt idx="94">
                  <c:v>-0.656280464686959</c:v>
                </c:pt>
                <c:pt idx="95">
                  <c:v>-0.670992748894047</c:v>
                </c:pt>
                <c:pt idx="96">
                  <c:v>-0.685877241944848</c:v>
                </c:pt>
                <c:pt idx="97">
                  <c:v>-0.700934125089748</c:v>
                </c:pt>
                <c:pt idx="98">
                  <c:v>-0.716163574608344</c:v>
                </c:pt>
                <c:pt idx="99">
                  <c:v>-0.731565761795326</c:v>
                </c:pt>
                <c:pt idx="100">
                  <c:v>-0.747140852946292</c:v>
                </c:pt>
                <c:pt idx="101">
                  <c:v>-0.762889009343516</c:v>
                </c:pt>
                <c:pt idx="102">
                  <c:v>-0.778810387241643</c:v>
                </c:pt>
                <c:pt idx="103">
                  <c:v>-0.79490513785334</c:v>
                </c:pt>
                <c:pt idx="104">
                  <c:v>-0.811173407334877</c:v>
                </c:pt>
                <c:pt idx="105">
                  <c:v>-0.827615336771657</c:v>
                </c:pt>
                <c:pt idx="106">
                  <c:v>-0.844231062163695</c:v>
                </c:pt>
                <c:pt idx="107">
                  <c:v>-0.86102071441103</c:v>
                </c:pt>
                <c:pt idx="108">
                  <c:v>-0.877984419299089</c:v>
                </c:pt>
                <c:pt idx="109">
                  <c:v>-0.895122297484001</c:v>
                </c:pt>
                <c:pt idx="110">
                  <c:v>-0.912434464477846</c:v>
                </c:pt>
                <c:pt idx="111">
                  <c:v>-0.929921030633861</c:v>
                </c:pt>
                <c:pt idx="112">
                  <c:v>-0.947582101131589</c:v>
                </c:pt>
                <c:pt idx="113">
                  <c:v>-0.965417775961979</c:v>
                </c:pt>
                <c:pt idx="114">
                  <c:v>-0.983428149912432</c:v>
                </c:pt>
                <c:pt idx="115">
                  <c:v>-1.0016133125518</c:v>
                </c:pt>
                <c:pt idx="116">
                  <c:v>-1.01997334821533</c:v>
                </c:pt>
                <c:pt idx="117">
                  <c:v>-1.03850833598957</c:v>
                </c:pt>
                <c:pt idx="118">
                  <c:v>-1.05721834969723</c:v>
                </c:pt>
                <c:pt idx="119">
                  <c:v>-1.07610345788193</c:v>
                </c:pt>
                <c:pt idx="120">
                  <c:v>-1.09516372379304</c:v>
                </c:pt>
                <c:pt idx="121">
                  <c:v>-1.11439920537034</c:v>
                </c:pt>
                <c:pt idx="122">
                  <c:v>-1.13380995522867</c:v>
                </c:pt>
                <c:pt idx="123">
                  <c:v>-1.1533960206426</c:v>
                </c:pt>
                <c:pt idx="124">
                  <c:v>-1.17315744353096</c:v>
                </c:pt>
                <c:pt idx="125">
                  <c:v>-1.1930942604414</c:v>
                </c:pt>
                <c:pt idx="126">
                  <c:v>-1.21320650253487</c:v>
                </c:pt>
                <c:pt idx="127">
                  <c:v>-1.23349419557005</c:v>
                </c:pt>
                <c:pt idx="128">
                  <c:v>-1.25395735988781</c:v>
                </c:pt>
                <c:pt idx="129">
                  <c:v>-1.27459601039552</c:v>
                </c:pt>
                <c:pt idx="130">
                  <c:v>-1.29541015655137</c:v>
                </c:pt>
                <c:pt idx="131">
                  <c:v>-1.31639980234873</c:v>
                </c:pt>
                <c:pt idx="132">
                  <c:v>-1.33756494630032</c:v>
                </c:pt>
                <c:pt idx="133">
                  <c:v>-1.35890558142244</c:v>
                </c:pt>
                <c:pt idx="134">
                  <c:v>-1.38042169521919</c:v>
                </c:pt>
                <c:pt idx="135">
                  <c:v>-1.40211326966654</c:v>
                </c:pt>
                <c:pt idx="136">
                  <c:v>-1.42398028119646</c:v>
                </c:pt>
                <c:pt idx="137">
                  <c:v>-1.44602270068099</c:v>
                </c:pt>
                <c:pt idx="138">
                  <c:v>-1.46824049341629</c:v>
                </c:pt>
                <c:pt idx="139">
                  <c:v>-1.49063361910657</c:v>
                </c:pt>
                <c:pt idx="140">
                  <c:v>-1.51320203184815</c:v>
                </c:pt>
                <c:pt idx="141">
                  <c:v>-1.53594568011332</c:v>
                </c:pt>
                <c:pt idx="142">
                  <c:v>-1.55886450673426</c:v>
                </c:pt>
                <c:pt idx="143">
                  <c:v>-1.58195844888693</c:v>
                </c:pt>
                <c:pt idx="144">
                  <c:v>-1.60522743807492</c:v>
                </c:pt>
                <c:pt idx="145">
                  <c:v>-1.6286714001132</c:v>
                </c:pt>
                <c:pt idx="146">
                  <c:v>-1.65229025511198</c:v>
                </c:pt>
                <c:pt idx="147">
                  <c:v>-1.67608391746043</c:v>
                </c:pt>
                <c:pt idx="148">
                  <c:v>-1.70005229581041</c:v>
                </c:pt>
                <c:pt idx="149">
                  <c:v>-1.72419529306018</c:v>
                </c:pt>
                <c:pt idx="150">
                  <c:v>-1.74851280633808</c:v>
                </c:pt>
                <c:pt idx="151">
                  <c:v>-1.77300472698617</c:v>
                </c:pt>
                <c:pt idx="152">
                  <c:v>-1.7976709405439</c:v>
                </c:pt>
                <c:pt idx="153">
                  <c:v>-1.82251132673166</c:v>
                </c:pt>
                <c:pt idx="154">
                  <c:v>-1.84752575943441</c:v>
                </c:pt>
                <c:pt idx="155">
                  <c:v>-1.87271410668522</c:v>
                </c:pt>
                <c:pt idx="156">
                  <c:v>-1.89807623064884</c:v>
                </c:pt>
                <c:pt idx="157">
                  <c:v>-1.92361198760518</c:v>
                </c:pt>
                <c:pt idx="158">
                  <c:v>-1.94932122793284</c:v>
                </c:pt>
                <c:pt idx="159">
                  <c:v>-1.97520379609262</c:v>
                </c:pt>
                <c:pt idx="160">
                  <c:v>-2.00125953061094</c:v>
                </c:pt>
                <c:pt idx="161">
                  <c:v>-2.0274882640633</c:v>
                </c:pt>
                <c:pt idx="162">
                  <c:v>-2.05388982305776</c:v>
                </c:pt>
                <c:pt idx="163">
                  <c:v>-2.08046402821831</c:v>
                </c:pt>
                <c:pt idx="164">
                  <c:v>-2.10721069416829</c:v>
                </c:pt>
                <c:pt idx="165">
                  <c:v>-2.13412962951379</c:v>
                </c:pt>
                <c:pt idx="166">
                  <c:v>-2.16122063682702</c:v>
                </c:pt>
                <c:pt idx="167">
                  <c:v>-2.18848351262968</c:v>
                </c:pt>
                <c:pt idx="168">
                  <c:v>-2.21591804737633</c:v>
                </c:pt>
                <c:pt idx="169">
                  <c:v>-2.24352402543771</c:v>
                </c:pt>
                <c:pt idx="170">
                  <c:v>-2.27130122508409</c:v>
                </c:pt>
                <c:pt idx="171">
                  <c:v>-2.2992494184686</c:v>
                </c:pt>
                <c:pt idx="172">
                  <c:v>-2.32736837161054</c:v>
                </c:pt>
                <c:pt idx="173">
                  <c:v>-2.3556578443787</c:v>
                </c:pt>
                <c:pt idx="174">
                  <c:v>-2.38411759047465</c:v>
                </c:pt>
                <c:pt idx="175">
                  <c:v>-2.41274735741607</c:v>
                </c:pt>
                <c:pt idx="176">
                  <c:v>-2.44154688652003</c:v>
                </c:pt>
                <c:pt idx="177">
                  <c:v>-2.47051591288626</c:v>
                </c:pt>
                <c:pt idx="178">
                  <c:v>-2.49965416538048</c:v>
                </c:pt>
                <c:pt idx="179">
                  <c:v>-2.52896136661765</c:v>
                </c:pt>
                <c:pt idx="180">
                  <c:v>-2.5584372329453</c:v>
                </c:pt>
                <c:pt idx="181">
                  <c:v>-2.58808147442675</c:v>
                </c:pt>
                <c:pt idx="182">
                  <c:v>-2.61789379482446</c:v>
                </c:pt>
                <c:pt idx="183">
                  <c:v>-2.64787389158329</c:v>
                </c:pt>
                <c:pt idx="184">
                  <c:v>-2.67802145581376</c:v>
                </c:pt>
                <c:pt idx="185">
                  <c:v>-2.70833617227542</c:v>
                </c:pt>
                <c:pt idx="186">
                  <c:v>-2.73881771936005</c:v>
                </c:pt>
                <c:pt idx="187">
                  <c:v>-2.76946576907504</c:v>
                </c:pt>
                <c:pt idx="188">
                  <c:v>-2.80027998702665</c:v>
                </c:pt>
                <c:pt idx="189">
                  <c:v>-2.83126003240334</c:v>
                </c:pt>
                <c:pt idx="190">
                  <c:v>-2.86240555795909</c:v>
                </c:pt>
                <c:pt idx="191">
                  <c:v>-2.89371620999671</c:v>
                </c:pt>
                <c:pt idx="192">
                  <c:v>-2.92519162835123</c:v>
                </c:pt>
                <c:pt idx="193">
                  <c:v>-2.95683144637316</c:v>
                </c:pt>
                <c:pt idx="194">
                  <c:v>-2.98863529091195</c:v>
                </c:pt>
                <c:pt idx="195">
                  <c:v>-3.02060278229927</c:v>
                </c:pt>
                <c:pt idx="196">
                  <c:v>-3.05273353433245</c:v>
                </c:pt>
                <c:pt idx="197">
                  <c:v>-3.08502715425785</c:v>
                </c:pt>
                <c:pt idx="198">
                  <c:v>-3.11748324275428</c:v>
                </c:pt>
                <c:pt idx="199">
                  <c:v>-3.15010139391644</c:v>
                </c:pt>
                <c:pt idx="200">
                  <c:v>-3.18288119523832</c:v>
                </c:pt>
                <c:pt idx="201">
                  <c:v>-3.21582222759671</c:v>
                </c:pt>
                <c:pt idx="202">
                  <c:v>-3.24892406523464</c:v>
                </c:pt>
                <c:pt idx="203">
                  <c:v>-3.28218627574489</c:v>
                </c:pt>
                <c:pt idx="204">
                  <c:v>-3.31560842005351</c:v>
                </c:pt>
                <c:pt idx="205">
                  <c:v>-3.34919005240337</c:v>
                </c:pt>
                <c:pt idx="206">
                  <c:v>-3.38293072033768</c:v>
                </c:pt>
                <c:pt idx="207">
                  <c:v>-3.41682996468359</c:v>
                </c:pt>
                <c:pt idx="208">
                  <c:v>-3.45088731953583</c:v>
                </c:pt>
                <c:pt idx="209">
                  <c:v>-3.48510231224028</c:v>
                </c:pt>
                <c:pt idx="210">
                  <c:v>-3.51947446337768</c:v>
                </c:pt>
                <c:pt idx="211">
                  <c:v>-3.55400328674727</c:v>
                </c:pt>
                <c:pt idx="212">
                  <c:v>-3.58868828935051</c:v>
                </c:pt>
                <c:pt idx="213">
                  <c:v>-3.62352897137485</c:v>
                </c:pt>
                <c:pt idx="214">
                  <c:v>-3.65852482617744</c:v>
                </c:pt>
                <c:pt idx="215">
                  <c:v>-3.69367534026897</c:v>
                </c:pt>
                <c:pt idx="216">
                  <c:v>-3.72897999329748</c:v>
                </c:pt>
                <c:pt idx="217">
                  <c:v>-3.76443825803224</c:v>
                </c:pt>
                <c:pt idx="218">
                  <c:v>-3.8000496003476</c:v>
                </c:pt>
                <c:pt idx="219">
                  <c:v>-3.83581347920697</c:v>
                </c:pt>
                <c:pt idx="220">
                  <c:v>-3.87172934664674</c:v>
                </c:pt>
                <c:pt idx="221">
                  <c:v>-3.9077966477603</c:v>
                </c:pt>
                <c:pt idx="222">
                  <c:v>-3.94401482068206</c:v>
                </c:pt>
                <c:pt idx="223">
                  <c:v>-3.98038329657156</c:v>
                </c:pt>
                <c:pt idx="224">
                  <c:v>-4.01690149959751</c:v>
                </c:pt>
                <c:pt idx="225">
                  <c:v>-4.05356884692203</c:v>
                </c:pt>
                <c:pt idx="226">
                  <c:v>-4.09038474868477</c:v>
                </c:pt>
                <c:pt idx="227">
                  <c:v>-4.12734860798718</c:v>
                </c:pt>
                <c:pt idx="228">
                  <c:v>-4.16445982087678</c:v>
                </c:pt>
                <c:pt idx="229">
                  <c:v>-4.20171777633148</c:v>
                </c:pt>
                <c:pt idx="230">
                  <c:v>-4.23912185624394</c:v>
                </c:pt>
                <c:pt idx="231">
                  <c:v>-4.27667143540599</c:v>
                </c:pt>
                <c:pt idx="232">
                  <c:v>-4.3143658814931</c:v>
                </c:pt>
                <c:pt idx="233">
                  <c:v>-4.35220455504886</c:v>
                </c:pt>
                <c:pt idx="234">
                  <c:v>-4.39018680946953</c:v>
                </c:pt>
                <c:pt idx="235">
                  <c:v>-4.4283119909887</c:v>
                </c:pt>
                <c:pt idx="236">
                  <c:v>-4.46657943866187</c:v>
                </c:pt>
                <c:pt idx="237">
                  <c:v>-4.50498848435122</c:v>
                </c:pt>
                <c:pt idx="238">
                  <c:v>-4.54353845271034</c:v>
                </c:pt>
                <c:pt idx="239">
                  <c:v>-4.58222866116904</c:v>
                </c:pt>
                <c:pt idx="240">
                  <c:v>-4.62105841991823</c:v>
                </c:pt>
                <c:pt idx="241">
                  <c:v>-4.66002703189486</c:v>
                </c:pt>
                <c:pt idx="242">
                  <c:v>-4.69913379276687</c:v>
                </c:pt>
                <c:pt idx="243">
                  <c:v>-4.73837799091826</c:v>
                </c:pt>
                <c:pt idx="244">
                  <c:v>-4.77775890743416</c:v>
                </c:pt>
                <c:pt idx="245">
                  <c:v>-4.81727581608602</c:v>
                </c:pt>
                <c:pt idx="246">
                  <c:v>-4.85692798331682</c:v>
                </c:pt>
                <c:pt idx="247">
                  <c:v>-4.89671466822632</c:v>
                </c:pt>
                <c:pt idx="248">
                  <c:v>-4.93663512255648</c:v>
                </c:pt>
                <c:pt idx="249">
                  <c:v>-4.97668859067678</c:v>
                </c:pt>
                <c:pt idx="250">
                  <c:v>-5.01687430956977</c:v>
                </c:pt>
                <c:pt idx="251">
                  <c:v>-5.05719150881657</c:v>
                </c:pt>
                <c:pt idx="252">
                  <c:v>-5.09763941058251</c:v>
                </c:pt>
                <c:pt idx="253">
                  <c:v>-5.13821722960276</c:v>
                </c:pt>
                <c:pt idx="254">
                  <c:v>-5.17892417316815</c:v>
                </c:pt>
                <c:pt idx="255">
                  <c:v>-5.2197594411109</c:v>
                </c:pt>
                <c:pt idx="256">
                  <c:v>-5.2607222257906</c:v>
                </c:pt>
                <c:pt idx="257">
                  <c:v>-5.3018117120801</c:v>
                </c:pt>
                <c:pt idx="258">
                  <c:v>-5.3430270773516</c:v>
                </c:pt>
                <c:pt idx="259">
                  <c:v>-5.38436749146271</c:v>
                </c:pt>
                <c:pt idx="260">
                  <c:v>-5.42583211674269</c:v>
                </c:pt>
                <c:pt idx="261">
                  <c:v>-5.46742010797869</c:v>
                </c:pt>
                <c:pt idx="262">
                  <c:v>-5.50913061240209</c:v>
                </c:pt>
                <c:pt idx="263">
                  <c:v>-5.55096276967491</c:v>
                </c:pt>
                <c:pt idx="264">
                  <c:v>-5.59291571187636</c:v>
                </c:pt>
                <c:pt idx="265">
                  <c:v>-5.63498856348937</c:v>
                </c:pt>
                <c:pt idx="266">
                  <c:v>-5.6771804413873</c:v>
                </c:pt>
                <c:pt idx="267">
                  <c:v>-5.71949045482066</c:v>
                </c:pt>
                <c:pt idx="268">
                  <c:v>-5.76191770540396</c:v>
                </c:pt>
                <c:pt idx="269">
                  <c:v>-5.80446128710263</c:v>
                </c:pt>
                <c:pt idx="270">
                  <c:v>-5.84712028622003</c:v>
                </c:pt>
                <c:pt idx="271">
                  <c:v>-5.88989378138453</c:v>
                </c:pt>
                <c:pt idx="272">
                  <c:v>-5.93278084353674</c:v>
                </c:pt>
                <c:pt idx="273">
                  <c:v>-5.97578053591672</c:v>
                </c:pt>
                <c:pt idx="274">
                  <c:v>-6.01889191405141</c:v>
                </c:pt>
                <c:pt idx="275">
                  <c:v>-6.06211402574206</c:v>
                </c:pt>
                <c:pt idx="276">
                  <c:v>-6.10544591105177</c:v>
                </c:pt>
                <c:pt idx="277">
                  <c:v>-6.14888660229317</c:v>
                </c:pt>
                <c:pt idx="278">
                  <c:v>-6.19243512401617</c:v>
                </c:pt>
                <c:pt idx="279">
                  <c:v>-6.23609049299575</c:v>
                </c:pt>
                <c:pt idx="280">
                  <c:v>-6.27985171821995</c:v>
                </c:pt>
                <c:pt idx="281">
                  <c:v>-6.3237178008779</c:v>
                </c:pt>
                <c:pt idx="282">
                  <c:v>-6.36768773434794</c:v>
                </c:pt>
                <c:pt idx="283">
                  <c:v>-6.41176050418589</c:v>
                </c:pt>
                <c:pt idx="284">
                  <c:v>-6.45593508811337</c:v>
                </c:pt>
                <c:pt idx="285">
                  <c:v>-6.50021045600627</c:v>
                </c:pt>
                <c:pt idx="286">
                  <c:v>-6.54458556988327</c:v>
                </c:pt>
                <c:pt idx="287">
                  <c:v>-6.58905938389454</c:v>
                </c:pt>
                <c:pt idx="288">
                  <c:v>-6.63363084431049</c:v>
                </c:pt>
                <c:pt idx="289">
                  <c:v>-6.67829888951064</c:v>
                </c:pt>
                <c:pt idx="290">
                  <c:v>-6.72306244997262</c:v>
                </c:pt>
                <c:pt idx="291">
                  <c:v>-6.76792044826125</c:v>
                </c:pt>
                <c:pt idx="292">
                  <c:v>-6.81287179901775</c:v>
                </c:pt>
                <c:pt idx="293">
                  <c:v>-6.85791540894908</c:v>
                </c:pt>
                <c:pt idx="294">
                  <c:v>-6.90305017681736</c:v>
                </c:pt>
                <c:pt idx="295">
                  <c:v>-6.94827499342944</c:v>
                </c:pt>
                <c:pt idx="296">
                  <c:v>-6.99358874162652</c:v>
                </c:pt>
                <c:pt idx="297">
                  <c:v>-7.03899029627401</c:v>
                </c:pt>
                <c:pt idx="298">
                  <c:v>-7.08447852425136</c:v>
                </c:pt>
                <c:pt idx="299">
                  <c:v>-7.13005228444216</c:v>
                </c:pt>
                <c:pt idx="300">
                  <c:v>-7.17571042772422</c:v>
                </c:pt>
              </c:numCache>
            </c:numRef>
          </c:yVal>
          <c:smooth val="1"/>
        </c:ser>
        <c:axId val="454509"/>
        <c:axId val="242860"/>
      </c:scatterChart>
      <c:valAx>
        <c:axId val="454509"/>
        <c:scaling>
          <c:orientation val="minMax"/>
          <c:max val="45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y(Fin semispan), in</a:t>
                </a:r>
              </a:p>
            </c:rich>
          </c:tx>
          <c:layout>
            <c:manualLayout>
              <c:xMode val="edge"/>
              <c:yMode val="edge"/>
              <c:x val="0.36859081769437"/>
              <c:y val="0.87943589270900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2860"/>
        <c:crossesAt val="0"/>
        <c:crossBetween val="midCat"/>
      </c:valAx>
      <c:valAx>
        <c:axId val="242860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P, in</a:t>
                </a:r>
              </a:p>
            </c:rich>
          </c:tx>
          <c:layout>
            <c:manualLayout>
              <c:xMode val="edge"/>
              <c:yMode val="edge"/>
              <c:x val="0.0104725201072386"/>
              <c:y val="0.47727901189049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4509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66663873994638"/>
          <c:y val="0.512858327956494"/>
          <c:w val="0.115281501340483"/>
          <c:h val="0.06507512213107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200" b="1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Function Alpha(y)</a:t>
            </a:r>
          </a:p>
        </c:rich>
      </c:tx>
      <c:layout>
        <c:manualLayout>
          <c:xMode val="edge"/>
          <c:yMode val="edge"/>
          <c:x val="0.392845174262735"/>
          <c:y val="0.030325375610655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2583780160858"/>
          <c:y val="0.144160752143055"/>
          <c:w val="0.788580764075067"/>
          <c:h val="0.758779611024058"/>
        </c:manualLayout>
      </c:layout>
      <c:scatterChart>
        <c:scatterStyle val="line"/>
        <c:varyColors val="0"/>
        <c:ser>
          <c:idx val="0"/>
          <c:order val="0"/>
          <c:tx>
            <c:strRef>
              <c:f>InputFinSA!$E$9</c:f>
              <c:strCache>
                <c:ptCount val="1"/>
                <c:pt idx="0">
                  <c:v>A(RK4), rad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InputFinSA!$B$10:$B$8000</c:f>
              <c:numCache>
                <c:formatCode>General</c:formatCode>
                <c:ptCount val="7991"/>
                <c:pt idx="0">
                  <c:v>12.5</c:v>
                </c:pt>
                <c:pt idx="1">
                  <c:v>12.590635451505</c:v>
                </c:pt>
                <c:pt idx="2">
                  <c:v>12.68127090301</c:v>
                </c:pt>
                <c:pt idx="3">
                  <c:v>12.7719063545151</c:v>
                </c:pt>
                <c:pt idx="4">
                  <c:v>12.8625418060201</c:v>
                </c:pt>
                <c:pt idx="5">
                  <c:v>12.9531772575251</c:v>
                </c:pt>
                <c:pt idx="6">
                  <c:v>13.0438127090301</c:v>
                </c:pt>
                <c:pt idx="7">
                  <c:v>13.1344481605351</c:v>
                </c:pt>
                <c:pt idx="8">
                  <c:v>13.2250836120401</c:v>
                </c:pt>
                <c:pt idx="9">
                  <c:v>13.3157190635452</c:v>
                </c:pt>
                <c:pt idx="10">
                  <c:v>13.4063545150502</c:v>
                </c:pt>
                <c:pt idx="11">
                  <c:v>13.4969899665552</c:v>
                </c:pt>
                <c:pt idx="12">
                  <c:v>13.5876254180602</c:v>
                </c:pt>
                <c:pt idx="13">
                  <c:v>13.6782608695652</c:v>
                </c:pt>
                <c:pt idx="14">
                  <c:v>13.7688963210702</c:v>
                </c:pt>
                <c:pt idx="15">
                  <c:v>13.8595317725753</c:v>
                </c:pt>
                <c:pt idx="16">
                  <c:v>13.9501672240803</c:v>
                </c:pt>
                <c:pt idx="17">
                  <c:v>14.0408026755853</c:v>
                </c:pt>
                <c:pt idx="18">
                  <c:v>14.1314381270903</c:v>
                </c:pt>
                <c:pt idx="19">
                  <c:v>14.2220735785953</c:v>
                </c:pt>
                <c:pt idx="20">
                  <c:v>14.3127090301003</c:v>
                </c:pt>
                <c:pt idx="21">
                  <c:v>14.4033444816054</c:v>
                </c:pt>
                <c:pt idx="22">
                  <c:v>14.4939799331104</c:v>
                </c:pt>
                <c:pt idx="23">
                  <c:v>14.5846153846154</c:v>
                </c:pt>
                <c:pt idx="24">
                  <c:v>14.6752508361204</c:v>
                </c:pt>
                <c:pt idx="25">
                  <c:v>14.7658862876254</c:v>
                </c:pt>
                <c:pt idx="26">
                  <c:v>14.8565217391304</c:v>
                </c:pt>
                <c:pt idx="27">
                  <c:v>14.9471571906355</c:v>
                </c:pt>
                <c:pt idx="28">
                  <c:v>15.0377926421405</c:v>
                </c:pt>
                <c:pt idx="29">
                  <c:v>15.1284280936455</c:v>
                </c:pt>
                <c:pt idx="30">
                  <c:v>15.2190635451505</c:v>
                </c:pt>
                <c:pt idx="31">
                  <c:v>15.3096989966555</c:v>
                </c:pt>
                <c:pt idx="32">
                  <c:v>15.4003344481605</c:v>
                </c:pt>
                <c:pt idx="33">
                  <c:v>15.4909698996656</c:v>
                </c:pt>
                <c:pt idx="34">
                  <c:v>15.5816053511706</c:v>
                </c:pt>
                <c:pt idx="35">
                  <c:v>15.6722408026756</c:v>
                </c:pt>
                <c:pt idx="36">
                  <c:v>15.7628762541806</c:v>
                </c:pt>
                <c:pt idx="37">
                  <c:v>15.8535117056856</c:v>
                </c:pt>
                <c:pt idx="38">
                  <c:v>15.9441471571906</c:v>
                </c:pt>
                <c:pt idx="39">
                  <c:v>16.0347826086957</c:v>
                </c:pt>
                <c:pt idx="40">
                  <c:v>16.1254180602007</c:v>
                </c:pt>
                <c:pt idx="41">
                  <c:v>16.2160535117057</c:v>
                </c:pt>
                <c:pt idx="42">
                  <c:v>16.3066889632107</c:v>
                </c:pt>
                <c:pt idx="43">
                  <c:v>16.3973244147157</c:v>
                </c:pt>
                <c:pt idx="44">
                  <c:v>16.4879598662207</c:v>
                </c:pt>
                <c:pt idx="45">
                  <c:v>16.5785953177258</c:v>
                </c:pt>
                <c:pt idx="46">
                  <c:v>16.6692307692308</c:v>
                </c:pt>
                <c:pt idx="47">
                  <c:v>16.7598662207358</c:v>
                </c:pt>
                <c:pt idx="48">
                  <c:v>16.8505016722408</c:v>
                </c:pt>
                <c:pt idx="49">
                  <c:v>16.9411371237458</c:v>
                </c:pt>
                <c:pt idx="50">
                  <c:v>17.0317725752508</c:v>
                </c:pt>
                <c:pt idx="51">
                  <c:v>17.1224080267559</c:v>
                </c:pt>
                <c:pt idx="52">
                  <c:v>17.2130434782609</c:v>
                </c:pt>
                <c:pt idx="53">
                  <c:v>17.3036789297659</c:v>
                </c:pt>
                <c:pt idx="54">
                  <c:v>17.3943143812709</c:v>
                </c:pt>
                <c:pt idx="55">
                  <c:v>17.4849498327759</c:v>
                </c:pt>
                <c:pt idx="56">
                  <c:v>17.5755852842809</c:v>
                </c:pt>
                <c:pt idx="57">
                  <c:v>17.666220735786</c:v>
                </c:pt>
                <c:pt idx="58">
                  <c:v>17.756856187291</c:v>
                </c:pt>
                <c:pt idx="59">
                  <c:v>17.847491638796</c:v>
                </c:pt>
                <c:pt idx="60">
                  <c:v>17.938127090301</c:v>
                </c:pt>
                <c:pt idx="61">
                  <c:v>18.028762541806</c:v>
                </c:pt>
                <c:pt idx="62">
                  <c:v>18.119397993311</c:v>
                </c:pt>
                <c:pt idx="63">
                  <c:v>18.2100334448161</c:v>
                </c:pt>
                <c:pt idx="64">
                  <c:v>18.3006688963211</c:v>
                </c:pt>
                <c:pt idx="65">
                  <c:v>18.3913043478261</c:v>
                </c:pt>
                <c:pt idx="66">
                  <c:v>18.4819397993311</c:v>
                </c:pt>
                <c:pt idx="67">
                  <c:v>18.5725752508361</c:v>
                </c:pt>
                <c:pt idx="68">
                  <c:v>18.6632107023411</c:v>
                </c:pt>
                <c:pt idx="69">
                  <c:v>18.7538461538462</c:v>
                </c:pt>
                <c:pt idx="70">
                  <c:v>18.8444816053512</c:v>
                </c:pt>
                <c:pt idx="71">
                  <c:v>18.9351170568562</c:v>
                </c:pt>
                <c:pt idx="72">
                  <c:v>19.0257525083612</c:v>
                </c:pt>
                <c:pt idx="73">
                  <c:v>19.1163879598662</c:v>
                </c:pt>
                <c:pt idx="74">
                  <c:v>19.2070234113712</c:v>
                </c:pt>
                <c:pt idx="75">
                  <c:v>19.2976588628763</c:v>
                </c:pt>
                <c:pt idx="76">
                  <c:v>19.3882943143813</c:v>
                </c:pt>
                <c:pt idx="77">
                  <c:v>19.4789297658863</c:v>
                </c:pt>
                <c:pt idx="78">
                  <c:v>19.5695652173913</c:v>
                </c:pt>
                <c:pt idx="79">
                  <c:v>19.6602006688963</c:v>
                </c:pt>
                <c:pt idx="80">
                  <c:v>19.7508361204013</c:v>
                </c:pt>
                <c:pt idx="81">
                  <c:v>19.8414715719064</c:v>
                </c:pt>
                <c:pt idx="82">
                  <c:v>19.9321070234114</c:v>
                </c:pt>
                <c:pt idx="83">
                  <c:v>20.0227424749164</c:v>
                </c:pt>
                <c:pt idx="84">
                  <c:v>20.1133779264214</c:v>
                </c:pt>
                <c:pt idx="85">
                  <c:v>20.2040133779264</c:v>
                </c:pt>
                <c:pt idx="86">
                  <c:v>20.2946488294314</c:v>
                </c:pt>
                <c:pt idx="87">
                  <c:v>20.3852842809365</c:v>
                </c:pt>
                <c:pt idx="88">
                  <c:v>20.4759197324415</c:v>
                </c:pt>
                <c:pt idx="89">
                  <c:v>20.5665551839465</c:v>
                </c:pt>
                <c:pt idx="90">
                  <c:v>20.6571906354515</c:v>
                </c:pt>
                <c:pt idx="91">
                  <c:v>20.7478260869565</c:v>
                </c:pt>
                <c:pt idx="92">
                  <c:v>20.8384615384615</c:v>
                </c:pt>
                <c:pt idx="93">
                  <c:v>20.9290969899666</c:v>
                </c:pt>
                <c:pt idx="94">
                  <c:v>21.0197324414716</c:v>
                </c:pt>
                <c:pt idx="95">
                  <c:v>21.1103678929766</c:v>
                </c:pt>
                <c:pt idx="96">
                  <c:v>21.2010033444816</c:v>
                </c:pt>
                <c:pt idx="97">
                  <c:v>21.2916387959866</c:v>
                </c:pt>
                <c:pt idx="98">
                  <c:v>21.3822742474916</c:v>
                </c:pt>
                <c:pt idx="99">
                  <c:v>21.4729096989967</c:v>
                </c:pt>
                <c:pt idx="100">
                  <c:v>21.5635451505017</c:v>
                </c:pt>
                <c:pt idx="101">
                  <c:v>21.6541806020067</c:v>
                </c:pt>
                <c:pt idx="102">
                  <c:v>21.7448160535117</c:v>
                </c:pt>
                <c:pt idx="103">
                  <c:v>21.8354515050167</c:v>
                </c:pt>
                <c:pt idx="104">
                  <c:v>21.9260869565217</c:v>
                </c:pt>
                <c:pt idx="105">
                  <c:v>22.0167224080268</c:v>
                </c:pt>
                <c:pt idx="106">
                  <c:v>22.1073578595318</c:v>
                </c:pt>
                <c:pt idx="107">
                  <c:v>22.1979933110368</c:v>
                </c:pt>
                <c:pt idx="108">
                  <c:v>22.2886287625418</c:v>
                </c:pt>
                <c:pt idx="109">
                  <c:v>22.3792642140468</c:v>
                </c:pt>
                <c:pt idx="110">
                  <c:v>22.4698996655518</c:v>
                </c:pt>
                <c:pt idx="111">
                  <c:v>22.5605351170569</c:v>
                </c:pt>
                <c:pt idx="112">
                  <c:v>22.6511705685619</c:v>
                </c:pt>
                <c:pt idx="113">
                  <c:v>22.7418060200669</c:v>
                </c:pt>
                <c:pt idx="114">
                  <c:v>22.8324414715719</c:v>
                </c:pt>
                <c:pt idx="115">
                  <c:v>22.9230769230769</c:v>
                </c:pt>
                <c:pt idx="116">
                  <c:v>23.0137123745819</c:v>
                </c:pt>
                <c:pt idx="117">
                  <c:v>23.104347826087</c:v>
                </c:pt>
                <c:pt idx="118">
                  <c:v>23.194983277592</c:v>
                </c:pt>
                <c:pt idx="119">
                  <c:v>23.285618729097</c:v>
                </c:pt>
                <c:pt idx="120">
                  <c:v>23.376254180602</c:v>
                </c:pt>
                <c:pt idx="121">
                  <c:v>23.466889632107</c:v>
                </c:pt>
                <c:pt idx="122">
                  <c:v>23.557525083612</c:v>
                </c:pt>
                <c:pt idx="123">
                  <c:v>23.6481605351171</c:v>
                </c:pt>
                <c:pt idx="124">
                  <c:v>23.7387959866221</c:v>
                </c:pt>
                <c:pt idx="125">
                  <c:v>23.8294314381271</c:v>
                </c:pt>
                <c:pt idx="126">
                  <c:v>23.9200668896321</c:v>
                </c:pt>
                <c:pt idx="127">
                  <c:v>24.0107023411371</c:v>
                </c:pt>
                <c:pt idx="128">
                  <c:v>24.1013377926421</c:v>
                </c:pt>
                <c:pt idx="129">
                  <c:v>24.1919732441472</c:v>
                </c:pt>
                <c:pt idx="130">
                  <c:v>24.2826086956522</c:v>
                </c:pt>
                <c:pt idx="131">
                  <c:v>24.3732441471572</c:v>
                </c:pt>
                <c:pt idx="132">
                  <c:v>24.4638795986622</c:v>
                </c:pt>
                <c:pt idx="133">
                  <c:v>24.5545150501672</c:v>
                </c:pt>
                <c:pt idx="134">
                  <c:v>24.6451505016722</c:v>
                </c:pt>
                <c:pt idx="135">
                  <c:v>24.7357859531773</c:v>
                </c:pt>
                <c:pt idx="136">
                  <c:v>24.8264214046823</c:v>
                </c:pt>
                <c:pt idx="137">
                  <c:v>24.9170568561873</c:v>
                </c:pt>
                <c:pt idx="138">
                  <c:v>25.0076923076923</c:v>
                </c:pt>
                <c:pt idx="139">
                  <c:v>25.0983277591973</c:v>
                </c:pt>
                <c:pt idx="140">
                  <c:v>25.1889632107023</c:v>
                </c:pt>
                <c:pt idx="141">
                  <c:v>25.2795986622074</c:v>
                </c:pt>
                <c:pt idx="142">
                  <c:v>25.3702341137124</c:v>
                </c:pt>
                <c:pt idx="143">
                  <c:v>25.4608695652174</c:v>
                </c:pt>
                <c:pt idx="144">
                  <c:v>25.5515050167224</c:v>
                </c:pt>
                <c:pt idx="145">
                  <c:v>25.6421404682274</c:v>
                </c:pt>
                <c:pt idx="146">
                  <c:v>25.7327759197324</c:v>
                </c:pt>
                <c:pt idx="147">
                  <c:v>25.8234113712375</c:v>
                </c:pt>
                <c:pt idx="148">
                  <c:v>25.9140468227425</c:v>
                </c:pt>
                <c:pt idx="149">
                  <c:v>26.0046822742475</c:v>
                </c:pt>
                <c:pt idx="150">
                  <c:v>26.0953177257525</c:v>
                </c:pt>
                <c:pt idx="151">
                  <c:v>26.1859531772575</c:v>
                </c:pt>
                <c:pt idx="152">
                  <c:v>26.2765886287625</c:v>
                </c:pt>
                <c:pt idx="153">
                  <c:v>26.3672240802676</c:v>
                </c:pt>
                <c:pt idx="154">
                  <c:v>26.4578595317726</c:v>
                </c:pt>
                <c:pt idx="155">
                  <c:v>26.5484949832776</c:v>
                </c:pt>
                <c:pt idx="156">
                  <c:v>26.6391304347826</c:v>
                </c:pt>
                <c:pt idx="157">
                  <c:v>26.7297658862876</c:v>
                </c:pt>
                <c:pt idx="158">
                  <c:v>26.8204013377926</c:v>
                </c:pt>
                <c:pt idx="159">
                  <c:v>26.9110367892977</c:v>
                </c:pt>
                <c:pt idx="160">
                  <c:v>27.0016722408027</c:v>
                </c:pt>
                <c:pt idx="161">
                  <c:v>27.0923076923077</c:v>
                </c:pt>
                <c:pt idx="162">
                  <c:v>27.1829431438127</c:v>
                </c:pt>
                <c:pt idx="163">
                  <c:v>27.2735785953177</c:v>
                </c:pt>
                <c:pt idx="164">
                  <c:v>27.3642140468227</c:v>
                </c:pt>
                <c:pt idx="165">
                  <c:v>27.4548494983278</c:v>
                </c:pt>
                <c:pt idx="166">
                  <c:v>27.5454849498328</c:v>
                </c:pt>
                <c:pt idx="167">
                  <c:v>27.6361204013378</c:v>
                </c:pt>
                <c:pt idx="168">
                  <c:v>27.7267558528428</c:v>
                </c:pt>
                <c:pt idx="169">
                  <c:v>27.8173913043478</c:v>
                </c:pt>
                <c:pt idx="170">
                  <c:v>27.9080267558528</c:v>
                </c:pt>
                <c:pt idx="171">
                  <c:v>27.9986622073579</c:v>
                </c:pt>
                <c:pt idx="172">
                  <c:v>28.0892976588629</c:v>
                </c:pt>
                <c:pt idx="173">
                  <c:v>28.1799331103679</c:v>
                </c:pt>
                <c:pt idx="174">
                  <c:v>28.2705685618729</c:v>
                </c:pt>
                <c:pt idx="175">
                  <c:v>28.3612040133779</c:v>
                </c:pt>
                <c:pt idx="176">
                  <c:v>28.4518394648829</c:v>
                </c:pt>
                <c:pt idx="177">
                  <c:v>28.542474916388</c:v>
                </c:pt>
                <c:pt idx="178">
                  <c:v>28.633110367893</c:v>
                </c:pt>
                <c:pt idx="179">
                  <c:v>28.723745819398</c:v>
                </c:pt>
                <c:pt idx="180">
                  <c:v>28.814381270903</c:v>
                </c:pt>
                <c:pt idx="181">
                  <c:v>28.905016722408</c:v>
                </c:pt>
                <c:pt idx="182">
                  <c:v>28.995652173913</c:v>
                </c:pt>
                <c:pt idx="183">
                  <c:v>29.0862876254181</c:v>
                </c:pt>
                <c:pt idx="184">
                  <c:v>29.1769230769231</c:v>
                </c:pt>
                <c:pt idx="185">
                  <c:v>29.2675585284281</c:v>
                </c:pt>
                <c:pt idx="186">
                  <c:v>29.3581939799331</c:v>
                </c:pt>
                <c:pt idx="187">
                  <c:v>29.4488294314381</c:v>
                </c:pt>
                <c:pt idx="188">
                  <c:v>29.5394648829431</c:v>
                </c:pt>
                <c:pt idx="189">
                  <c:v>29.6301003344482</c:v>
                </c:pt>
                <c:pt idx="190">
                  <c:v>29.7207357859532</c:v>
                </c:pt>
                <c:pt idx="191">
                  <c:v>29.8113712374582</c:v>
                </c:pt>
                <c:pt idx="192">
                  <c:v>29.9020066889632</c:v>
                </c:pt>
                <c:pt idx="193">
                  <c:v>29.9926421404682</c:v>
                </c:pt>
                <c:pt idx="194">
                  <c:v>30.0832775919732</c:v>
                </c:pt>
                <c:pt idx="195">
                  <c:v>30.1739130434783</c:v>
                </c:pt>
                <c:pt idx="196">
                  <c:v>30.2645484949833</c:v>
                </c:pt>
                <c:pt idx="197">
                  <c:v>30.3551839464883</c:v>
                </c:pt>
                <c:pt idx="198">
                  <c:v>30.4458193979933</c:v>
                </c:pt>
                <c:pt idx="199">
                  <c:v>30.5364548494983</c:v>
                </c:pt>
                <c:pt idx="200">
                  <c:v>30.6270903010033</c:v>
                </c:pt>
                <c:pt idx="201">
                  <c:v>30.7177257525084</c:v>
                </c:pt>
                <c:pt idx="202">
                  <c:v>30.8083612040134</c:v>
                </c:pt>
                <c:pt idx="203">
                  <c:v>30.8989966555184</c:v>
                </c:pt>
                <c:pt idx="204">
                  <c:v>30.9896321070234</c:v>
                </c:pt>
                <c:pt idx="205">
                  <c:v>31.0802675585284</c:v>
                </c:pt>
                <c:pt idx="206">
                  <c:v>31.1709030100334</c:v>
                </c:pt>
                <c:pt idx="207">
                  <c:v>31.2615384615385</c:v>
                </c:pt>
                <c:pt idx="208">
                  <c:v>31.3521739130435</c:v>
                </c:pt>
                <c:pt idx="209">
                  <c:v>31.4428093645485</c:v>
                </c:pt>
                <c:pt idx="210">
                  <c:v>31.5334448160535</c:v>
                </c:pt>
                <c:pt idx="211">
                  <c:v>31.6240802675585</c:v>
                </c:pt>
                <c:pt idx="212">
                  <c:v>31.7147157190636</c:v>
                </c:pt>
                <c:pt idx="213">
                  <c:v>31.8053511705686</c:v>
                </c:pt>
                <c:pt idx="214">
                  <c:v>31.8959866220736</c:v>
                </c:pt>
                <c:pt idx="215">
                  <c:v>31.9866220735786</c:v>
                </c:pt>
                <c:pt idx="216">
                  <c:v>32.0772575250836</c:v>
                </c:pt>
                <c:pt idx="217">
                  <c:v>32.1678929765886</c:v>
                </c:pt>
                <c:pt idx="218">
                  <c:v>32.2585284280937</c:v>
                </c:pt>
                <c:pt idx="219">
                  <c:v>32.3491638795987</c:v>
                </c:pt>
                <c:pt idx="220">
                  <c:v>32.4397993311037</c:v>
                </c:pt>
                <c:pt idx="221">
                  <c:v>32.5304347826087</c:v>
                </c:pt>
                <c:pt idx="222">
                  <c:v>32.6210702341137</c:v>
                </c:pt>
                <c:pt idx="223">
                  <c:v>32.7117056856187</c:v>
                </c:pt>
                <c:pt idx="224">
                  <c:v>32.8023411371238</c:v>
                </c:pt>
                <c:pt idx="225">
                  <c:v>32.8929765886288</c:v>
                </c:pt>
                <c:pt idx="226">
                  <c:v>32.9836120401338</c:v>
                </c:pt>
                <c:pt idx="227">
                  <c:v>33.0742474916388</c:v>
                </c:pt>
                <c:pt idx="228">
                  <c:v>33.1648829431438</c:v>
                </c:pt>
                <c:pt idx="229">
                  <c:v>33.2555183946488</c:v>
                </c:pt>
                <c:pt idx="230">
                  <c:v>33.3461538461539</c:v>
                </c:pt>
                <c:pt idx="231">
                  <c:v>33.4367892976589</c:v>
                </c:pt>
                <c:pt idx="232">
                  <c:v>33.5274247491639</c:v>
                </c:pt>
                <c:pt idx="233">
                  <c:v>33.6180602006689</c:v>
                </c:pt>
                <c:pt idx="234">
                  <c:v>33.7086956521739</c:v>
                </c:pt>
                <c:pt idx="235">
                  <c:v>33.7993311036789</c:v>
                </c:pt>
                <c:pt idx="236">
                  <c:v>33.8899665551839</c:v>
                </c:pt>
                <c:pt idx="237">
                  <c:v>33.980602006689</c:v>
                </c:pt>
                <c:pt idx="238">
                  <c:v>34.071237458194</c:v>
                </c:pt>
                <c:pt idx="239">
                  <c:v>34.161872909699</c:v>
                </c:pt>
                <c:pt idx="240">
                  <c:v>34.252508361204</c:v>
                </c:pt>
                <c:pt idx="241">
                  <c:v>34.343143812709</c:v>
                </c:pt>
                <c:pt idx="242">
                  <c:v>34.433779264214</c:v>
                </c:pt>
                <c:pt idx="243">
                  <c:v>34.5244147157191</c:v>
                </c:pt>
                <c:pt idx="244">
                  <c:v>34.6150501672241</c:v>
                </c:pt>
                <c:pt idx="245">
                  <c:v>34.7056856187291</c:v>
                </c:pt>
                <c:pt idx="246">
                  <c:v>34.7963210702341</c:v>
                </c:pt>
                <c:pt idx="247">
                  <c:v>34.8869565217391</c:v>
                </c:pt>
                <c:pt idx="248">
                  <c:v>34.9775919732441</c:v>
                </c:pt>
                <c:pt idx="249">
                  <c:v>35.0682274247492</c:v>
                </c:pt>
                <c:pt idx="250">
                  <c:v>35.1588628762542</c:v>
                </c:pt>
                <c:pt idx="251">
                  <c:v>35.2494983277592</c:v>
                </c:pt>
                <c:pt idx="252">
                  <c:v>35.3401337792642</c:v>
                </c:pt>
                <c:pt idx="253">
                  <c:v>35.4307692307692</c:v>
                </c:pt>
                <c:pt idx="254">
                  <c:v>35.5214046822743</c:v>
                </c:pt>
                <c:pt idx="255">
                  <c:v>35.6120401337793</c:v>
                </c:pt>
                <c:pt idx="256">
                  <c:v>35.7026755852843</c:v>
                </c:pt>
                <c:pt idx="257">
                  <c:v>35.7933110367893</c:v>
                </c:pt>
                <c:pt idx="258">
                  <c:v>35.8839464882943</c:v>
                </c:pt>
                <c:pt idx="259">
                  <c:v>35.9745819397993</c:v>
                </c:pt>
                <c:pt idx="260">
                  <c:v>36.0652173913044</c:v>
                </c:pt>
                <c:pt idx="261">
                  <c:v>36.1558528428094</c:v>
                </c:pt>
                <c:pt idx="262">
                  <c:v>36.2464882943144</c:v>
                </c:pt>
                <c:pt idx="263">
                  <c:v>36.3371237458194</c:v>
                </c:pt>
                <c:pt idx="264">
                  <c:v>36.4277591973244</c:v>
                </c:pt>
                <c:pt idx="265">
                  <c:v>36.5183946488294</c:v>
                </c:pt>
                <c:pt idx="266">
                  <c:v>36.6090301003345</c:v>
                </c:pt>
                <c:pt idx="267">
                  <c:v>36.6996655518395</c:v>
                </c:pt>
                <c:pt idx="268">
                  <c:v>36.7903010033445</c:v>
                </c:pt>
                <c:pt idx="269">
                  <c:v>36.8809364548495</c:v>
                </c:pt>
                <c:pt idx="270">
                  <c:v>36.9715719063545</c:v>
                </c:pt>
                <c:pt idx="271">
                  <c:v>37.0622073578595</c:v>
                </c:pt>
                <c:pt idx="272">
                  <c:v>37.1528428093646</c:v>
                </c:pt>
                <c:pt idx="273">
                  <c:v>37.2434782608696</c:v>
                </c:pt>
                <c:pt idx="274">
                  <c:v>37.3341137123746</c:v>
                </c:pt>
                <c:pt idx="275">
                  <c:v>37.4247491638796</c:v>
                </c:pt>
                <c:pt idx="276">
                  <c:v>37.5153846153846</c:v>
                </c:pt>
                <c:pt idx="277">
                  <c:v>37.6060200668896</c:v>
                </c:pt>
                <c:pt idx="278">
                  <c:v>37.6966555183947</c:v>
                </c:pt>
                <c:pt idx="279">
                  <c:v>37.7872909698997</c:v>
                </c:pt>
                <c:pt idx="280">
                  <c:v>37.8779264214047</c:v>
                </c:pt>
                <c:pt idx="281">
                  <c:v>37.9685618729097</c:v>
                </c:pt>
                <c:pt idx="282">
                  <c:v>38.0591973244147</c:v>
                </c:pt>
                <c:pt idx="283">
                  <c:v>38.1498327759197</c:v>
                </c:pt>
                <c:pt idx="284">
                  <c:v>38.2404682274248</c:v>
                </c:pt>
                <c:pt idx="285">
                  <c:v>38.3311036789298</c:v>
                </c:pt>
                <c:pt idx="286">
                  <c:v>38.4217391304348</c:v>
                </c:pt>
                <c:pt idx="287">
                  <c:v>38.5123745819398</c:v>
                </c:pt>
                <c:pt idx="288">
                  <c:v>38.6030100334448</c:v>
                </c:pt>
                <c:pt idx="289">
                  <c:v>38.6936454849498</c:v>
                </c:pt>
                <c:pt idx="290">
                  <c:v>38.7842809364549</c:v>
                </c:pt>
                <c:pt idx="291">
                  <c:v>38.8749163879599</c:v>
                </c:pt>
                <c:pt idx="292">
                  <c:v>38.9655518394649</c:v>
                </c:pt>
                <c:pt idx="293">
                  <c:v>39.0561872909699</c:v>
                </c:pt>
                <c:pt idx="294">
                  <c:v>39.1468227424749</c:v>
                </c:pt>
                <c:pt idx="295">
                  <c:v>39.2374581939799</c:v>
                </c:pt>
                <c:pt idx="296">
                  <c:v>39.328093645485</c:v>
                </c:pt>
                <c:pt idx="297">
                  <c:v>39.41872909699</c:v>
                </c:pt>
                <c:pt idx="298">
                  <c:v>39.509364548495</c:v>
                </c:pt>
                <c:pt idx="299">
                  <c:v>39.6</c:v>
                </c:pt>
              </c:numCache>
            </c:numRef>
          </c:xVal>
          <c:yVal>
            <c:numRef>
              <c:f>InputFinSA!$E$9:$E$8000</c:f>
              <c:numCache>
                <c:formatCode>General</c:formatCode>
                <c:ptCount val="7992"/>
                <c:pt idx="1">
                  <c:v>0</c:v>
                </c:pt>
                <c:pt idx="2">
                  <c:v>2.14040725039789E-005</c:v>
                </c:pt>
                <c:pt idx="3">
                  <c:v>6.40007041819429E-005</c:v>
                </c:pt>
                <c:pt idx="4">
                  <c:v>0.00012758268463837</c:v>
                </c:pt>
                <c:pt idx="5">
                  <c:v>0.000211946984427103</c:v>
                </c:pt>
                <c:pt idx="6">
                  <c:v>0.000316894637320951</c:v>
                </c:pt>
                <c:pt idx="7">
                  <c:v>0.00044223062665791</c:v>
                </c:pt>
                <c:pt idx="8">
                  <c:v>0.000587763775594556</c:v>
                </c:pt>
                <c:pt idx="9">
                  <c:v>0.00075330664110533</c:v>
                </c:pt>
                <c:pt idx="10">
                  <c:v>0.000938675411574134</c:v>
                </c:pt>
                <c:pt idx="11">
                  <c:v>0.00114368980783196</c:v>
                </c:pt>
                <c:pt idx="12">
                  <c:v>0.0013681729875012</c:v>
                </c:pt>
                <c:pt idx="13">
                  <c:v>0.00161195145251372</c:v>
                </c:pt>
                <c:pt idx="14">
                  <c:v>0.00187485495967617</c:v>
                </c:pt>
                <c:pt idx="15">
                  <c:v>0.0021567164341616</c:v>
                </c:pt>
                <c:pt idx="16">
                  <c:v>0.00245737188581222</c:v>
                </c:pt>
                <c:pt idx="17">
                  <c:v>0.00277666032814325</c:v>
                </c:pt>
                <c:pt idx="18">
                  <c:v>0.00311442369994296</c:v>
                </c:pt>
                <c:pt idx="19">
                  <c:v>0.00347050678936852</c:v>
                </c:pt>
                <c:pt idx="20">
                  <c:v>0.00384475716044196</c:v>
                </c:pt>
                <c:pt idx="21">
                  <c:v>0.00423702508185474</c:v>
                </c:pt>
                <c:pt idx="22">
                  <c:v>0.00464716345799336</c:v>
                </c:pt>
                <c:pt idx="23">
                  <c:v>0.00507502776210253</c:v>
                </c:pt>
                <c:pt idx="24">
                  <c:v>0.00552047597150578</c:v>
                </c:pt>
                <c:pt idx="25">
                  <c:v>0.00598336850480718</c:v>
                </c:pt>
                <c:pt idx="26">
                  <c:v>0.00646356816100075</c:v>
                </c:pt>
                <c:pt idx="27">
                  <c:v>0.00696094006041776</c:v>
                </c:pt>
                <c:pt idx="28">
                  <c:v>0.00747535158744452</c:v>
                </c:pt>
                <c:pt idx="29">
                  <c:v>0.00800667233494682</c:v>
                </c:pt>
                <c:pt idx="30">
                  <c:v>0.00855477405033906</c:v>
                </c:pt>
                <c:pt idx="31">
                  <c:v>0.00911953058323947</c:v>
                </c:pt>
                <c:pt idx="32">
                  <c:v>0.00970081783465468</c:v>
                </c:pt>
                <c:pt idx="33">
                  <c:v>0.0102985137076396</c:v>
                </c:pt>
                <c:pt idx="34">
                  <c:v>0.0109124980593806</c:v>
                </c:pt>
                <c:pt idx="35">
                  <c:v>0.0115426526546523</c:v>
                </c:pt>
                <c:pt idx="36">
                  <c:v>0.0121888611205997</c:v>
                </c:pt>
                <c:pt idx="37">
                  <c:v>0.0128510089028009</c:v>
                </c:pt>
                <c:pt idx="38">
                  <c:v>0.0135289832225646</c:v>
                </c:pt>
                <c:pt idx="39">
                  <c:v>0.0142226730354223</c:v>
                </c:pt>
                <c:pt idx="40">
                  <c:v>0.0149319689907726</c:v>
                </c:pt>
                <c:pt idx="41">
                  <c:v>0.0156567633926397</c:v>
                </c:pt>
                <c:pt idx="42">
                  <c:v>0.0163969501615092</c:v>
                </c:pt>
                <c:pt idx="43">
                  <c:v>0.017152424797203</c:v>
                </c:pt>
                <c:pt idx="44">
                  <c:v>0.0179230843427615</c:v>
                </c:pt>
                <c:pt idx="45">
                  <c:v>0.0187088273492979</c:v>
                </c:pt>
                <c:pt idx="46">
                  <c:v>0.0195095538417935</c:v>
                </c:pt>
                <c:pt idx="47">
                  <c:v>0.0203251652858025</c:v>
                </c:pt>
                <c:pt idx="48">
                  <c:v>0.0211555645550378</c:v>
                </c:pt>
                <c:pt idx="49">
                  <c:v>0.0220006558998082</c:v>
                </c:pt>
                <c:pt idx="50">
                  <c:v>0.0228603449162807</c:v>
                </c:pt>
                <c:pt idx="51">
                  <c:v>0.0237345385165404</c:v>
                </c:pt>
                <c:pt idx="52">
                  <c:v>0.0246231448994235</c:v>
                </c:pt>
                <c:pt idx="53">
                  <c:v>0.0255260735220984</c:v>
                </c:pt>
                <c:pt idx="54">
                  <c:v>0.0264432350723718</c:v>
                </c:pt>
                <c:pt idx="55">
                  <c:v>0.0273745414416966</c:v>
                </c:pt>
                <c:pt idx="56">
                  <c:v>0.02831990569886</c:v>
                </c:pt>
                <c:pt idx="57">
                  <c:v>0.0292792420643313</c:v>
                </c:pt>
                <c:pt idx="58">
                  <c:v>0.0302524658852473</c:v>
                </c:pt>
                <c:pt idx="59">
                  <c:v>0.0312394936110185</c:v>
                </c:pt>
                <c:pt idx="60">
                  <c:v>0.0322402427695341</c:v>
                </c:pt>
                <c:pt idx="61">
                  <c:v>0.0332546319439502</c:v>
                </c:pt>
                <c:pt idx="62">
                  <c:v>0.0342825807500421</c:v>
                </c:pt>
                <c:pt idx="63">
                  <c:v>0.0353240098141043</c:v>
                </c:pt>
                <c:pt idx="64">
                  <c:v>0.0363788407513816</c:v>
                </c:pt>
                <c:pt idx="65">
                  <c:v>0.037446996145016</c:v>
                </c:pt>
                <c:pt idx="66">
                  <c:v>0.0385283995254931</c:v>
                </c:pt>
                <c:pt idx="67">
                  <c:v>0.0396229753505749</c:v>
                </c:pt>
                <c:pt idx="68">
                  <c:v>0.0407306489857029</c:v>
                </c:pt>
                <c:pt idx="69">
                  <c:v>0.0418513466848597</c:v>
                </c:pt>
                <c:pt idx="70">
                  <c:v>0.0429849955718739</c:v>
                </c:pt>
                <c:pt idx="71">
                  <c:v>0.0441315236221572</c:v>
                </c:pt>
                <c:pt idx="72">
                  <c:v>0.0452908596448601</c:v>
                </c:pt>
                <c:pt idx="73">
                  <c:v>0.046462933265435</c:v>
                </c:pt>
                <c:pt idx="74">
                  <c:v>0.0476476749085946</c:v>
                </c:pt>
                <c:pt idx="75">
                  <c:v>0.0488450157816544</c:v>
                </c:pt>
                <c:pt idx="76">
                  <c:v>0.0500548878582495</c:v>
                </c:pt>
                <c:pt idx="77">
                  <c:v>0.0512772238624139</c:v>
                </c:pt>
                <c:pt idx="78">
                  <c:v>0.0525119572530122</c:v>
                </c:pt>
                <c:pt idx="79">
                  <c:v>0.0537590222085156</c:v>
                </c:pt>
                <c:pt idx="80">
                  <c:v>0.0550183536121108</c:v>
                </c:pt>
                <c:pt idx="81">
                  <c:v>0.0562898870371333</c:v>
                </c:pt>
                <c:pt idx="82">
                  <c:v>0.0575735587328168</c:v>
                </c:pt>
                <c:pt idx="83">
                  <c:v>0.0588693056103493</c:v>
                </c:pt>
                <c:pt idx="84">
                  <c:v>0.0601770652292279</c:v>
                </c:pt>
                <c:pt idx="85">
                  <c:v>0.0614967757839042</c:v>
                </c:pt>
                <c:pt idx="86">
                  <c:v>0.062828376090713</c:v>
                </c:pt>
                <c:pt idx="87">
                  <c:v>0.0641718055750753</c:v>
                </c:pt>
                <c:pt idx="88">
                  <c:v>0.0655270042589706</c:v>
                </c:pt>
                <c:pt idx="89">
                  <c:v>0.0668939127486689</c:v>
                </c:pt>
                <c:pt idx="90">
                  <c:v>0.068272472222717</c:v>
                </c:pt>
                <c:pt idx="91">
                  <c:v>0.0696626244201728</c:v>
                </c:pt>
                <c:pt idx="92">
                  <c:v>0.0710643116290795</c:v>
                </c:pt>
                <c:pt idx="93">
                  <c:v>0.0724774766751751</c:v>
                </c:pt>
                <c:pt idx="94">
                  <c:v>0.0739020629108301</c:v>
                </c:pt>
                <c:pt idx="95">
                  <c:v>0.075338014204208</c:v>
                </c:pt>
                <c:pt idx="96">
                  <c:v>0.0767852749286428</c:v>
                </c:pt>
                <c:pt idx="97">
                  <c:v>0.0782437899522279</c:v>
                </c:pt>
                <c:pt idx="98">
                  <c:v>0.0797135046276107</c:v>
                </c:pt>
                <c:pt idx="99">
                  <c:v>0.0811943647819888</c:v>
                </c:pt>
                <c:pt idx="100">
                  <c:v>0.0826863167073011</c:v>
                </c:pt>
                <c:pt idx="101">
                  <c:v>0.0841893071506105</c:v>
                </c:pt>
                <c:pt idx="102">
                  <c:v>0.0857032833046722</c:v>
                </c:pt>
                <c:pt idx="103">
                  <c:v>0.0872281927986838</c:v>
                </c:pt>
                <c:pt idx="104">
                  <c:v>0.0887639836892124</c:v>
                </c:pt>
                <c:pt idx="105">
                  <c:v>0.090310604451294</c:v>
                </c:pt>
                <c:pt idx="106">
                  <c:v>0.0918680039697017</c:v>
                </c:pt>
                <c:pt idx="107">
                  <c:v>0.0934361315303783</c:v>
                </c:pt>
                <c:pt idx="108">
                  <c:v>0.0950149368120284</c:v>
                </c:pt>
                <c:pt idx="109">
                  <c:v>0.0966043698778682</c:v>
                </c:pt>
                <c:pt idx="110">
                  <c:v>0.0982043811675266</c:v>
                </c:pt>
                <c:pt idx="111">
                  <c:v>0.0998149214890968</c:v>
                </c:pt>
                <c:pt idx="112">
                  <c:v>0.101435942011332</c:v>
                </c:pt>
                <c:pt idx="113">
                  <c:v>0.103067394255983</c:v>
                </c:pt>
                <c:pt idx="114">
                  <c:v>0.104709230090277</c:v>
                </c:pt>
                <c:pt idx="115">
                  <c:v>0.106361401719528</c:v>
                </c:pt>
                <c:pt idx="116">
                  <c:v>0.108023861679881</c:v>
                </c:pt>
                <c:pt idx="117">
                  <c:v>0.10969656283119</c:v>
                </c:pt>
                <c:pt idx="118">
                  <c:v>0.11137945835001</c:v>
                </c:pt>
                <c:pt idx="119">
                  <c:v>0.113072501722726</c:v>
                </c:pt>
                <c:pt idx="120">
                  <c:v>0.114775646738795</c:v>
                </c:pt>
                <c:pt idx="121">
                  <c:v>0.116488847484105</c:v>
                </c:pt>
                <c:pt idx="122">
                  <c:v>0.118212058334451</c:v>
                </c:pt>
                <c:pt idx="123">
                  <c:v>0.119945233949125</c:v>
                </c:pt>
                <c:pt idx="124">
                  <c:v>0.121688329264614</c:v>
                </c:pt>
                <c:pt idx="125">
                  <c:v>0.1234412994884</c:v>
                </c:pt>
                <c:pt idx="126">
                  <c:v>0.125204100092876</c:v>
                </c:pt>
                <c:pt idx="127">
                  <c:v>0.126976686809355</c:v>
                </c:pt>
                <c:pt idx="128">
                  <c:v>0.128759015622185</c:v>
                </c:pt>
                <c:pt idx="129">
                  <c:v>0.130551042762955</c:v>
                </c:pt>
                <c:pt idx="130">
                  <c:v>0.132352724704808</c:v>
                </c:pt>
                <c:pt idx="131">
                  <c:v>0.134164018156835</c:v>
                </c:pt>
                <c:pt idx="132">
                  <c:v>0.135984880058572</c:v>
                </c:pt>
                <c:pt idx="133">
                  <c:v>0.13781526757458</c:v>
                </c:pt>
                <c:pt idx="134">
                  <c:v>0.139655138089111</c:v>
                </c:pt>
                <c:pt idx="135">
                  <c:v>0.14150444920087</c:v>
                </c:pt>
                <c:pt idx="136">
                  <c:v>0.143363158717847</c:v>
                </c:pt>
                <c:pt idx="137">
                  <c:v>0.145231224652246</c:v>
                </c:pt>
                <c:pt idx="138">
                  <c:v>0.147108605215479</c:v>
                </c:pt>
                <c:pt idx="139">
                  <c:v>0.148995258813253</c:v>
                </c:pt>
                <c:pt idx="140">
                  <c:v>0.150891144040726</c:v>
                </c:pt>
                <c:pt idx="141">
                  <c:v>0.152796219677739</c:v>
                </c:pt>
                <c:pt idx="142">
                  <c:v>0.154710444684126</c:v>
                </c:pt>
                <c:pt idx="143">
                  <c:v>0.156633778195089</c:v>
                </c:pt>
                <c:pt idx="144">
                  <c:v>0.158566179516653</c:v>
                </c:pt>
                <c:pt idx="145">
                  <c:v>0.160507608121184</c:v>
                </c:pt>
                <c:pt idx="146">
                  <c:v>0.162458023642978</c:v>
                </c:pt>
                <c:pt idx="147">
                  <c:v>0.164417385873911</c:v>
                </c:pt>
                <c:pt idx="148">
                  <c:v>0.166385654759165</c:v>
                </c:pt>
                <c:pt idx="149">
                  <c:v>0.168362790393008</c:v>
                </c:pt>
                <c:pt idx="150">
                  <c:v>0.170348753014637</c:v>
                </c:pt>
                <c:pt idx="151">
                  <c:v>0.172343503004095</c:v>
                </c:pt>
                <c:pt idx="152">
                  <c:v>0.174347000878226</c:v>
                </c:pt>
                <c:pt idx="153">
                  <c:v>0.176359207286712</c:v>
                </c:pt>
                <c:pt idx="154">
                  <c:v>0.178380083008152</c:v>
                </c:pt>
                <c:pt idx="155">
                  <c:v>0.180409588946203</c:v>
                </c:pt>
                <c:pt idx="156">
                  <c:v>0.182447686125779</c:v>
                </c:pt>
                <c:pt idx="157">
                  <c:v>0.184494335689299</c:v>
                </c:pt>
                <c:pt idx="158">
                  <c:v>0.186549498892992</c:v>
                </c:pt>
                <c:pt idx="159">
                  <c:v>0.188613137103254</c:v>
                </c:pt>
                <c:pt idx="160">
                  <c:v>0.190685211793054</c:v>
                </c:pt>
                <c:pt idx="161">
                  <c:v>0.192765684538396</c:v>
                </c:pt>
                <c:pt idx="162">
                  <c:v>0.194854517014822</c:v>
                </c:pt>
                <c:pt idx="163">
                  <c:v>0.196951670993968</c:v>
                </c:pt>
                <c:pt idx="164">
                  <c:v>0.199057108340173</c:v>
                </c:pt>
                <c:pt idx="165">
                  <c:v>0.201170791007121</c:v>
                </c:pt>
                <c:pt idx="166">
                  <c:v>0.203292681034542</c:v>
                </c:pt>
                <c:pt idx="167">
                  <c:v>0.205422740544953</c:v>
                </c:pt>
                <c:pt idx="168">
                  <c:v>0.207560931740439</c:v>
                </c:pt>
                <c:pt idx="169">
                  <c:v>0.209707216899482</c:v>
                </c:pt>
                <c:pt idx="170">
                  <c:v>0.211861558373835</c:v>
                </c:pt>
                <c:pt idx="171">
                  <c:v>0.214023918585428</c:v>
                </c:pt>
                <c:pt idx="172">
                  <c:v>0.216194260023326</c:v>
                </c:pt>
                <c:pt idx="173">
                  <c:v>0.218372545240719</c:v>
                </c:pt>
                <c:pt idx="174">
                  <c:v>0.220558736851956</c:v>
                </c:pt>
                <c:pt idx="175">
                  <c:v>0.222752797529618</c:v>
                </c:pt>
                <c:pt idx="176">
                  <c:v>0.22495469000162</c:v>
                </c:pt>
                <c:pt idx="177">
                  <c:v>0.227164377048369</c:v>
                </c:pt>
                <c:pt idx="178">
                  <c:v>0.229381821499938</c:v>
                </c:pt>
                <c:pt idx="179">
                  <c:v>0.231606986233288</c:v>
                </c:pt>
                <c:pt idx="180">
                  <c:v>0.233839834169525</c:v>
                </c:pt>
                <c:pt idx="181">
                  <c:v>0.23608032827119</c:v>
                </c:pt>
                <c:pt idx="182">
                  <c:v>0.238328431539579</c:v>
                </c:pt>
                <c:pt idx="183">
                  <c:v>0.240584107012103</c:v>
                </c:pt>
                <c:pt idx="184">
                  <c:v>0.242847317759681</c:v>
                </c:pt>
                <c:pt idx="185">
                  <c:v>0.245118026884158</c:v>
                </c:pt>
                <c:pt idx="186">
                  <c:v>0.247396197515764</c:v>
                </c:pt>
                <c:pt idx="187">
                  <c:v>0.249681792810599</c:v>
                </c:pt>
                <c:pt idx="188">
                  <c:v>0.251974775948153</c:v>
                </c:pt>
                <c:pt idx="189">
                  <c:v>0.254275110128847</c:v>
                </c:pt>
                <c:pt idx="190">
                  <c:v>0.25658275857162</c:v>
                </c:pt>
                <c:pt idx="191">
                  <c:v>0.258897684511528</c:v>
                </c:pt>
                <c:pt idx="192">
                  <c:v>0.261219851197383</c:v>
                </c:pt>
                <c:pt idx="193">
                  <c:v>0.26354922188942</c:v>
                </c:pt>
                <c:pt idx="194">
                  <c:v>0.265885759856985</c:v>
                </c:pt>
                <c:pt idx="195">
                  <c:v>0.268229428376255</c:v>
                </c:pt>
                <c:pt idx="196">
                  <c:v>0.270580190727989</c:v>
                </c:pt>
                <c:pt idx="197">
                  <c:v>0.272938010195298</c:v>
                </c:pt>
                <c:pt idx="198">
                  <c:v>0.275302850061446</c:v>
                </c:pt>
                <c:pt idx="199">
                  <c:v>0.277674673607674</c:v>
                </c:pt>
                <c:pt idx="200">
                  <c:v>0.280053444111056</c:v>
                </c:pt>
                <c:pt idx="201">
                  <c:v>0.282439124842368</c:v>
                </c:pt>
                <c:pt idx="202">
                  <c:v>0.284831679063994</c:v>
                </c:pt>
                <c:pt idx="203">
                  <c:v>0.287231070027849</c:v>
                </c:pt>
                <c:pt idx="204">
                  <c:v>0.289637260973328</c:v>
                </c:pt>
                <c:pt idx="205">
                  <c:v>0.292050215125279</c:v>
                </c:pt>
                <c:pt idx="206">
                  <c:v>0.294469895691998</c:v>
                </c:pt>
                <c:pt idx="207">
                  <c:v>0.296896265863247</c:v>
                </c:pt>
                <c:pt idx="208">
                  <c:v>0.299329288808298</c:v>
                </c:pt>
                <c:pt idx="209">
                  <c:v>0.301768927673991</c:v>
                </c:pt>
                <c:pt idx="210">
                  <c:v>0.304215145582824</c:v>
                </c:pt>
                <c:pt idx="211">
                  <c:v>0.306667905631055</c:v>
                </c:pt>
                <c:pt idx="212">
                  <c:v>0.309127170886836</c:v>
                </c:pt>
                <c:pt idx="213">
                  <c:v>0.311592904388353</c:v>
                </c:pt>
                <c:pt idx="214">
                  <c:v>0.314065069142005</c:v>
                </c:pt>
                <c:pt idx="215">
                  <c:v>0.316543628120585</c:v>
                </c:pt>
                <c:pt idx="216">
                  <c:v>0.319028544261496</c:v>
                </c:pt>
                <c:pt idx="217">
                  <c:v>0.321519780464977</c:v>
                </c:pt>
                <c:pt idx="218">
                  <c:v>0.324017299592354</c:v>
                </c:pt>
                <c:pt idx="219">
                  <c:v>0.326521064464307</c:v>
                </c:pt>
                <c:pt idx="220">
                  <c:v>0.329031037859156</c:v>
                </c:pt>
                <c:pt idx="221">
                  <c:v>0.331547182511172</c:v>
                </c:pt>
                <c:pt idx="222">
                  <c:v>0.334069461108896</c:v>
                </c:pt>
                <c:pt idx="223">
                  <c:v>0.336597836293485</c:v>
                </c:pt>
                <c:pt idx="224">
                  <c:v>0.339132270657069</c:v>
                </c:pt>
                <c:pt idx="225">
                  <c:v>0.341672726741136</c:v>
                </c:pt>
                <c:pt idx="226">
                  <c:v>0.34421916703492</c:v>
                </c:pt>
                <c:pt idx="227">
                  <c:v>0.346771553973822</c:v>
                </c:pt>
                <c:pt idx="228">
                  <c:v>0.349329849937834</c:v>
                </c:pt>
                <c:pt idx="229">
                  <c:v>0.351894017249991</c:v>
                </c:pt>
                <c:pt idx="230">
                  <c:v>0.354464018174831</c:v>
                </c:pt>
                <c:pt idx="231">
                  <c:v>0.357039814916881</c:v>
                </c:pt>
                <c:pt idx="232">
                  <c:v>0.359621369619146</c:v>
                </c:pt>
                <c:pt idx="233">
                  <c:v>0.362208644361629</c:v>
                </c:pt>
                <c:pt idx="234">
                  <c:v>0.364801601159856</c:v>
                </c:pt>
                <c:pt idx="235">
                  <c:v>0.36740020196342</c:v>
                </c:pt>
                <c:pt idx="236">
                  <c:v>0.370004408654543</c:v>
                </c:pt>
                <c:pt idx="237">
                  <c:v>0.37261418304665</c:v>
                </c:pt>
                <c:pt idx="238">
                  <c:v>0.375229486882959</c:v>
                </c:pt>
                <c:pt idx="239">
                  <c:v>0.377850281835086</c:v>
                </c:pt>
                <c:pt idx="240">
                  <c:v>0.380476529501667</c:v>
                </c:pt>
                <c:pt idx="241">
                  <c:v>0.383108191406992</c:v>
                </c:pt>
                <c:pt idx="242">
                  <c:v>0.38574522899965</c:v>
                </c:pt>
                <c:pt idx="243">
                  <c:v>0.388387603651202</c:v>
                </c:pt>
                <c:pt idx="244">
                  <c:v>0.391035276654848</c:v>
                </c:pt>
                <c:pt idx="245">
                  <c:v>0.393688209224127</c:v>
                </c:pt>
                <c:pt idx="246">
                  <c:v>0.396346362491618</c:v>
                </c:pt>
                <c:pt idx="247">
                  <c:v>0.39900969750766</c:v>
                </c:pt>
                <c:pt idx="248">
                  <c:v>0.401678175239086</c:v>
                </c:pt>
                <c:pt idx="249">
                  <c:v>0.404351756567971</c:v>
                </c:pt>
                <c:pt idx="250">
                  <c:v>0.407030402290385</c:v>
                </c:pt>
                <c:pt idx="251">
                  <c:v>0.409714073115174</c:v>
                </c:pt>
                <c:pt idx="252">
                  <c:v>0.412402729662742</c:v>
                </c:pt>
                <c:pt idx="253">
                  <c:v>0.415096332463847</c:v>
                </c:pt>
                <c:pt idx="254">
                  <c:v>0.417794841958418</c:v>
                </c:pt>
                <c:pt idx="255">
                  <c:v>0.420498218494376</c:v>
                </c:pt>
                <c:pt idx="256">
                  <c:v>0.423206422326471</c:v>
                </c:pt>
                <c:pt idx="257">
                  <c:v>0.425919413615131</c:v>
                </c:pt>
                <c:pt idx="258">
                  <c:v>0.428637152425325</c:v>
                </c:pt>
                <c:pt idx="259">
                  <c:v>0.431359598725436</c:v>
                </c:pt>
                <c:pt idx="260">
                  <c:v>0.434086712386145</c:v>
                </c:pt>
                <c:pt idx="261">
                  <c:v>0.436818453179332</c:v>
                </c:pt>
                <c:pt idx="262">
                  <c:v>0.439554780776981</c:v>
                </c:pt>
                <c:pt idx="263">
                  <c:v>0.442295654750108</c:v>
                </c:pt>
                <c:pt idx="264">
                  <c:v>0.445041034567689</c:v>
                </c:pt>
                <c:pt idx="265">
                  <c:v>0.447790879595604</c:v>
                </c:pt>
                <c:pt idx="266">
                  <c:v>0.450545149095597</c:v>
                </c:pt>
                <c:pt idx="267">
                  <c:v>0.453303802224244</c:v>
                </c:pt>
                <c:pt idx="268">
                  <c:v>0.456066798031926</c:v>
                </c:pt>
                <c:pt idx="269">
                  <c:v>0.458834095461824</c:v>
                </c:pt>
                <c:pt idx="270">
                  <c:v>0.461605653348921</c:v>
                </c:pt>
                <c:pt idx="271">
                  <c:v>0.464381430419009</c:v>
                </c:pt>
                <c:pt idx="272">
                  <c:v>0.467161385287718</c:v>
                </c:pt>
                <c:pt idx="273">
                  <c:v>0.469945476459547</c:v>
                </c:pt>
                <c:pt idx="274">
                  <c:v>0.472733662326907</c:v>
                </c:pt>
                <c:pt idx="275">
                  <c:v>0.475525901169182</c:v>
                </c:pt>
                <c:pt idx="276">
                  <c:v>0.478322151151791</c:v>
                </c:pt>
                <c:pt idx="277">
                  <c:v>0.481122370325266</c:v>
                </c:pt>
                <c:pt idx="278">
                  <c:v>0.483926516624338</c:v>
                </c:pt>
                <c:pt idx="279">
                  <c:v>0.486734547867039</c:v>
                </c:pt>
                <c:pt idx="280">
                  <c:v>0.489546421753803</c:v>
                </c:pt>
                <c:pt idx="281">
                  <c:v>0.492362095866591</c:v>
                </c:pt>
                <c:pt idx="282">
                  <c:v>0.495181527668017</c:v>
                </c:pt>
                <c:pt idx="283">
                  <c:v>0.498004674500485</c:v>
                </c:pt>
                <c:pt idx="284">
                  <c:v>0.500831493585339</c:v>
                </c:pt>
                <c:pt idx="285">
                  <c:v>0.503661942022026</c:v>
                </c:pt>
                <c:pt idx="286">
                  <c:v>0.506495976787256</c:v>
                </c:pt>
                <c:pt idx="287">
                  <c:v>0.509333554734189</c:v>
                </c:pt>
                <c:pt idx="288">
                  <c:v>0.51217463259162</c:v>
                </c:pt>
                <c:pt idx="289">
                  <c:v>0.515019166963176</c:v>
                </c:pt>
                <c:pt idx="290">
                  <c:v>0.517867114326529</c:v>
                </c:pt>
                <c:pt idx="291">
                  <c:v>0.520718431032606</c:v>
                </c:pt>
                <c:pt idx="292">
                  <c:v>0.523573073304827</c:v>
                </c:pt>
                <c:pt idx="293">
                  <c:v>0.52643099723833</c:v>
                </c:pt>
                <c:pt idx="294">
                  <c:v>0.529292158799229</c:v>
                </c:pt>
                <c:pt idx="295">
                  <c:v>0.532156513823862</c:v>
                </c:pt>
                <c:pt idx="296">
                  <c:v>0.535024018018059</c:v>
                </c:pt>
                <c:pt idx="297">
                  <c:v>0.53789462695642</c:v>
                </c:pt>
                <c:pt idx="298">
                  <c:v>0.540768296081594</c:v>
                </c:pt>
                <c:pt idx="299">
                  <c:v>0.543644980703577</c:v>
                </c:pt>
                <c:pt idx="300">
                  <c:v>0.546524635999012</c:v>
                </c:pt>
              </c:numCache>
            </c:numRef>
          </c:yVal>
          <c:smooth val="1"/>
        </c:ser>
        <c:axId val="47303796"/>
        <c:axId val="85314389"/>
      </c:scatterChart>
      <c:valAx>
        <c:axId val="47303796"/>
        <c:scaling>
          <c:orientation val="minMax"/>
          <c:max val="45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y(Fin semispan), in</a:t>
                </a:r>
              </a:p>
            </c:rich>
          </c:tx>
          <c:layout>
            <c:manualLayout>
              <c:xMode val="edge"/>
              <c:yMode val="edge"/>
              <c:x val="0.369596179624665"/>
              <c:y val="0.87943589270900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14389"/>
        <c:crossesAt val="0"/>
        <c:crossBetween val="midCat"/>
      </c:valAx>
      <c:valAx>
        <c:axId val="85314389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6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Alpha, rad</a:t>
                </a:r>
              </a:p>
            </c:rich>
          </c:tx>
          <c:layout>
            <c:manualLayout>
              <c:xMode val="edge"/>
              <c:yMode val="edge"/>
              <c:x val="0.0104725201072386"/>
              <c:y val="0.40934648354687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303796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53929289544236"/>
          <c:y val="0.512858327956494"/>
          <c:w val="0.127094504021448"/>
          <c:h val="0.06507512213107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200" b="1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90720</xdr:colOff>
      <xdr:row>4</xdr:row>
      <xdr:rowOff>95400</xdr:rowOff>
    </xdr:from>
    <xdr:to>
      <xdr:col>7</xdr:col>
      <xdr:colOff>704880</xdr:colOff>
      <xdr:row>5</xdr:row>
      <xdr:rowOff>133200</xdr:rowOff>
    </xdr:to>
    <xdr:sp>
      <xdr:nvSpPr>
        <xdr:cNvPr id="1" name="Rounded Rectangle 1"/>
        <xdr:cNvSpPr/>
      </xdr:nvSpPr>
      <xdr:spPr>
        <a:xfrm>
          <a:off x="3718440" y="1428840"/>
          <a:ext cx="2344680" cy="419040"/>
        </a:xfrm>
        <a:prstGeom prst="roundRect">
          <a:avLst>
            <a:gd name="adj" fmla="val 16667"/>
          </a:avLst>
        </a:prstGeom>
        <a:solidFill>
          <a:srgbClr val="4f81bd"/>
        </a:solidFill>
        <a:ln w="25560">
          <a:solidFill>
            <a:srgbClr val="385d8a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 anchor="ctr">
          <a:noAutofit/>
        </a:bodyPr>
        <a:p>
          <a:pPr algn="ctr"/>
          <a:r>
            <a:rPr lang="en-US" sz="2000" b="1" u="none" strike="noStrike">
              <a:solidFill>
                <a:srgbClr val="ffffff"/>
              </a:solidFill>
              <a:effectLst/>
              <a:uFillTx/>
              <a:latin typeface="Calibri"/>
            </a:rPr>
            <a:t>Run</a:t>
          </a:r>
          <a:endParaRPr lang="en-US" sz="2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100800</xdr:colOff>
      <xdr:row>15</xdr:row>
      <xdr:rowOff>85680</xdr:rowOff>
    </xdr:from>
    <xdr:to>
      <xdr:col>14</xdr:col>
      <xdr:colOff>635040</xdr:colOff>
      <xdr:row>37</xdr:row>
      <xdr:rowOff>66960</xdr:rowOff>
    </xdr:to>
    <xdr:graphicFrame>
      <xdr:nvGraphicFramePr>
        <xdr:cNvPr id="2" name="Chart 3"/>
        <xdr:cNvGraphicFramePr/>
      </xdr:nvGraphicFramePr>
      <xdr:xfrm>
        <a:off x="3728520" y="4095720"/>
        <a:ext cx="8563680" cy="417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90720</xdr:colOff>
      <xdr:row>37</xdr:row>
      <xdr:rowOff>133200</xdr:rowOff>
    </xdr:from>
    <xdr:to>
      <xdr:col>14</xdr:col>
      <xdr:colOff>654840</xdr:colOff>
      <xdr:row>58</xdr:row>
      <xdr:rowOff>38160</xdr:rowOff>
    </xdr:to>
    <xdr:graphicFrame>
      <xdr:nvGraphicFramePr>
        <xdr:cNvPr id="3" name="Chart 4"/>
        <xdr:cNvGraphicFramePr/>
      </xdr:nvGraphicFramePr>
      <xdr:xfrm>
        <a:off x="3718440" y="8334360"/>
        <a:ext cx="8593560" cy="390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90720</xdr:colOff>
      <xdr:row>58</xdr:row>
      <xdr:rowOff>57240</xdr:rowOff>
    </xdr:from>
    <xdr:to>
      <xdr:col>14</xdr:col>
      <xdr:colOff>654840</xdr:colOff>
      <xdr:row>78</xdr:row>
      <xdr:rowOff>152640</xdr:rowOff>
    </xdr:to>
    <xdr:graphicFrame>
      <xdr:nvGraphicFramePr>
        <xdr:cNvPr id="4" name="Chart 4"/>
        <xdr:cNvGraphicFramePr/>
      </xdr:nvGraphicFramePr>
      <xdr:xfrm>
        <a:off x="3718440" y="12258720"/>
        <a:ext cx="8593560" cy="390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9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3" min="3" style="0" width="10.99"/>
    <col collapsed="false" customWidth="true" hidden="false" outlineLevel="0" max="4" min="4" style="0" width="11.56"/>
    <col collapsed="false" customWidth="true" hidden="false" outlineLevel="0" max="5" min="5" style="0" width="10.99"/>
    <col collapsed="false" customWidth="true" hidden="false" outlineLevel="0" max="6" min="6" style="0" width="12.42"/>
    <col collapsed="false" customWidth="true" hidden="false" outlineLevel="0" max="7" min="7" style="0" width="12.14"/>
    <col collapsed="false" customWidth="true" hidden="false" outlineLevel="0" max="8" min="8" style="0" width="12.28"/>
    <col collapsed="false" customWidth="true" hidden="false" outlineLevel="0" max="9" min="9" style="0" width="16.28"/>
    <col collapsed="false" customWidth="true" hidden="false" outlineLevel="0" max="10" min="10" style="0" width="12.85"/>
    <col collapsed="false" customWidth="true" hidden="false" outlineLevel="0" max="11" min="11" style="0" width="9.28"/>
    <col collapsed="false" customWidth="true" hidden="false" outlineLevel="0" max="12" min="12" style="0" width="12.42"/>
    <col collapsed="false" customWidth="true" hidden="false" outlineLevel="0" max="13" min="13" style="0" width="13.28"/>
    <col collapsed="false" customWidth="true" hidden="false" outlineLevel="0" max="15" min="14" style="0" width="12.99"/>
    <col collapsed="false" customWidth="true" hidden="false" outlineLevel="0" max="16" min="16" style="0" width="14.14"/>
    <col collapsed="false" customWidth="true" hidden="false" outlineLevel="0" max="17" min="17" style="0" width="10.28"/>
    <col collapsed="false" customWidth="true" hidden="false" outlineLevel="0" max="19" min="19" style="0" width="9.28"/>
    <col collapsed="false" customWidth="true" hidden="false" outlineLevel="0" max="21" min="21" style="0" width="9.7"/>
  </cols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  <c r="P1" s="0" t="n">
        <v>16</v>
      </c>
    </row>
    <row r="2" customFormat="false" ht="60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customFormat="false" ht="15" hidden="false" customHeight="false" outlineLevel="0" collapsed="false">
      <c r="A3" s="2" t="n">
        <v>24</v>
      </c>
      <c r="B3" s="2" t="n">
        <v>4</v>
      </c>
      <c r="C3" s="2" t="n">
        <v>12.5</v>
      </c>
      <c r="D3" s="2" t="n">
        <v>39.6</v>
      </c>
      <c r="E3" s="3" t="b">
        <f aca="false">FALSE()</f>
        <v>0</v>
      </c>
      <c r="F3" s="3" t="n">
        <v>0.375</v>
      </c>
      <c r="G3" s="3" t="n">
        <v>0.02742</v>
      </c>
      <c r="H3" s="4" t="n">
        <v>1000000</v>
      </c>
      <c r="I3" s="3" t="n">
        <v>3.4</v>
      </c>
      <c r="J3" s="3" t="n">
        <v>800</v>
      </c>
      <c r="L3" s="0" t="n">
        <f aca="false">(A3*D3-B3*C3)/(D3-C3)</f>
        <v>33.2250922509225</v>
      </c>
      <c r="M3" s="0" t="n">
        <f aca="false">(A3-B3)/(D3-C3)</f>
        <v>0.738007380073801</v>
      </c>
      <c r="N3" s="5" t="n">
        <f aca="false">J3*I3/(4*H3*O3*12^2*M3^2)</f>
        <v>9.56872756688094E-005</v>
      </c>
      <c r="O3" s="6" t="n">
        <f aca="false">IF(E3=TRUE(),F3^3/3,2*F3*(F3-G3)^2)</f>
        <v>0.0906088923</v>
      </c>
      <c r="P3" s="0" t="n">
        <f aca="false">(D3-C3)/(C6-1)</f>
        <v>0.0906354515050167</v>
      </c>
    </row>
    <row r="4" customFormat="false" ht="15" hidden="false" customHeight="false" outlineLevel="0" collapsed="false">
      <c r="L4" s="7" t="n">
        <v>33.2250922509225</v>
      </c>
      <c r="M4" s="7" t="n">
        <v>0.738007380073801</v>
      </c>
      <c r="N4" s="7" t="n">
        <v>9.56872756688093E-005</v>
      </c>
      <c r="O4" s="7" t="n">
        <v>0.0906088923</v>
      </c>
      <c r="P4" s="7" t="n">
        <v>0.0906354515050167</v>
      </c>
    </row>
    <row r="5" customFormat="false" ht="30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18</v>
      </c>
    </row>
    <row r="6" customFormat="false" ht="15" hidden="false" customHeight="false" outlineLevel="0" collapsed="false">
      <c r="A6" s="2" t="n">
        <v>0</v>
      </c>
      <c r="B6" s="2" t="n">
        <v>0</v>
      </c>
      <c r="C6" s="2" t="n">
        <v>300</v>
      </c>
      <c r="D6" s="2" t="n">
        <v>4</v>
      </c>
    </row>
    <row r="7" customFormat="false" ht="15" hidden="false" customHeight="false" outlineLevel="0" collapsed="false">
      <c r="K7" s="8"/>
    </row>
    <row r="8" customFormat="false" ht="30.75" hidden="false" customHeight="true" outlineLevel="0" collapsed="false">
      <c r="K8" s="8"/>
      <c r="L8" s="9" t="s">
        <v>19</v>
      </c>
      <c r="M8" s="9"/>
      <c r="N8" s="9"/>
      <c r="O8" s="9"/>
    </row>
    <row r="9" customFormat="false" ht="15" hidden="false" customHeight="false" outlineLevel="0" collapsed="false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K9" s="8"/>
      <c r="L9" s="1" t="s">
        <v>25</v>
      </c>
      <c r="M9" s="1" t="s">
        <v>26</v>
      </c>
      <c r="N9" s="10" t="s">
        <v>27</v>
      </c>
      <c r="O9" s="10" t="s">
        <v>28</v>
      </c>
    </row>
    <row r="10" customFormat="false" ht="15" hidden="false" customHeight="false" outlineLevel="0" collapsed="false">
      <c r="A10" s="0" t="n">
        <v>1</v>
      </c>
      <c r="B10" s="0" t="n">
        <v>12.5</v>
      </c>
      <c r="C10" s="0" t="n">
        <v>0</v>
      </c>
      <c r="D10" s="0" t="n">
        <v>0</v>
      </c>
      <c r="E10" s="0" t="n">
        <v>0</v>
      </c>
      <c r="K10" s="8"/>
      <c r="L10" s="11" t="n">
        <v>2.39913380645353</v>
      </c>
      <c r="M10" s="11" t="n">
        <v>-4.80771598547761</v>
      </c>
      <c r="N10" s="11" t="n">
        <v>-0.499017374092076</v>
      </c>
      <c r="O10" s="11" t="n">
        <v>12.7348204274598</v>
      </c>
      <c r="U10" s="12"/>
    </row>
    <row r="11" customFormat="false" ht="15" hidden="false" customHeight="false" outlineLevel="0" collapsed="false">
      <c r="A11" s="0" t="n">
        <v>2</v>
      </c>
      <c r="B11" s="0" t="n">
        <v>12.590635451505</v>
      </c>
      <c r="C11" s="0" t="n">
        <v>1.07406767390355E-005</v>
      </c>
      <c r="D11" s="0" t="n">
        <v>-0.000134744966683711</v>
      </c>
      <c r="E11" s="0" t="n">
        <v>2.14040725039789E-005</v>
      </c>
      <c r="K11" s="8"/>
      <c r="O11" s="12"/>
      <c r="U11" s="12"/>
    </row>
    <row r="12" customFormat="false" ht="15" hidden="false" customHeight="true" outlineLevel="0" collapsed="false">
      <c r="A12" s="0" t="n">
        <v>3</v>
      </c>
      <c r="B12" s="0" t="n">
        <v>12.68127090301</v>
      </c>
      <c r="C12" s="0" t="n">
        <v>3.21921667950106E-005</v>
      </c>
      <c r="D12" s="0" t="n">
        <v>-0.000404831022955518</v>
      </c>
      <c r="E12" s="0" t="n">
        <v>6.40007041819429E-005</v>
      </c>
      <c r="G12" s="13" t="s">
        <v>29</v>
      </c>
      <c r="H12" s="13"/>
      <c r="I12" s="13"/>
      <c r="K12" s="8"/>
      <c r="L12" s="9" t="s">
        <v>30</v>
      </c>
      <c r="M12" s="9"/>
      <c r="N12" s="9"/>
      <c r="O12" s="9"/>
      <c r="U12" s="12"/>
      <c r="V12" s="12"/>
      <c r="W12" s="12"/>
    </row>
    <row r="13" customFormat="false" ht="30" hidden="false" customHeight="false" outlineLevel="0" collapsed="false">
      <c r="A13" s="0" t="n">
        <v>4</v>
      </c>
      <c r="B13" s="0" t="n">
        <v>12.7719063545151</v>
      </c>
      <c r="C13" s="0" t="n">
        <v>6.43247205105198E-005</v>
      </c>
      <c r="D13" s="0" t="n">
        <v>-0.000810850295078655</v>
      </c>
      <c r="E13" s="0" t="n">
        <v>0.00012758268463837</v>
      </c>
      <c r="G13" s="14" t="s">
        <v>31</v>
      </c>
      <c r="H13" s="14" t="s">
        <v>32</v>
      </c>
      <c r="I13" s="14" t="s">
        <v>33</v>
      </c>
      <c r="K13" s="8"/>
      <c r="L13" s="1" t="s">
        <v>25</v>
      </c>
      <c r="M13" s="1" t="s">
        <v>26</v>
      </c>
      <c r="N13" s="10" t="s">
        <v>34</v>
      </c>
      <c r="O13" s="10" t="s">
        <v>28</v>
      </c>
      <c r="S13" s="12"/>
      <c r="U13" s="12"/>
      <c r="V13" s="12"/>
      <c r="W13" s="12"/>
    </row>
    <row r="14" customFormat="false" ht="15" hidden="false" customHeight="false" outlineLevel="0" collapsed="false">
      <c r="A14" s="0" t="n">
        <v>5</v>
      </c>
      <c r="B14" s="0" t="n">
        <v>12.8625418060201</v>
      </c>
      <c r="C14" s="0" t="n">
        <v>0.000107108700712712</v>
      </c>
      <c r="D14" s="0" t="n">
        <v>-0.00135339090681242</v>
      </c>
      <c r="E14" s="0" t="n">
        <v>0.000211946984427103</v>
      </c>
      <c r="G14" s="11" t="n">
        <v>0.275107452917967</v>
      </c>
      <c r="H14" s="11" t="n">
        <v>-0.393296884142706</v>
      </c>
      <c r="I14" s="11" t="n">
        <v>0.180202571063351</v>
      </c>
      <c r="K14" s="8"/>
      <c r="L14" s="11" t="n">
        <v>2.6742412593715</v>
      </c>
      <c r="M14" s="11" t="n">
        <v>-5.20101286962031</v>
      </c>
      <c r="N14" s="11" t="n">
        <v>-0.514177012518472</v>
      </c>
      <c r="O14" s="11" t="n">
        <v>12.9150229985231</v>
      </c>
      <c r="U14" s="12"/>
      <c r="V14" s="12"/>
      <c r="W14" s="12"/>
    </row>
    <row r="15" customFormat="false" ht="15" hidden="false" customHeight="false" outlineLevel="0" collapsed="false">
      <c r="A15" s="0" t="n">
        <v>6</v>
      </c>
      <c r="B15" s="0" t="n">
        <v>12.9531772575251</v>
      </c>
      <c r="C15" s="0" t="n">
        <v>0.000160514581437916</v>
      </c>
      <c r="D15" s="0" t="n">
        <v>-0.0020330369734359</v>
      </c>
      <c r="E15" s="0" t="n">
        <v>0.000316894637320951</v>
      </c>
      <c r="G15" s="8"/>
      <c r="H15" s="8"/>
      <c r="K15" s="8"/>
      <c r="L15" s="8"/>
      <c r="M15" s="8"/>
      <c r="N15" s="8"/>
      <c r="O15" s="12"/>
      <c r="U15" s="12"/>
      <c r="V15" s="12"/>
      <c r="W15" s="12"/>
    </row>
    <row r="16" customFormat="false" ht="15" hidden="false" customHeight="false" outlineLevel="0" collapsed="false">
      <c r="A16" s="0" t="n">
        <v>7</v>
      </c>
      <c r="B16" s="0" t="n">
        <v>13.0438127090301</v>
      </c>
      <c r="C16" s="0" t="n">
        <v>0.000224512946661002</v>
      </c>
      <c r="D16" s="0" t="n">
        <v>-0.00285036859565868</v>
      </c>
      <c r="E16" s="0" t="n">
        <v>0.00044223062665791</v>
      </c>
      <c r="H16" s="12"/>
      <c r="K16" s="8"/>
      <c r="N16" s="8"/>
      <c r="Q16" s="12"/>
      <c r="R16" s="12"/>
      <c r="S16" s="12"/>
      <c r="U16" s="12"/>
      <c r="V16" s="12"/>
      <c r="W16" s="12"/>
    </row>
    <row r="17" customFormat="false" ht="15" hidden="false" customHeight="false" outlineLevel="0" collapsed="false">
      <c r="A17" s="0" t="n">
        <v>8</v>
      </c>
      <c r="B17" s="0" t="n">
        <v>13.1344481605351</v>
      </c>
      <c r="C17" s="0" t="n">
        <v>0.000299074489029438</v>
      </c>
      <c r="D17" s="0" t="n">
        <v>-0.0038059618534192</v>
      </c>
      <c r="E17" s="0" t="n">
        <v>0.000587763775594556</v>
      </c>
      <c r="K17" s="8"/>
      <c r="N17" s="8"/>
      <c r="O17" s="12"/>
      <c r="S17" s="12"/>
      <c r="U17" s="12"/>
      <c r="V17" s="12"/>
      <c r="W17" s="12"/>
    </row>
    <row r="18" customFormat="false" ht="15" hidden="false" customHeight="false" outlineLevel="0" collapsed="false">
      <c r="A18" s="0" t="n">
        <v>9</v>
      </c>
      <c r="B18" s="0" t="n">
        <v>13.2250836120401</v>
      </c>
      <c r="C18" s="0" t="n">
        <v>0.00038417000860203</v>
      </c>
      <c r="D18" s="0" t="n">
        <v>-0.00490038879957112</v>
      </c>
      <c r="E18" s="0" t="n">
        <v>0.00075330664110533</v>
      </c>
      <c r="K18" s="12"/>
      <c r="O18" s="12"/>
      <c r="S18" s="12"/>
      <c r="U18" s="12"/>
      <c r="V18" s="12"/>
      <c r="W18" s="12"/>
    </row>
    <row r="19" customFormat="false" ht="15" hidden="false" customHeight="false" outlineLevel="0" collapsed="false">
      <c r="A19" s="0" t="n">
        <v>10</v>
      </c>
      <c r="B19" s="0" t="n">
        <v>13.3157190635452</v>
      </c>
      <c r="C19" s="0" t="n">
        <v>0.000479770411592292</v>
      </c>
      <c r="D19" s="0" t="n">
        <v>-0.0061342174534584</v>
      </c>
      <c r="E19" s="0" t="n">
        <v>0.000938675411574134</v>
      </c>
      <c r="K19" s="12"/>
      <c r="M19" s="12"/>
      <c r="O19" s="12"/>
      <c r="Q19" s="12"/>
      <c r="S19" s="12"/>
      <c r="U19" s="12"/>
      <c r="V19" s="12"/>
      <c r="W19" s="12"/>
    </row>
    <row r="20" customFormat="false" ht="15" hidden="false" customHeight="false" outlineLevel="0" collapsed="false">
      <c r="A20" s="0" t="n">
        <v>11</v>
      </c>
      <c r="B20" s="0" t="n">
        <v>13.4063545150502</v>
      </c>
      <c r="C20" s="0" t="n">
        <v>0.000585846709116438</v>
      </c>
      <c r="D20" s="0" t="n">
        <v>-0.00750801179437954</v>
      </c>
      <c r="E20" s="0" t="n">
        <v>0.00114368980783196</v>
      </c>
      <c r="K20" s="12"/>
      <c r="M20" s="12"/>
      <c r="O20" s="12"/>
      <c r="Q20" s="12"/>
      <c r="S20" s="12"/>
      <c r="U20" s="12"/>
      <c r="V20" s="12"/>
      <c r="W20" s="12"/>
    </row>
    <row r="21" customFormat="false" ht="15" hidden="false" customHeight="false" outlineLevel="0" collapsed="false">
      <c r="A21" s="0" t="n">
        <v>12</v>
      </c>
      <c r="B21" s="0" t="n">
        <v>13.4969899665552</v>
      </c>
      <c r="C21" s="0" t="n">
        <v>0.000702370015945958</v>
      </c>
      <c r="D21" s="0" t="n">
        <v>-0.0090223317549415</v>
      </c>
      <c r="E21" s="0" t="n">
        <v>0.0013681729875012</v>
      </c>
      <c r="O21" s="12"/>
      <c r="Q21" s="12"/>
      <c r="S21" s="12"/>
      <c r="U21" s="12"/>
      <c r="V21" s="12"/>
      <c r="W21" s="12"/>
    </row>
    <row r="22" customFormat="false" ht="15" hidden="false" customHeight="false" outlineLevel="0" collapsed="false">
      <c r="A22" s="0" t="n">
        <v>13</v>
      </c>
      <c r="B22" s="0" t="n">
        <v>13.5876254180602</v>
      </c>
      <c r="C22" s="0" t="n">
        <v>0.000829311549264747</v>
      </c>
      <c r="D22" s="0" t="n">
        <v>-0.0106777332143039</v>
      </c>
      <c r="E22" s="0" t="n">
        <v>0.00161195145251372</v>
      </c>
      <c r="K22" s="12"/>
      <c r="M22" s="12"/>
      <c r="O22" s="12"/>
      <c r="Q22" s="12"/>
      <c r="U22" s="12"/>
      <c r="V22" s="12"/>
      <c r="W22" s="12"/>
    </row>
    <row r="23" customFormat="false" ht="15" hidden="false" customHeight="false" outlineLevel="0" collapsed="false">
      <c r="A23" s="0" t="n">
        <v>14</v>
      </c>
      <c r="B23" s="0" t="n">
        <v>13.6782608695652</v>
      </c>
      <c r="C23" s="0" t="n">
        <v>0.000966642627430763</v>
      </c>
      <c r="D23" s="0" t="n">
        <v>-0.012474767991314</v>
      </c>
      <c r="E23" s="0" t="n">
        <v>0.00187485495967617</v>
      </c>
      <c r="O23" s="12"/>
      <c r="Q23" s="12"/>
      <c r="U23" s="12"/>
      <c r="V23" s="12"/>
      <c r="W23" s="12"/>
    </row>
    <row r="24" customFormat="false" ht="15" hidden="false" customHeight="false" outlineLevel="0" collapsed="false">
      <c r="A24" s="0" t="n">
        <v>15</v>
      </c>
      <c r="B24" s="0" t="n">
        <v>13.7688963210702</v>
      </c>
      <c r="C24" s="0" t="n">
        <v>0.00111433466874219</v>
      </c>
      <c r="D24" s="0" t="n">
        <v>-0.0144139838375329</v>
      </c>
      <c r="E24" s="0" t="n">
        <v>0.0021567164341616</v>
      </c>
      <c r="O24" s="12"/>
      <c r="Q24" s="12"/>
      <c r="U24" s="12"/>
      <c r="V24" s="12"/>
      <c r="W24" s="12"/>
    </row>
    <row r="25" customFormat="false" ht="15" hidden="false" customHeight="false" outlineLevel="0" collapsed="false">
      <c r="A25" s="0" t="n">
        <v>16</v>
      </c>
      <c r="B25" s="0" t="n">
        <v>13.8595317725753</v>
      </c>
      <c r="C25" s="0" t="n">
        <v>0.00127235919020804</v>
      </c>
      <c r="D25" s="0" t="n">
        <v>-0.0164959244301541</v>
      </c>
      <c r="E25" s="0" t="n">
        <v>0.00245737188581222</v>
      </c>
      <c r="O25" s="12"/>
      <c r="Q25" s="12"/>
      <c r="U25" s="12"/>
      <c r="V25" s="12"/>
      <c r="W25" s="12"/>
    </row>
    <row r="26" customFormat="false" ht="15" hidden="false" customHeight="false" outlineLevel="0" collapsed="false">
      <c r="A26" s="0" t="n">
        <v>17</v>
      </c>
      <c r="B26" s="0" t="n">
        <v>13.9501672240803</v>
      </c>
      <c r="C26" s="0" t="n">
        <v>0.00144068780632328</v>
      </c>
      <c r="D26" s="0" t="n">
        <v>-0.0187211293648134</v>
      </c>
      <c r="E26" s="0" t="n">
        <v>0.00277666032814325</v>
      </c>
      <c r="O26" s="12"/>
      <c r="Q26" s="12"/>
      <c r="U26" s="12"/>
      <c r="V26" s="12"/>
      <c r="W26" s="12"/>
    </row>
    <row r="27" customFormat="false" ht="15" hidden="false" customHeight="false" outlineLevel="0" collapsed="false">
      <c r="A27" s="0" t="n">
        <v>18</v>
      </c>
      <c r="B27" s="0" t="n">
        <v>14.0408026755853</v>
      </c>
      <c r="C27" s="0" t="n">
        <v>0.00161929222784826</v>
      </c>
      <c r="D27" s="0" t="n">
        <v>-0.0210901341482929</v>
      </c>
      <c r="E27" s="0" t="n">
        <v>0.00311442369994296</v>
      </c>
      <c r="K27" s="12"/>
      <c r="M27" s="12"/>
      <c r="O27" s="12"/>
      <c r="Q27" s="12"/>
      <c r="U27" s="12"/>
      <c r="V27" s="12"/>
      <c r="W27" s="12"/>
    </row>
    <row r="28" customFormat="false" ht="15" hidden="false" customHeight="false" outlineLevel="0" collapsed="false">
      <c r="A28" s="0" t="n">
        <v>19</v>
      </c>
      <c r="B28" s="0" t="n">
        <v>14.1314381270903</v>
      </c>
      <c r="C28" s="0" t="n">
        <v>0.00180814426059262</v>
      </c>
      <c r="D28" s="0" t="n">
        <v>-0.0236034701911179</v>
      </c>
      <c r="E28" s="0" t="n">
        <v>0.00347050678936852</v>
      </c>
      <c r="K28" s="12"/>
      <c r="M28" s="12"/>
      <c r="O28" s="12"/>
      <c r="Q28" s="12"/>
      <c r="U28" s="12"/>
      <c r="V28" s="12"/>
      <c r="W28" s="12"/>
    </row>
    <row r="29" customFormat="false" ht="15" hidden="false" customHeight="false" outlineLevel="0" collapsed="false">
      <c r="A29" s="0" t="n">
        <v>20</v>
      </c>
      <c r="B29" s="0" t="n">
        <v>14.2220735785953</v>
      </c>
      <c r="C29" s="0" t="n">
        <v>0.00200721580420355</v>
      </c>
      <c r="D29" s="0" t="n">
        <v>-0.0262616648000476</v>
      </c>
      <c r="E29" s="0" t="n">
        <v>0.00384475716044196</v>
      </c>
      <c r="L29" s="12"/>
      <c r="O29" s="12"/>
      <c r="Q29" s="12"/>
      <c r="U29" s="12"/>
      <c r="V29" s="12"/>
      <c r="W29" s="12"/>
    </row>
    <row r="30" customFormat="false" ht="15" hidden="false" customHeight="false" outlineLevel="0" collapsed="false">
      <c r="A30" s="0" t="n">
        <v>21</v>
      </c>
      <c r="B30" s="0" t="n">
        <v>14.3127090301003</v>
      </c>
      <c r="C30" s="0" t="n">
        <v>0.00221647885095832</v>
      </c>
      <c r="D30" s="0" t="n">
        <v>-0.0290652411704609</v>
      </c>
      <c r="E30" s="0" t="n">
        <v>0.00423702508185474</v>
      </c>
      <c r="O30" s="12"/>
      <c r="Q30" s="12"/>
      <c r="U30" s="12"/>
      <c r="V30" s="12"/>
      <c r="W30" s="12"/>
    </row>
    <row r="31" customFormat="false" ht="15" hidden="false" customHeight="false" outlineLevel="0" collapsed="false">
      <c r="A31" s="0" t="n">
        <v>22</v>
      </c>
      <c r="B31" s="0" t="n">
        <v>14.4033444816054</v>
      </c>
      <c r="C31" s="0" t="n">
        <v>0.0024359054845612</v>
      </c>
      <c r="D31" s="0" t="n">
        <v>-0.0320147183786368</v>
      </c>
      <c r="E31" s="0" t="n">
        <v>0.00464716345799336</v>
      </c>
      <c r="I31" s="8"/>
      <c r="J31" s="8"/>
      <c r="K31" s="8"/>
      <c r="L31" s="8"/>
      <c r="M31" s="8"/>
      <c r="N31" s="8"/>
      <c r="O31" s="12"/>
      <c r="Q31" s="12"/>
      <c r="U31" s="12"/>
      <c r="V31" s="12"/>
      <c r="W31" s="12"/>
    </row>
    <row r="32" customFormat="false" ht="15" hidden="false" customHeight="false" outlineLevel="0" collapsed="false">
      <c r="A32" s="0" t="n">
        <v>23</v>
      </c>
      <c r="B32" s="0" t="n">
        <v>14.4939799331104</v>
      </c>
      <c r="C32" s="0" t="n">
        <v>0.00266546787894463</v>
      </c>
      <c r="D32" s="0" t="n">
        <v>-0.0351106113739308</v>
      </c>
      <c r="E32" s="0" t="n">
        <v>0.00507502776210253</v>
      </c>
      <c r="J32" s="12"/>
      <c r="K32" s="8"/>
      <c r="L32" s="8"/>
      <c r="M32" s="8"/>
      <c r="N32" s="8"/>
      <c r="O32" s="12"/>
      <c r="Q32" s="12"/>
      <c r="U32" s="12"/>
      <c r="V32" s="12"/>
      <c r="W32" s="12"/>
    </row>
    <row r="33" customFormat="false" ht="15" hidden="false" customHeight="false" outlineLevel="0" collapsed="false">
      <c r="A33" s="0" t="n">
        <v>24</v>
      </c>
      <c r="B33" s="0" t="n">
        <v>14.5846153846154</v>
      </c>
      <c r="C33" s="0" t="n">
        <v>0.00290513829707461</v>
      </c>
      <c r="D33" s="0" t="n">
        <v>-0.038353430970847</v>
      </c>
      <c r="E33" s="0" t="n">
        <v>0.00552047597150578</v>
      </c>
      <c r="K33" s="8"/>
      <c r="L33" s="8"/>
      <c r="M33" s="8"/>
      <c r="N33" s="8"/>
      <c r="O33" s="12"/>
      <c r="Q33" s="12"/>
      <c r="U33" s="12"/>
      <c r="V33" s="12"/>
      <c r="W33" s="12"/>
    </row>
    <row r="34" customFormat="false" ht="15" hidden="false" customHeight="false" outlineLevel="0" collapsed="false">
      <c r="A34" s="0" t="n">
        <v>25</v>
      </c>
      <c r="B34" s="0" t="n">
        <v>14.6752508361204</v>
      </c>
      <c r="C34" s="0" t="n">
        <v>0.00315488908976042</v>
      </c>
      <c r="D34" s="0" t="n">
        <v>-0.0417436838410075</v>
      </c>
      <c r="E34" s="0" t="n">
        <v>0.00598336850480718</v>
      </c>
      <c r="K34" s="12"/>
      <c r="O34" s="12"/>
      <c r="Q34" s="12"/>
      <c r="U34" s="12"/>
      <c r="V34" s="12"/>
      <c r="W34" s="12"/>
    </row>
    <row r="35" customFormat="false" ht="15" hidden="false" customHeight="false" outlineLevel="0" collapsed="false">
      <c r="A35" s="0" t="n">
        <v>26</v>
      </c>
      <c r="B35" s="0" t="n">
        <v>14.7658862876254</v>
      </c>
      <c r="C35" s="0" t="n">
        <v>0.00341469269446842</v>
      </c>
      <c r="D35" s="0" t="n">
        <v>-0.0452818725050185</v>
      </c>
      <c r="E35" s="0" t="n">
        <v>0.00646356816100075</v>
      </c>
      <c r="K35" s="12"/>
      <c r="M35" s="12"/>
      <c r="O35" s="12"/>
      <c r="Q35" s="12"/>
      <c r="U35" s="12"/>
      <c r="V35" s="12"/>
      <c r="W35" s="12"/>
    </row>
    <row r="36" customFormat="false" ht="15" hidden="false" customHeight="false" outlineLevel="0" collapsed="false">
      <c r="A36" s="0" t="n">
        <v>27</v>
      </c>
      <c r="B36" s="0" t="n">
        <v>14.8565217391304</v>
      </c>
      <c r="C36" s="0" t="n">
        <v>0.00368452163414015</v>
      </c>
      <c r="D36" s="0" t="n">
        <v>-0.0489684953242346</v>
      </c>
      <c r="E36" s="0" t="n">
        <v>0.00696094006041776</v>
      </c>
      <c r="K36" s="12"/>
      <c r="M36" s="12"/>
      <c r="O36" s="12"/>
      <c r="Q36" s="12"/>
      <c r="U36" s="12"/>
      <c r="V36" s="12"/>
      <c r="W36" s="12"/>
    </row>
    <row r="37" customFormat="false" ht="15" hidden="false" customHeight="false" outlineLevel="0" collapsed="false">
      <c r="A37" s="0" t="n">
        <v>28</v>
      </c>
      <c r="B37" s="0" t="n">
        <v>14.9471571906355</v>
      </c>
      <c r="C37" s="0" t="n">
        <v>0.00396434851601452</v>
      </c>
      <c r="D37" s="0" t="n">
        <v>-0.0528040464924208</v>
      </c>
      <c r="E37" s="0" t="n">
        <v>0.00747535158744452</v>
      </c>
      <c r="K37" s="12"/>
      <c r="M37" s="12"/>
      <c r="O37" s="12"/>
      <c r="Q37" s="12"/>
      <c r="U37" s="12"/>
      <c r="V37" s="12"/>
      <c r="W37" s="12"/>
    </row>
    <row r="38" customFormat="false" ht="15" hidden="false" customHeight="false" outlineLevel="0" collapsed="false">
      <c r="A38" s="0" t="n">
        <v>29</v>
      </c>
      <c r="B38" s="0" t="n">
        <v>15.0377926421405</v>
      </c>
      <c r="C38" s="0" t="n">
        <v>0.00425414603045413</v>
      </c>
      <c r="D38" s="0" t="n">
        <v>-0.0567890160273142</v>
      </c>
      <c r="E38" s="0" t="n">
        <v>0.00800667233494682</v>
      </c>
      <c r="K38" s="12"/>
      <c r="M38" s="12"/>
      <c r="O38" s="12"/>
      <c r="Q38" s="12"/>
      <c r="U38" s="12"/>
      <c r="V38" s="12"/>
      <c r="W38" s="12"/>
    </row>
    <row r="39" customFormat="false" ht="15" hidden="false" customHeight="false" outlineLevel="0" collapsed="false">
      <c r="A39" s="0" t="n">
        <v>30</v>
      </c>
      <c r="B39" s="0" t="n">
        <v>15.1284280936455</v>
      </c>
      <c r="C39" s="0" t="n">
        <v>0.00455388694977572</v>
      </c>
      <c r="D39" s="0" t="n">
        <v>-0.0609238897620846</v>
      </c>
      <c r="E39" s="0" t="n">
        <v>0.00855477405033906</v>
      </c>
      <c r="O39" s="12"/>
      <c r="Q39" s="12"/>
      <c r="U39" s="12"/>
      <c r="V39" s="12"/>
      <c r="W39" s="12"/>
    </row>
    <row r="40" customFormat="false" ht="15" hidden="false" customHeight="false" outlineLevel="0" collapsed="false">
      <c r="A40" s="0" t="n">
        <v>31</v>
      </c>
      <c r="B40" s="0" t="n">
        <v>15.2190635451505</v>
      </c>
      <c r="C40" s="0" t="n">
        <v>0.00486354412708474</v>
      </c>
      <c r="D40" s="0" t="n">
        <v>-0.0652091493366947</v>
      </c>
      <c r="E40" s="0" t="n">
        <v>0.00911953058323947</v>
      </c>
      <c r="K40" s="12"/>
      <c r="M40" s="12"/>
      <c r="O40" s="12"/>
      <c r="Q40" s="12"/>
      <c r="U40" s="12"/>
      <c r="V40" s="12"/>
      <c r="W40" s="12"/>
    </row>
    <row r="41" customFormat="false" ht="15" hidden="false" customHeight="false" outlineLevel="0" collapsed="false">
      <c r="A41" s="0" t="n">
        <v>32</v>
      </c>
      <c r="B41" s="0" t="n">
        <v>15.3096989966555</v>
      </c>
      <c r="C41" s="0" t="n">
        <v>0.00518309049511388</v>
      </c>
      <c r="D41" s="0" t="n">
        <v>-0.0696452721891619</v>
      </c>
      <c r="E41" s="0" t="n">
        <v>0.00970081783465468</v>
      </c>
      <c r="O41" s="12"/>
      <c r="Q41" s="12"/>
      <c r="U41" s="12"/>
      <c r="V41" s="12"/>
      <c r="W41" s="12"/>
    </row>
    <row r="42" customFormat="false" ht="15" hidden="false" customHeight="false" outlineLevel="0" collapsed="false">
      <c r="A42" s="0" t="n">
        <v>33</v>
      </c>
      <c r="B42" s="0" t="n">
        <v>15.4003344481605</v>
      </c>
      <c r="C42" s="0" t="n">
        <v>0.00551249906506576</v>
      </c>
      <c r="D42" s="0" t="n">
        <v>-0.0742327315467198</v>
      </c>
      <c r="E42" s="0" t="n">
        <v>0.0102985137076396</v>
      </c>
      <c r="O42" s="12"/>
      <c r="Q42" s="12"/>
      <c r="U42" s="12"/>
      <c r="V42" s="12"/>
      <c r="W42" s="12"/>
    </row>
    <row r="43" customFormat="false" ht="15" hidden="false" customHeight="false" outlineLevel="0" collapsed="false">
      <c r="A43" s="0" t="n">
        <v>34</v>
      </c>
      <c r="B43" s="0" t="n">
        <v>15.4909698996656</v>
      </c>
      <c r="C43" s="0" t="n">
        <v>0.0058517429254595</v>
      </c>
      <c r="D43" s="0" t="n">
        <v>-0.0789719964168822</v>
      </c>
      <c r="E43" s="0" t="n">
        <v>0.0109124980593806</v>
      </c>
      <c r="K43" s="12"/>
      <c r="M43" s="12"/>
      <c r="O43" s="12"/>
      <c r="Q43" s="12"/>
      <c r="U43" s="12"/>
      <c r="V43" s="12"/>
      <c r="W43" s="12"/>
    </row>
    <row r="44" customFormat="false" ht="15" hidden="false" customHeight="false" outlineLevel="0" collapsed="false">
      <c r="A44" s="0" t="n">
        <v>35</v>
      </c>
      <c r="B44" s="0" t="n">
        <v>15.5816053511706</v>
      </c>
      <c r="C44" s="0" t="n">
        <v>0.00620079524098143</v>
      </c>
      <c r="D44" s="0" t="n">
        <v>-0.0838635315784089</v>
      </c>
      <c r="E44" s="0" t="n">
        <v>0.0115426526546523</v>
      </c>
      <c r="K44" s="12"/>
      <c r="M44" s="12"/>
      <c r="O44" s="12"/>
      <c r="Q44" s="12"/>
      <c r="U44" s="12"/>
      <c r="V44" s="12"/>
      <c r="W44" s="12"/>
    </row>
    <row r="45" customFormat="false" ht="15" hidden="false" customHeight="false" outlineLevel="0" collapsed="false">
      <c r="A45" s="0" t="n">
        <v>36</v>
      </c>
      <c r="B45" s="0" t="n">
        <v>15.6722408026756</v>
      </c>
      <c r="C45" s="0" t="n">
        <v>0.00655962925133963</v>
      </c>
      <c r="D45" s="0" t="n">
        <v>-0.0889077975721739</v>
      </c>
      <c r="E45" s="0" t="n">
        <v>0.0121888611205997</v>
      </c>
      <c r="K45" s="12"/>
      <c r="M45" s="12"/>
      <c r="O45" s="12"/>
      <c r="Q45" s="12"/>
      <c r="U45" s="12"/>
      <c r="V45" s="12"/>
      <c r="W45" s="12"/>
    </row>
    <row r="46" customFormat="false" ht="15" hidden="false" customHeight="false" outlineLevel="0" collapsed="false">
      <c r="A46" s="0" t="n">
        <v>37</v>
      </c>
      <c r="B46" s="0" t="n">
        <v>15.7628762541806</v>
      </c>
      <c r="C46" s="0" t="n">
        <v>0.00692821827012252</v>
      </c>
      <c r="D46" s="0" t="n">
        <v>-0.0941052506919375</v>
      </c>
      <c r="E46" s="0" t="n">
        <v>0.0128510089028009</v>
      </c>
      <c r="K46" s="12"/>
      <c r="M46" s="12"/>
      <c r="O46" s="12"/>
      <c r="Q46" s="12"/>
      <c r="U46" s="12"/>
      <c r="V46" s="12"/>
      <c r="W46" s="12"/>
    </row>
    <row r="47" customFormat="false" ht="15" hidden="false" customHeight="false" outlineLevel="0" collapsed="false">
      <c r="A47" s="0" t="n">
        <v>38</v>
      </c>
      <c r="B47" s="0" t="n">
        <v>15.8535117056856</v>
      </c>
      <c r="C47" s="0" t="n">
        <v>0.0073065356836613</v>
      </c>
      <c r="D47" s="0" t="n">
        <v>-0.0994563429750214</v>
      </c>
      <c r="E47" s="0" t="n">
        <v>0.0135289832225646</v>
      </c>
      <c r="K47" s="12"/>
      <c r="M47" s="12"/>
      <c r="O47" s="12"/>
      <c r="Q47" s="12"/>
      <c r="U47" s="12"/>
      <c r="V47" s="12"/>
      <c r="W47" s="12"/>
    </row>
    <row r="48" customFormat="false" ht="15" hidden="false" customHeight="false" outlineLevel="0" collapsed="false">
      <c r="A48" s="0" t="n">
        <v>39</v>
      </c>
      <c r="B48" s="0" t="n">
        <v>15.9441471571906</v>
      </c>
      <c r="C48" s="0" t="n">
        <v>0.00769455494989633</v>
      </c>
      <c r="D48" s="0" t="n">
        <v>-0.104961522192889</v>
      </c>
      <c r="E48" s="0" t="n">
        <v>0.0142226730354223</v>
      </c>
      <c r="K48" s="12"/>
      <c r="M48" s="12"/>
      <c r="O48" s="12"/>
      <c r="Q48" s="12"/>
      <c r="U48" s="12"/>
      <c r="V48" s="12"/>
      <c r="W48" s="12"/>
    </row>
    <row r="49" customFormat="false" ht="15" hidden="false" customHeight="false" outlineLevel="0" collapsed="false">
      <c r="A49" s="0" t="n">
        <v>40</v>
      </c>
      <c r="B49" s="0" t="n">
        <v>16.0347826086957</v>
      </c>
      <c r="C49" s="0" t="n">
        <v>0.00809224959724737</v>
      </c>
      <c r="D49" s="0" t="n">
        <v>-0.110621231841628</v>
      </c>
      <c r="E49" s="0" t="n">
        <v>0.0149319689907726</v>
      </c>
      <c r="K49" s="12"/>
      <c r="M49" s="12"/>
      <c r="O49" s="12"/>
      <c r="Q49" s="12"/>
      <c r="U49" s="12"/>
      <c r="V49" s="12"/>
      <c r="W49" s="12"/>
    </row>
    <row r="50" customFormat="false" ht="15" hidden="false" customHeight="false" outlineLevel="0" collapsed="false">
      <c r="A50" s="0" t="n">
        <v>41</v>
      </c>
      <c r="B50" s="0" t="n">
        <v>16.1254180602007</v>
      </c>
      <c r="C50" s="0" t="n">
        <v>0.00849959322348771</v>
      </c>
      <c r="D50" s="0" t="n">
        <v>-0.116435911132344</v>
      </c>
      <c r="E50" s="0" t="n">
        <v>0.0156567633926397</v>
      </c>
      <c r="K50" s="12"/>
      <c r="M50" s="12"/>
      <c r="O50" s="12"/>
      <c r="Q50" s="12"/>
      <c r="U50" s="12"/>
      <c r="V50" s="12"/>
      <c r="W50" s="12"/>
    </row>
    <row r="51" customFormat="false" ht="15" hidden="false" customHeight="false" outlineLevel="0" collapsed="false">
      <c r="A51" s="0" t="n">
        <v>42</v>
      </c>
      <c r="B51" s="0" t="n">
        <v>16.2160535117057</v>
      </c>
      <c r="C51" s="0" t="n">
        <v>0.00891655949462212</v>
      </c>
      <c r="D51" s="0" t="n">
        <v>-0.122405994981452</v>
      </c>
      <c r="E51" s="0" t="n">
        <v>0.0163969501615092</v>
      </c>
      <c r="K51" s="12"/>
      <c r="M51" s="12"/>
      <c r="O51" s="12"/>
      <c r="Q51" s="12"/>
      <c r="U51" s="12"/>
      <c r="V51" s="12"/>
      <c r="W51" s="12"/>
    </row>
    <row r="52" customFormat="false" ht="15" hidden="false" customHeight="false" outlineLevel="0" collapsed="false">
      <c r="A52" s="0" t="n">
        <v>43</v>
      </c>
      <c r="B52" s="0" t="n">
        <v>16.3066889632107</v>
      </c>
      <c r="C52" s="0" t="n">
        <v>0.00934312214376856</v>
      </c>
      <c r="D52" s="0" t="n">
        <v>-0.128531914000883</v>
      </c>
      <c r="E52" s="0" t="n">
        <v>0.017152424797203</v>
      </c>
      <c r="K52" s="12"/>
      <c r="M52" s="12"/>
      <c r="O52" s="12"/>
      <c r="Q52" s="12"/>
      <c r="U52" s="12"/>
      <c r="V52" s="12"/>
      <c r="W52" s="12"/>
    </row>
    <row r="53" customFormat="false" ht="15" hidden="false" customHeight="false" outlineLevel="0" collapsed="false">
      <c r="A53" s="0" t="n">
        <v>44</v>
      </c>
      <c r="B53" s="0" t="n">
        <v>16.3973244147157</v>
      </c>
      <c r="C53" s="0" t="n">
        <v>0.00977925497004378</v>
      </c>
      <c r="D53" s="0" t="n">
        <v>-0.134814094488191</v>
      </c>
      <c r="E53" s="0" t="n">
        <v>0.0179230843427615</v>
      </c>
      <c r="K53" s="12"/>
      <c r="M53" s="12"/>
      <c r="O53" s="12"/>
      <c r="Q53" s="12"/>
      <c r="U53" s="12"/>
      <c r="V53" s="12"/>
      <c r="W53" s="12"/>
    </row>
    <row r="54" customFormat="false" ht="15" hidden="false" customHeight="false" outlineLevel="0" collapsed="false">
      <c r="A54" s="0" t="n">
        <v>45</v>
      </c>
      <c r="B54" s="0" t="n">
        <v>16.4879598662207</v>
      </c>
      <c r="C54" s="0" t="n">
        <v>0.0102249318374527</v>
      </c>
      <c r="D54" s="0" t="n">
        <v>-0.14125295841657</v>
      </c>
      <c r="E54" s="0" t="n">
        <v>0.0187088273492979</v>
      </c>
      <c r="K54" s="12"/>
      <c r="M54" s="12"/>
      <c r="O54" s="12"/>
      <c r="Q54" s="12"/>
      <c r="U54" s="12"/>
      <c r="V54" s="12"/>
      <c r="W54" s="12"/>
    </row>
    <row r="55" customFormat="false" ht="15" hidden="false" customHeight="false" outlineLevel="0" collapsed="false">
      <c r="A55" s="0" t="n">
        <v>46</v>
      </c>
      <c r="B55" s="0" t="n">
        <v>16.5785953177258</v>
      </c>
      <c r="C55" s="0" t="n">
        <v>0.0106801266737812</v>
      </c>
      <c r="D55" s="0" t="n">
        <v>-0.147848923424779</v>
      </c>
      <c r="E55" s="0" t="n">
        <v>0.0195095538417935</v>
      </c>
      <c r="K55" s="12"/>
      <c r="M55" s="12"/>
      <c r="O55" s="12"/>
      <c r="Q55" s="12"/>
      <c r="U55" s="12"/>
      <c r="V55" s="12"/>
      <c r="W55" s="12"/>
    </row>
    <row r="56" customFormat="false" ht="15" hidden="false" customHeight="false" outlineLevel="0" collapsed="false">
      <c r="A56" s="0" t="n">
        <v>47</v>
      </c>
      <c r="B56" s="0" t="n">
        <v>16.6692307692308</v>
      </c>
      <c r="C56" s="0" t="n">
        <v>0.0111448134694935</v>
      </c>
      <c r="D56" s="0" t="n">
        <v>-0.154602402806978</v>
      </c>
      <c r="E56" s="0" t="n">
        <v>0.0203251652858025</v>
      </c>
      <c r="K56" s="12"/>
      <c r="M56" s="12"/>
      <c r="O56" s="12"/>
      <c r="Q56" s="12"/>
      <c r="U56" s="12"/>
      <c r="V56" s="12"/>
      <c r="W56" s="12"/>
    </row>
    <row r="57" customFormat="false" ht="15" hidden="false" customHeight="false" outlineLevel="0" collapsed="false">
      <c r="A57" s="0" t="n">
        <v>48</v>
      </c>
      <c r="B57" s="0" t="n">
        <v>16.7598662207358</v>
      </c>
      <c r="C57" s="0" t="n">
        <v>0.0116189662766322</v>
      </c>
      <c r="D57" s="0" t="n">
        <v>-0.16151380550247</v>
      </c>
      <c r="E57" s="0" t="n">
        <v>0.0211555645550378</v>
      </c>
      <c r="K57" s="12"/>
      <c r="M57" s="12"/>
      <c r="O57" s="12"/>
      <c r="Q57" s="12"/>
      <c r="U57" s="12"/>
      <c r="V57" s="12"/>
      <c r="W57" s="12"/>
    </row>
    <row r="58" customFormat="false" ht="15" hidden="false" customHeight="false" outlineLevel="0" collapsed="false">
      <c r="A58" s="0" t="n">
        <v>49</v>
      </c>
      <c r="B58" s="0" t="n">
        <v>16.8505016722408</v>
      </c>
      <c r="C58" s="0" t="n">
        <v>0.0121025592077225</v>
      </c>
      <c r="D58" s="0" t="n">
        <v>-0.168583536085351</v>
      </c>
      <c r="E58" s="0" t="n">
        <v>0.0220006558998082</v>
      </c>
      <c r="K58" s="12"/>
      <c r="M58" s="12"/>
      <c r="O58" s="12"/>
      <c r="Q58" s="12"/>
      <c r="U58" s="12"/>
      <c r="V58" s="12"/>
      <c r="W58" s="12"/>
    </row>
    <row r="59" customFormat="false" ht="15" hidden="false" customHeight="false" outlineLevel="0" collapsed="false">
      <c r="A59" s="0" t="n">
        <v>50</v>
      </c>
      <c r="B59" s="0" t="n">
        <v>16.9411371237458</v>
      </c>
      <c r="C59" s="0" t="n">
        <v>0.0125955664346806</v>
      </c>
      <c r="D59" s="0" t="n">
        <v>-0.17581199475408</v>
      </c>
      <c r="E59" s="0" t="n">
        <v>0.0228603449162807</v>
      </c>
      <c r="K59" s="12"/>
      <c r="M59" s="12"/>
      <c r="O59" s="12"/>
      <c r="Q59" s="12"/>
      <c r="U59" s="12"/>
      <c r="V59" s="12"/>
      <c r="W59" s="12"/>
    </row>
    <row r="60" customFormat="false" ht="15" hidden="false" customHeight="false" outlineLevel="0" collapsed="false">
      <c r="A60" s="0" t="n">
        <v>51</v>
      </c>
      <c r="B60" s="0" t="n">
        <v>17.0317725752508</v>
      </c>
      <c r="C60" s="0" t="n">
        <v>0.0130979621877245</v>
      </c>
      <c r="D60" s="0" t="n">
        <v>-0.183199577320946</v>
      </c>
      <c r="E60" s="0" t="n">
        <v>0.0237345385165404</v>
      </c>
      <c r="K60" s="12"/>
      <c r="M60" s="12"/>
      <c r="O60" s="12"/>
      <c r="Q60" s="12"/>
      <c r="U60" s="12"/>
      <c r="V60" s="12"/>
      <c r="W60" s="12"/>
    </row>
    <row r="61" customFormat="false" ht="15" hidden="false" customHeight="false" outlineLevel="0" collapsed="false">
      <c r="A61" s="0" t="n">
        <v>52</v>
      </c>
      <c r="B61" s="0" t="n">
        <v>17.1224080267559</v>
      </c>
      <c r="C61" s="0" t="n">
        <v>0.01360972075429</v>
      </c>
      <c r="D61" s="0" t="n">
        <v>-0.190746675201458</v>
      </c>
      <c r="E61" s="0" t="n">
        <v>0.0246231448994235</v>
      </c>
      <c r="K61" s="12"/>
      <c r="M61" s="12"/>
      <c r="O61" s="12"/>
      <c r="Q61" s="12"/>
      <c r="U61" s="12"/>
      <c r="V61" s="12"/>
      <c r="W61" s="12"/>
    </row>
    <row r="62" customFormat="false" ht="15" hidden="false" customHeight="false" outlineLevel="0" collapsed="false">
      <c r="A62" s="0" t="n">
        <v>53</v>
      </c>
      <c r="B62" s="0" t="n">
        <v>17.2130434782609</v>
      </c>
      <c r="C62" s="0" t="n">
        <v>0.0141308164779488</v>
      </c>
      <c r="D62" s="0" t="n">
        <v>-0.198453675403642</v>
      </c>
      <c r="E62" s="0" t="n">
        <v>0.0255260735220984</v>
      </c>
      <c r="K62" s="12"/>
      <c r="M62" s="12"/>
      <c r="O62" s="12"/>
      <c r="Q62" s="12"/>
      <c r="U62" s="12"/>
      <c r="V62" s="12"/>
      <c r="W62" s="12"/>
    </row>
    <row r="63" customFormat="false" ht="15" hidden="false" customHeight="false" outlineLevel="0" collapsed="false">
      <c r="A63" s="0" t="n">
        <v>54</v>
      </c>
      <c r="B63" s="0" t="n">
        <v>17.3036789297659</v>
      </c>
      <c r="C63" s="0" t="n">
        <v>0.0146612237573314</v>
      </c>
      <c r="D63" s="0" t="n">
        <v>-0.206320960517251</v>
      </c>
      <c r="E63" s="0" t="n">
        <v>0.0264432350723718</v>
      </c>
      <c r="K63" s="12"/>
      <c r="M63" s="12"/>
      <c r="O63" s="12"/>
      <c r="Q63" s="12"/>
      <c r="U63" s="12"/>
      <c r="V63" s="12"/>
      <c r="W63" s="12"/>
    </row>
    <row r="64" customFormat="false" ht="15" hidden="false" customHeight="false" outlineLevel="0" collapsed="false">
      <c r="A64" s="0" t="n">
        <v>55</v>
      </c>
      <c r="B64" s="0" t="n">
        <v>17.3943143812709</v>
      </c>
      <c r="C64" s="0" t="n">
        <v>0.0152009170450528</v>
      </c>
      <c r="D64" s="0" t="n">
        <v>-0.214348908702888</v>
      </c>
      <c r="E64" s="0" t="n">
        <v>0.0273745414416966</v>
      </c>
      <c r="K64" s="12"/>
      <c r="M64" s="12"/>
      <c r="O64" s="12"/>
      <c r="Q64" s="12"/>
      <c r="U64" s="12"/>
      <c r="V64" s="12"/>
      <c r="W64" s="12"/>
    </row>
    <row r="65" customFormat="false" ht="15" hidden="false" customHeight="false" outlineLevel="0" collapsed="false">
      <c r="A65" s="0" t="n">
        <v>56</v>
      </c>
      <c r="B65" s="0" t="n">
        <v>17.4849498327759</v>
      </c>
      <c r="C65" s="0" t="n">
        <v>0.0157498708466423</v>
      </c>
      <c r="D65" s="0" t="n">
        <v>-0.222537893681045</v>
      </c>
      <c r="E65" s="0" t="n">
        <v>0.02831990569886</v>
      </c>
      <c r="K65" s="12"/>
      <c r="M65" s="12"/>
      <c r="O65" s="12"/>
      <c r="Q65" s="12"/>
      <c r="U65" s="12"/>
      <c r="V65" s="12"/>
      <c r="W65" s="12"/>
    </row>
    <row r="66" customFormat="false" ht="15" hidden="false" customHeight="false" outlineLevel="0" collapsed="false">
      <c r="A66" s="0" t="n">
        <v>57</v>
      </c>
      <c r="B66" s="0" t="n">
        <v>17.5755852842809</v>
      </c>
      <c r="C66" s="0" t="n">
        <v>0.0163080597194762</v>
      </c>
      <c r="D66" s="0" t="n">
        <v>-0.230888284721054</v>
      </c>
      <c r="E66" s="0" t="n">
        <v>0.0292792420643313</v>
      </c>
      <c r="K66" s="12"/>
      <c r="M66" s="12"/>
      <c r="O66" s="12"/>
      <c r="Q66" s="12"/>
      <c r="U66" s="12"/>
      <c r="V66" s="12"/>
      <c r="W66" s="12"/>
    </row>
    <row r="67" customFormat="false" ht="15" hidden="false" customHeight="false" outlineLevel="0" collapsed="false">
      <c r="A67" s="0" t="n">
        <v>58</v>
      </c>
      <c r="B67" s="0" t="n">
        <v>17.666220735786</v>
      </c>
      <c r="C67" s="0" t="n">
        <v>0.016875458271715</v>
      </c>
      <c r="D67" s="0" t="n">
        <v>-0.23940044662995</v>
      </c>
      <c r="E67" s="0" t="n">
        <v>0.0302524658852473</v>
      </c>
      <c r="K67" s="12"/>
      <c r="M67" s="12"/>
      <c r="O67" s="12"/>
      <c r="Q67" s="12"/>
      <c r="U67" s="12"/>
      <c r="V67" s="12"/>
      <c r="W67" s="12"/>
    </row>
    <row r="68" customFormat="false" ht="15" hidden="false" customHeight="false" outlineLevel="0" collapsed="false">
      <c r="A68" s="0" t="n">
        <v>59</v>
      </c>
      <c r="B68" s="0" t="n">
        <v>17.756856187291</v>
      </c>
      <c r="C68" s="0" t="n">
        <v>0.0174520411612429</v>
      </c>
      <c r="D68" s="0" t="n">
        <v>-0.248074739741259</v>
      </c>
      <c r="E68" s="0" t="n">
        <v>0.0312394936110185</v>
      </c>
      <c r="K68" s="12"/>
      <c r="M68" s="12"/>
      <c r="O68" s="12"/>
      <c r="Q68" s="12"/>
      <c r="U68" s="12"/>
      <c r="V68" s="12"/>
      <c r="W68" s="12"/>
    </row>
    <row r="69" customFormat="false" ht="15" hidden="false" customHeight="false" outlineLevel="0" collapsed="false">
      <c r="A69" s="0" t="n">
        <v>60</v>
      </c>
      <c r="B69" s="0" t="n">
        <v>17.847491638796</v>
      </c>
      <c r="C69" s="0" t="n">
        <v>0.0180377830946119</v>
      </c>
      <c r="D69" s="0" t="n">
        <v>-0.256911519903692</v>
      </c>
      <c r="E69" s="0" t="n">
        <v>0.0322402427695341</v>
      </c>
      <c r="K69" s="12"/>
      <c r="M69" s="12"/>
      <c r="O69" s="12"/>
      <c r="Q69" s="12"/>
      <c r="U69" s="12"/>
      <c r="V69" s="12"/>
      <c r="W69" s="12"/>
    </row>
    <row r="70" customFormat="false" ht="15" hidden="false" customHeight="false" outlineLevel="0" collapsed="false">
      <c r="A70" s="0" t="n">
        <v>61</v>
      </c>
      <c r="B70" s="0" t="n">
        <v>17.938127090301</v>
      </c>
      <c r="C70" s="0" t="n">
        <v>0.0186326588259887</v>
      </c>
      <c r="D70" s="0" t="n">
        <v>-0.265911138469758</v>
      </c>
      <c r="E70" s="0" t="n">
        <v>0.0332546319439502</v>
      </c>
      <c r="K70" s="12"/>
      <c r="M70" s="12"/>
      <c r="O70" s="12"/>
      <c r="Q70" s="12"/>
      <c r="U70" s="12"/>
      <c r="V70" s="12"/>
      <c r="W70" s="12"/>
    </row>
    <row r="71" customFormat="false" ht="15" hidden="false" customHeight="false" outlineLevel="0" collapsed="false">
      <c r="A71" s="0" t="n">
        <v>62</v>
      </c>
      <c r="B71" s="0" t="n">
        <v>18.028762541806</v>
      </c>
      <c r="C71" s="0" t="n">
        <v>0.0192366431561054</v>
      </c>
      <c r="D71" s="0" t="n">
        <v>-0.275073942284301</v>
      </c>
      <c r="E71" s="0" t="n">
        <v>0.0342825807500421</v>
      </c>
      <c r="K71" s="12"/>
      <c r="M71" s="12"/>
      <c r="O71" s="12"/>
      <c r="Q71" s="12"/>
      <c r="U71" s="12"/>
      <c r="V71" s="12"/>
      <c r="W71" s="12"/>
    </row>
    <row r="72" customFormat="false" ht="15" hidden="false" customHeight="false" outlineLevel="0" collapsed="false">
      <c r="A72" s="0" t="n">
        <v>63</v>
      </c>
      <c r="B72" s="0" t="n">
        <v>18.119397993311</v>
      </c>
      <c r="C72" s="0" t="n">
        <v>0.0198497109312132</v>
      </c>
      <c r="D72" s="0" t="n">
        <v>-0.284400273672942</v>
      </c>
      <c r="E72" s="0" t="n">
        <v>0.0353240098141043</v>
      </c>
      <c r="K72" s="12"/>
      <c r="M72" s="12"/>
      <c r="O72" s="12"/>
      <c r="Q72" s="12"/>
      <c r="U72" s="12"/>
      <c r="V72" s="12"/>
      <c r="W72" s="12"/>
    </row>
    <row r="73" customFormat="false" ht="15" hidden="false" customHeight="false" outlineLevel="0" collapsed="false">
      <c r="A73" s="0" t="n">
        <v>64</v>
      </c>
      <c r="B73" s="0" t="n">
        <v>18.2100334448161</v>
      </c>
      <c r="C73" s="0" t="n">
        <v>0.0204718370420401</v>
      </c>
      <c r="D73" s="0" t="n">
        <v>-0.293890470430453</v>
      </c>
      <c r="E73" s="0" t="n">
        <v>0.0363788407513816</v>
      </c>
      <c r="K73" s="12"/>
      <c r="M73" s="12"/>
      <c r="O73" s="12"/>
      <c r="Q73" s="12"/>
      <c r="U73" s="12"/>
      <c r="V73" s="12"/>
      <c r="W73" s="12"/>
    </row>
    <row r="74" customFormat="false" ht="15" hidden="false" customHeight="false" outlineLevel="0" collapsed="false">
      <c r="A74" s="0" t="n">
        <v>65</v>
      </c>
      <c r="B74" s="0" t="n">
        <v>18.3006688963211</v>
      </c>
      <c r="C74" s="0" t="n">
        <v>0.0211029964227519</v>
      </c>
      <c r="D74" s="0" t="n">
        <v>-0.303544865809041</v>
      </c>
      <c r="E74" s="0" t="n">
        <v>0.037446996145016</v>
      </c>
      <c r="K74" s="12"/>
      <c r="M74" s="12"/>
      <c r="O74" s="12"/>
      <c r="Q74" s="12"/>
      <c r="U74" s="12"/>
      <c r="V74" s="12"/>
      <c r="W74" s="12"/>
    </row>
    <row r="75" customFormat="false" ht="15" hidden="false" customHeight="false" outlineLevel="0" collapsed="false">
      <c r="A75" s="0" t="n">
        <v>66</v>
      </c>
      <c r="B75" s="0" t="n">
        <v>18.3913043478261</v>
      </c>
      <c r="C75" s="0" t="n">
        <v>0.0217431640499159</v>
      </c>
      <c r="D75" s="0" t="n">
        <v>-0.313363788506551</v>
      </c>
      <c r="E75" s="0" t="n">
        <v>0.0385283995254931</v>
      </c>
      <c r="K75" s="12"/>
      <c r="M75" s="12"/>
      <c r="O75" s="12"/>
      <c r="Q75" s="12"/>
      <c r="U75" s="12"/>
      <c r="V75" s="12"/>
      <c r="W75" s="12"/>
    </row>
    <row r="76" customFormat="false" ht="15" hidden="false" customHeight="false" outlineLevel="0" collapsed="false">
      <c r="A76" s="0" t="n">
        <v>67</v>
      </c>
      <c r="B76" s="0" t="n">
        <v>18.4819397993311</v>
      </c>
      <c r="C76" s="0" t="n">
        <v>0.022392314941469</v>
      </c>
      <c r="D76" s="0" t="n">
        <v>-0.323347562654598</v>
      </c>
      <c r="E76" s="0" t="n">
        <v>0.0396229753505749</v>
      </c>
      <c r="K76" s="12"/>
      <c r="M76" s="12"/>
      <c r="O76" s="12"/>
      <c r="Q76" s="12"/>
      <c r="U76" s="12"/>
      <c r="V76" s="12"/>
      <c r="W76" s="12"/>
    </row>
    <row r="77" customFormat="false" ht="15" hidden="false" customHeight="false" outlineLevel="0" collapsed="false">
      <c r="A77" s="0" t="n">
        <v>68</v>
      </c>
      <c r="B77" s="0" t="n">
        <v>18.5725752508361</v>
      </c>
      <c r="C77" s="0" t="n">
        <v>0.0230504241556884</v>
      </c>
      <c r="D77" s="0" t="n">
        <v>-0.333496507806608</v>
      </c>
      <c r="E77" s="0" t="n">
        <v>0.0407306489857029</v>
      </c>
      <c r="K77" s="12"/>
      <c r="M77" s="12"/>
      <c r="O77" s="12"/>
      <c r="Q77" s="12"/>
      <c r="U77" s="12"/>
      <c r="V77" s="12"/>
      <c r="W77" s="12"/>
    </row>
    <row r="78" customFormat="false" ht="15" hidden="false" customHeight="false" outlineLevel="0" collapsed="false">
      <c r="A78" s="0" t="n">
        <v>69</v>
      </c>
      <c r="B78" s="0" t="n">
        <v>18.6632107023411</v>
      </c>
      <c r="C78" s="0" t="n">
        <v>0.0237174667901661</v>
      </c>
      <c r="D78" s="0" t="n">
        <v>-0.343810938925785</v>
      </c>
      <c r="E78" s="0" t="n">
        <v>0.0418513466848597</v>
      </c>
      <c r="K78" s="12"/>
      <c r="M78" s="12"/>
      <c r="O78" s="12"/>
      <c r="Q78" s="12"/>
      <c r="U78" s="12"/>
      <c r="V78" s="12"/>
      <c r="W78" s="12"/>
    </row>
    <row r="79" customFormat="false" ht="15" hidden="false" customHeight="false" outlineLevel="0" collapsed="false">
      <c r="A79" s="0" t="n">
        <v>70</v>
      </c>
      <c r="B79" s="0" t="n">
        <v>18.7538461538462</v>
      </c>
      <c r="C79" s="0" t="n">
        <v>0.0243934179807866</v>
      </c>
      <c r="D79" s="0" t="n">
        <v>-0.354291166373008</v>
      </c>
      <c r="E79" s="0" t="n">
        <v>0.0429849955718739</v>
      </c>
      <c r="K79" s="12"/>
      <c r="M79" s="12"/>
      <c r="O79" s="12"/>
      <c r="Q79" s="12"/>
      <c r="U79" s="12"/>
      <c r="V79" s="12"/>
      <c r="W79" s="12"/>
    </row>
    <row r="80" customFormat="false" ht="15" hidden="false" customHeight="false" outlineLevel="0" collapsed="false">
      <c r="A80" s="0" t="n">
        <v>71</v>
      </c>
      <c r="B80" s="0" t="n">
        <v>18.8444816053512</v>
      </c>
      <c r="C80" s="0" t="n">
        <v>0.0250782529007075</v>
      </c>
      <c r="D80" s="0" t="n">
        <v>-0.364937495894632</v>
      </c>
      <c r="E80" s="0" t="n">
        <v>0.0441315236221572</v>
      </c>
      <c r="K80" s="12"/>
      <c r="M80" s="12"/>
      <c r="O80" s="12"/>
      <c r="Q80" s="12"/>
      <c r="U80" s="12"/>
      <c r="V80" s="12"/>
      <c r="W80" s="12"/>
    </row>
    <row r="81" customFormat="false" ht="15" hidden="false" customHeight="false" outlineLevel="0" collapsed="false">
      <c r="A81" s="0" t="n">
        <v>72</v>
      </c>
      <c r="B81" s="0" t="n">
        <v>18.9351170568562</v>
      </c>
      <c r="C81" s="0" t="n">
        <v>0.0257719467593444</v>
      </c>
      <c r="D81" s="0" t="n">
        <v>-0.375750228610232</v>
      </c>
      <c r="E81" s="0" t="n">
        <v>0.0452908596448601</v>
      </c>
      <c r="K81" s="12"/>
      <c r="M81" s="12"/>
      <c r="O81" s="12"/>
      <c r="Q81" s="12"/>
      <c r="U81" s="12"/>
      <c r="V81" s="12"/>
      <c r="W81" s="12"/>
    </row>
    <row r="82" customFormat="false" ht="15" hidden="false" customHeight="false" outlineLevel="0" collapsed="false">
      <c r="A82" s="0" t="n">
        <v>73</v>
      </c>
      <c r="B82" s="0" t="n">
        <v>19.0257525083612</v>
      </c>
      <c r="C82" s="0" t="n">
        <v>0.0264744748013578</v>
      </c>
      <c r="D82" s="0" t="n">
        <v>-0.386729661000255</v>
      </c>
      <c r="E82" s="0" t="n">
        <v>0.046462933265435</v>
      </c>
      <c r="K82" s="12"/>
      <c r="M82" s="12"/>
      <c r="O82" s="12"/>
      <c r="Q82" s="12"/>
      <c r="U82" s="12"/>
      <c r="V82" s="12"/>
      <c r="W82" s="12"/>
    </row>
    <row r="83" customFormat="false" ht="15" hidden="false" customHeight="false" outlineLevel="0" collapsed="false">
      <c r="A83" s="0" t="n">
        <v>74</v>
      </c>
      <c r="B83" s="0" t="n">
        <v>19.1163879598662</v>
      </c>
      <c r="C83" s="0" t="n">
        <v>0.0271858123056444</v>
      </c>
      <c r="D83" s="0" t="n">
        <v>-0.397876084893604</v>
      </c>
      <c r="E83" s="0" t="n">
        <v>0.0476476749085946</v>
      </c>
      <c r="K83" s="12"/>
      <c r="M83" s="12"/>
      <c r="O83" s="12"/>
      <c r="Q83" s="12"/>
      <c r="U83" s="12"/>
      <c r="V83" s="12"/>
      <c r="W83" s="12"/>
    </row>
    <row r="84" customFormat="false" ht="15" hidden="false" customHeight="false" outlineLevel="0" collapsed="false">
      <c r="A84" s="0" t="n">
        <v>75</v>
      </c>
      <c r="B84" s="0" t="n">
        <v>19.2070234113712</v>
      </c>
      <c r="C84" s="0" t="n">
        <v>0.0279059345843312</v>
      </c>
      <c r="D84" s="0" t="n">
        <v>-0.409189787455145</v>
      </c>
      <c r="E84" s="0" t="n">
        <v>0.0488450157816544</v>
      </c>
      <c r="K84" s="12"/>
      <c r="M84" s="12"/>
      <c r="O84" s="12"/>
      <c r="Q84" s="12"/>
      <c r="U84" s="12"/>
      <c r="V84" s="12"/>
      <c r="W84" s="12"/>
    </row>
    <row r="85" customFormat="false" ht="15" hidden="false" customHeight="false" outlineLevel="0" collapsed="false">
      <c r="A85" s="0" t="n">
        <v>76</v>
      </c>
      <c r="B85" s="0" t="n">
        <v>19.2976588628763</v>
      </c>
      <c r="C85" s="0" t="n">
        <v>0.0286348169817727</v>
      </c>
      <c r="D85" s="0" t="n">
        <v>-0.420671051173141</v>
      </c>
      <c r="E85" s="0" t="n">
        <v>0.0500548878582495</v>
      </c>
      <c r="K85" s="12"/>
      <c r="M85" s="12"/>
      <c r="O85" s="12"/>
      <c r="Q85" s="12"/>
      <c r="U85" s="12"/>
      <c r="V85" s="12"/>
      <c r="W85" s="12"/>
    </row>
    <row r="86" customFormat="false" ht="15" hidden="false" customHeight="false" outlineLevel="0" collapsed="false">
      <c r="A86" s="0" t="n">
        <v>77</v>
      </c>
      <c r="B86" s="0" t="n">
        <v>19.3882943143813</v>
      </c>
      <c r="C86" s="0" t="n">
        <v>0.0293724348735513</v>
      </c>
      <c r="D86" s="0" t="n">
        <v>-0.432320153846604</v>
      </c>
      <c r="E86" s="0" t="n">
        <v>0.0512772238624139</v>
      </c>
      <c r="K86" s="12"/>
      <c r="M86" s="12"/>
      <c r="O86" s="12"/>
      <c r="Q86" s="12"/>
      <c r="U86" s="12"/>
      <c r="V86" s="12"/>
      <c r="W86" s="12"/>
    </row>
    <row r="87" customFormat="false" ht="15" hidden="false" customHeight="false" outlineLevel="0" collapsed="false">
      <c r="A87" s="0" t="n">
        <v>78</v>
      </c>
      <c r="B87" s="0" t="n">
        <v>19.4789297658863</v>
      </c>
      <c r="C87" s="0" t="n">
        <v>0.0301187636654817</v>
      </c>
      <c r="D87" s="0" t="n">
        <v>-0.444137368572588</v>
      </c>
      <c r="E87" s="0" t="n">
        <v>0.0525119572530122</v>
      </c>
      <c r="K87" s="12"/>
      <c r="M87" s="12"/>
      <c r="O87" s="12"/>
      <c r="Q87" s="12"/>
      <c r="U87" s="12"/>
      <c r="V87" s="12"/>
      <c r="W87" s="12"/>
    </row>
    <row r="88" customFormat="false" ht="15" hidden="false" customHeight="false" outlineLevel="0" collapsed="false">
      <c r="A88" s="0" t="n">
        <v>79</v>
      </c>
      <c r="B88" s="0" t="n">
        <v>19.5695652173913</v>
      </c>
      <c r="C88" s="0" t="n">
        <v>0.0308737787926174</v>
      </c>
      <c r="D88" s="0" t="n">
        <v>-0.456122963733393</v>
      </c>
      <c r="E88" s="0" t="n">
        <v>0.0537590222085156</v>
      </c>
      <c r="K88" s="12"/>
      <c r="M88" s="12"/>
      <c r="O88" s="12"/>
      <c r="Q88" s="12"/>
      <c r="U88" s="12"/>
      <c r="V88" s="12"/>
      <c r="W88" s="12"/>
    </row>
    <row r="89" customFormat="false" ht="15" hidden="false" customHeight="false" outlineLevel="0" collapsed="false">
      <c r="A89" s="0" t="n">
        <v>80</v>
      </c>
      <c r="B89" s="0" t="n">
        <v>19.6602006688963</v>
      </c>
      <c r="C89" s="0" t="n">
        <v>0.0316374557182611</v>
      </c>
      <c r="D89" s="0" t="n">
        <v>-0.468277202983707</v>
      </c>
      <c r="E89" s="0" t="n">
        <v>0.0550183536121108</v>
      </c>
      <c r="K89" s="12"/>
      <c r="M89" s="12"/>
      <c r="O89" s="12"/>
      <c r="Q89" s="12"/>
      <c r="U89" s="12"/>
      <c r="V89" s="12"/>
      <c r="W89" s="12"/>
    </row>
    <row r="90" customFormat="false" ht="15" hidden="false" customHeight="false" outlineLevel="0" collapsed="false">
      <c r="A90" s="0" t="n">
        <v>81</v>
      </c>
      <c r="B90" s="0" t="n">
        <v>19.7508361204013</v>
      </c>
      <c r="C90" s="0" t="n">
        <v>0.0324097699329781</v>
      </c>
      <c r="D90" s="0" t="n">
        <v>-0.480600345237674</v>
      </c>
      <c r="E90" s="0" t="n">
        <v>0.0562898870371333</v>
      </c>
      <c r="K90" s="12"/>
      <c r="M90" s="12"/>
      <c r="O90" s="12"/>
      <c r="Q90" s="12"/>
      <c r="U90" s="12"/>
      <c r="V90" s="12"/>
      <c r="W90" s="12"/>
    </row>
    <row r="91" customFormat="false" ht="15" hidden="false" customHeight="false" outlineLevel="0" collapsed="false">
      <c r="A91" s="0" t="n">
        <v>82</v>
      </c>
      <c r="B91" s="0" t="n">
        <v>19.8414715719064</v>
      </c>
      <c r="C91" s="0" t="n">
        <v>0.0331906969536129</v>
      </c>
      <c r="D91" s="0" t="n">
        <v>-0.49309264465589</v>
      </c>
      <c r="E91" s="0" t="n">
        <v>0.0575735587328168</v>
      </c>
      <c r="K91" s="12"/>
      <c r="M91" s="12"/>
      <c r="O91" s="12"/>
      <c r="Q91" s="12"/>
      <c r="U91" s="12"/>
      <c r="V91" s="12"/>
      <c r="W91" s="12"/>
    </row>
    <row r="92" customFormat="false" ht="15" hidden="false" customHeight="false" outlineLevel="0" collapsed="false">
      <c r="A92" s="0" t="n">
        <v>83</v>
      </c>
      <c r="B92" s="0" t="n">
        <v>19.9321070234114</v>
      </c>
      <c r="C92" s="0" t="n">
        <v>0.0339802123223088</v>
      </c>
      <c r="D92" s="0" t="n">
        <v>-0.505754350632327</v>
      </c>
      <c r="E92" s="0" t="n">
        <v>0.0588693056103493</v>
      </c>
      <c r="K92" s="12"/>
      <c r="M92" s="12"/>
      <c r="O92" s="12"/>
      <c r="Q92" s="12"/>
      <c r="U92" s="12"/>
      <c r="V92" s="12"/>
      <c r="W92" s="12"/>
    </row>
    <row r="93" customFormat="false" ht="15" hidden="false" customHeight="false" outlineLevel="0" collapsed="false">
      <c r="A93" s="0" t="n">
        <v>84</v>
      </c>
      <c r="B93" s="0" t="n">
        <v>20.0227424749164</v>
      </c>
      <c r="C93" s="0" t="n">
        <v>0.034778291605531</v>
      </c>
      <c r="D93" s="0" t="n">
        <v>-0.518585707781192</v>
      </c>
      <c r="E93" s="0" t="n">
        <v>0.0601770652292279</v>
      </c>
      <c r="K93" s="12"/>
      <c r="M93" s="12"/>
      <c r="O93" s="12"/>
      <c r="Q93" s="12"/>
      <c r="U93" s="12"/>
      <c r="V93" s="12"/>
      <c r="W93" s="12"/>
    </row>
    <row r="94" customFormat="false" ht="15" hidden="false" customHeight="false" outlineLevel="0" collapsed="false">
      <c r="A94" s="0" t="n">
        <v>85</v>
      </c>
      <c r="B94" s="0" t="n">
        <v>20.1133779264214</v>
      </c>
      <c r="C94" s="0" t="n">
        <v>0.0355849103930923</v>
      </c>
      <c r="D94" s="0" t="n">
        <v>-0.531586955923707</v>
      </c>
      <c r="E94" s="0" t="n">
        <v>0.0614967757839042</v>
      </c>
      <c r="K94" s="12"/>
      <c r="M94" s="12"/>
      <c r="O94" s="12"/>
      <c r="Q94" s="12"/>
      <c r="U94" s="12"/>
      <c r="V94" s="12"/>
      <c r="W94" s="12"/>
    </row>
    <row r="95" customFormat="false" ht="15" hidden="false" customHeight="false" outlineLevel="0" collapsed="false">
      <c r="A95" s="0" t="n">
        <v>86</v>
      </c>
      <c r="B95" s="0" t="n">
        <v>20.2040133779264</v>
      </c>
      <c r="C95" s="0" t="n">
        <v>0.0364000442971827</v>
      </c>
      <c r="D95" s="0" t="n">
        <v>-0.544758330074835</v>
      </c>
      <c r="E95" s="0" t="n">
        <v>0.062828376090713</v>
      </c>
      <c r="K95" s="12"/>
      <c r="M95" s="12"/>
      <c r="O95" s="12"/>
      <c r="Q95" s="12"/>
      <c r="U95" s="12"/>
      <c r="V95" s="12"/>
      <c r="W95" s="12"/>
    </row>
    <row r="96" customFormat="false" ht="15" hidden="false" customHeight="false" outlineLevel="0" collapsed="false">
      <c r="A96" s="0" t="n">
        <v>87</v>
      </c>
      <c r="B96" s="0" t="n">
        <v>20.2946488294314</v>
      </c>
      <c r="C96" s="0" t="n">
        <v>0.037223668951401</v>
      </c>
      <c r="D96" s="0" t="n">
        <v>-0.558100060429924</v>
      </c>
      <c r="E96" s="0" t="n">
        <v>0.0641718055750753</v>
      </c>
      <c r="K96" s="12"/>
      <c r="M96" s="12"/>
      <c r="O96" s="12"/>
      <c r="Q96" s="12"/>
      <c r="U96" s="12"/>
      <c r="V96" s="12"/>
      <c r="W96" s="12"/>
    </row>
    <row r="97" customFormat="false" ht="15" hidden="false" customHeight="false" outlineLevel="0" collapsed="false">
      <c r="A97" s="0" t="n">
        <v>88</v>
      </c>
      <c r="B97" s="0" t="n">
        <v>20.3852842809365</v>
      </c>
      <c r="C97" s="0" t="n">
        <v>0.0380557600097907</v>
      </c>
      <c r="D97" s="0" t="n">
        <v>-0.571612372351289</v>
      </c>
      <c r="E97" s="0" t="n">
        <v>0.0655270042589706</v>
      </c>
      <c r="K97" s="12"/>
      <c r="M97" s="12"/>
      <c r="O97" s="12"/>
      <c r="Q97" s="12"/>
      <c r="U97" s="12"/>
      <c r="V97" s="12"/>
      <c r="W97" s="12"/>
    </row>
    <row r="98" customFormat="false" ht="15" hidden="false" customHeight="false" outlineLevel="0" collapsed="false">
      <c r="A98" s="0" t="n">
        <v>89</v>
      </c>
      <c r="B98" s="0" t="n">
        <v>20.4759197324415</v>
      </c>
      <c r="C98" s="0" t="n">
        <v>0.0388962931458781</v>
      </c>
      <c r="D98" s="0" t="n">
        <v>-0.585295486354731</v>
      </c>
      <c r="E98" s="0" t="n">
        <v>0.0668939127486689</v>
      </c>
      <c r="K98" s="12"/>
      <c r="M98" s="12"/>
      <c r="O98" s="12"/>
      <c r="Q98" s="12"/>
      <c r="U98" s="12"/>
      <c r="V98" s="12"/>
      <c r="W98" s="12"/>
    </row>
    <row r="99" customFormat="false" ht="15" hidden="false" customHeight="false" outlineLevel="0" collapsed="false">
      <c r="A99" s="0" t="n">
        <v>90</v>
      </c>
      <c r="B99" s="0" t="n">
        <v>20.5665551839465</v>
      </c>
      <c r="C99" s="0" t="n">
        <v>0.0397452440517141</v>
      </c>
      <c r="D99" s="0" t="n">
        <v>-0.59914961809598</v>
      </c>
      <c r="E99" s="0" t="n">
        <v>0.068272472222717</v>
      </c>
      <c r="K99" s="12"/>
      <c r="M99" s="12"/>
      <c r="O99" s="12"/>
      <c r="Q99" s="12"/>
      <c r="U99" s="12"/>
      <c r="V99" s="12"/>
      <c r="W99" s="12"/>
    </row>
    <row r="100" customFormat="false" ht="15" hidden="false" customHeight="false" outlineLevel="0" collapsed="false">
      <c r="A100" s="0" t="n">
        <v>91</v>
      </c>
      <c r="B100" s="0" t="n">
        <v>20.6571906354515</v>
      </c>
      <c r="C100" s="0" t="n">
        <v>0.0406025884369185</v>
      </c>
      <c r="D100" s="0" t="n">
        <v>-0.613174978357084</v>
      </c>
      <c r="E100" s="0" t="n">
        <v>0.0696626244201728</v>
      </c>
      <c r="K100" s="12"/>
      <c r="M100" s="12"/>
      <c r="O100" s="12"/>
      <c r="Q100" s="12"/>
      <c r="U100" s="12"/>
      <c r="V100" s="12"/>
      <c r="W100" s="12"/>
    </row>
    <row r="101" customFormat="false" ht="15" hidden="false" customHeight="false" outlineLevel="0" collapsed="false">
      <c r="A101" s="0" t="n">
        <v>92</v>
      </c>
      <c r="B101" s="0" t="n">
        <v>20.7478260869565</v>
      </c>
      <c r="C101" s="0" t="n">
        <v>0.0414683020277275</v>
      </c>
      <c r="D101" s="0" t="n">
        <v>-0.627371773032724</v>
      </c>
      <c r="E101" s="0" t="n">
        <v>0.0710643116290795</v>
      </c>
      <c r="K101" s="12"/>
      <c r="M101" s="12"/>
      <c r="O101" s="12"/>
      <c r="Q101" s="12"/>
      <c r="U101" s="12"/>
      <c r="V101" s="12"/>
      <c r="W101" s="12"/>
    </row>
    <row r="102" customFormat="false" ht="15" hidden="false" customHeight="false" outlineLevel="0" collapsed="false">
      <c r="A102" s="0" t="n">
        <v>93</v>
      </c>
      <c r="B102" s="0" t="n">
        <v>20.8384615384615</v>
      </c>
      <c r="C102" s="0" t="n">
        <v>0.0423423605660451</v>
      </c>
      <c r="D102" s="0" t="n">
        <v>-0.641740203116468</v>
      </c>
      <c r="E102" s="0" t="n">
        <v>0.0724774766751751</v>
      </c>
      <c r="K102" s="12"/>
      <c r="M102" s="12"/>
      <c r="O102" s="12"/>
      <c r="Q102" s="12"/>
      <c r="U102" s="12"/>
      <c r="V102" s="12"/>
      <c r="W102" s="12"/>
    </row>
    <row r="103" customFormat="false" ht="15" hidden="false" customHeight="false" outlineLevel="0" collapsed="false">
      <c r="A103" s="0" t="n">
        <v>94</v>
      </c>
      <c r="B103" s="0" t="n">
        <v>20.9290969899666</v>
      </c>
      <c r="C103" s="0" t="n">
        <v>0.0432247398084958</v>
      </c>
      <c r="D103" s="0" t="n">
        <v>-0.656280464686959</v>
      </c>
      <c r="E103" s="0" t="n">
        <v>0.0739020629108301</v>
      </c>
      <c r="K103" s="12"/>
      <c r="M103" s="12"/>
      <c r="O103" s="12"/>
      <c r="Q103" s="12"/>
      <c r="U103" s="12"/>
      <c r="V103" s="12"/>
      <c r="W103" s="12"/>
    </row>
    <row r="104" customFormat="false" ht="15" hidden="false" customHeight="false" outlineLevel="0" collapsed="false">
      <c r="A104" s="0" t="n">
        <v>95</v>
      </c>
      <c r="B104" s="0" t="n">
        <v>21.0197324414716</v>
      </c>
      <c r="C104" s="0" t="n">
        <v>0.0441154155254822</v>
      </c>
      <c r="D104" s="0" t="n">
        <v>-0.670992748894047</v>
      </c>
      <c r="E104" s="0" t="n">
        <v>0.075338014204208</v>
      </c>
      <c r="K104" s="12"/>
      <c r="M104" s="12"/>
      <c r="O104" s="12"/>
      <c r="Q104" s="12"/>
      <c r="U104" s="12"/>
      <c r="V104" s="12"/>
      <c r="W104" s="12"/>
    </row>
    <row r="105" customFormat="false" ht="15" hidden="false" customHeight="false" outlineLevel="0" collapsed="false">
      <c r="A105" s="0" t="n">
        <v>96</v>
      </c>
      <c r="B105" s="0" t="n">
        <v>21.1103678929766</v>
      </c>
      <c r="C105" s="0" t="n">
        <v>0.0450143635002444</v>
      </c>
      <c r="D105" s="0" t="n">
        <v>-0.685877241944848</v>
      </c>
      <c r="E105" s="0" t="n">
        <v>0.0767852749286428</v>
      </c>
      <c r="K105" s="12"/>
      <c r="M105" s="12"/>
      <c r="O105" s="12"/>
      <c r="Q105" s="12"/>
      <c r="U105" s="12"/>
      <c r="V105" s="12"/>
      <c r="W105" s="12"/>
    </row>
    <row r="106" customFormat="false" ht="15" hidden="false" customHeight="false" outlineLevel="0" collapsed="false">
      <c r="A106" s="0" t="n">
        <v>97</v>
      </c>
      <c r="B106" s="0" t="n">
        <v>21.2010033444816</v>
      </c>
      <c r="C106" s="0" t="n">
        <v>0.0459215595279225</v>
      </c>
      <c r="D106" s="0" t="n">
        <v>-0.700934125089748</v>
      </c>
      <c r="E106" s="0" t="n">
        <v>0.0782437899522279</v>
      </c>
      <c r="K106" s="12"/>
      <c r="M106" s="12"/>
      <c r="O106" s="12"/>
      <c r="Q106" s="12"/>
      <c r="U106" s="12"/>
      <c r="V106" s="12"/>
      <c r="W106" s="12"/>
    </row>
    <row r="107" customFormat="false" ht="15" hidden="false" customHeight="false" outlineLevel="0" collapsed="false">
      <c r="A107" s="0" t="n">
        <v>98</v>
      </c>
      <c r="B107" s="0" t="n">
        <v>21.2916387959866</v>
      </c>
      <c r="C107" s="0" t="n">
        <v>0.0468369794146229</v>
      </c>
      <c r="D107" s="0" t="n">
        <v>-0.716163574608344</v>
      </c>
      <c r="E107" s="0" t="n">
        <v>0.0797135046276107</v>
      </c>
      <c r="K107" s="12"/>
      <c r="M107" s="12"/>
      <c r="O107" s="12"/>
      <c r="Q107" s="12"/>
      <c r="U107" s="12"/>
      <c r="V107" s="12"/>
      <c r="W107" s="12"/>
    </row>
    <row r="108" customFormat="false" ht="15" hidden="false" customHeight="false" outlineLevel="0" collapsed="false">
      <c r="A108" s="0" t="n">
        <v>99</v>
      </c>
      <c r="B108" s="0" t="n">
        <v>21.3822742474916</v>
      </c>
      <c r="C108" s="0" t="n">
        <v>0.0477605989764868</v>
      </c>
      <c r="D108" s="0" t="n">
        <v>-0.731565761795326</v>
      </c>
      <c r="E108" s="0" t="n">
        <v>0.0811943647819888</v>
      </c>
      <c r="K108" s="12"/>
      <c r="M108" s="12"/>
      <c r="O108" s="12"/>
      <c r="Q108" s="12"/>
      <c r="U108" s="12"/>
      <c r="V108" s="12"/>
      <c r="W108" s="12"/>
    </row>
    <row r="109" customFormat="false" ht="15" hidden="false" customHeight="false" outlineLevel="0" collapsed="false">
      <c r="A109" s="0" t="n">
        <v>100</v>
      </c>
      <c r="B109" s="0" t="n">
        <v>21.4729096989967</v>
      </c>
      <c r="C109" s="0" t="n">
        <v>0.0486923940387618</v>
      </c>
      <c r="D109" s="0" t="n">
        <v>-0.747140852946292</v>
      </c>
      <c r="E109" s="0" t="n">
        <v>0.0826863167073011</v>
      </c>
      <c r="K109" s="12"/>
      <c r="M109" s="12"/>
      <c r="O109" s="12"/>
      <c r="Q109" s="12"/>
      <c r="U109" s="12"/>
      <c r="V109" s="12"/>
      <c r="W109" s="12"/>
    </row>
    <row r="110" customFormat="false" ht="15" hidden="false" customHeight="false" outlineLevel="0" collapsed="false">
      <c r="A110" s="0" t="n">
        <v>101</v>
      </c>
      <c r="B110" s="0" t="n">
        <v>21.5635451505017</v>
      </c>
      <c r="C110" s="0" t="n">
        <v>0.0496323404348767</v>
      </c>
      <c r="D110" s="0" t="n">
        <v>-0.762889009343516</v>
      </c>
      <c r="E110" s="0" t="n">
        <v>0.0841893071506105</v>
      </c>
      <c r="K110" s="12"/>
      <c r="M110" s="12"/>
      <c r="O110" s="12"/>
      <c r="Q110" s="12"/>
      <c r="U110" s="12"/>
      <c r="V110" s="12"/>
      <c r="W110" s="12"/>
    </row>
    <row r="111" customFormat="false" ht="15" hidden="false" customHeight="false" outlineLevel="0" collapsed="false">
      <c r="A111" s="0" t="n">
        <v>102</v>
      </c>
      <c r="B111" s="0" t="n">
        <v>21.6541806020067</v>
      </c>
      <c r="C111" s="0" t="n">
        <v>0.0505804140055193</v>
      </c>
      <c r="D111" s="0" t="n">
        <v>-0.778810387241643</v>
      </c>
      <c r="E111" s="0" t="n">
        <v>0.0857032833046722</v>
      </c>
      <c r="K111" s="12"/>
      <c r="M111" s="12"/>
      <c r="O111" s="12"/>
      <c r="Q111" s="12"/>
      <c r="U111" s="12"/>
      <c r="V111" s="12"/>
      <c r="W111" s="12"/>
    </row>
    <row r="112" customFormat="false" ht="15" hidden="false" customHeight="false" outlineLevel="0" collapsed="false">
      <c r="A112" s="0" t="n">
        <v>103</v>
      </c>
      <c r="B112" s="0" t="n">
        <v>21.7448160535117</v>
      </c>
      <c r="C112" s="0" t="n">
        <v>0.0515365905977168</v>
      </c>
      <c r="D112" s="0" t="n">
        <v>-0.79490513785334</v>
      </c>
      <c r="E112" s="0" t="n">
        <v>0.0872281927986838</v>
      </c>
      <c r="K112" s="12"/>
      <c r="M112" s="12"/>
      <c r="O112" s="12"/>
      <c r="Q112" s="12"/>
      <c r="U112" s="12"/>
      <c r="V112" s="12"/>
      <c r="W112" s="12"/>
    </row>
    <row r="113" customFormat="false" ht="15" hidden="false" customHeight="false" outlineLevel="0" collapsed="false">
      <c r="A113" s="0" t="n">
        <v>104</v>
      </c>
      <c r="B113" s="0" t="n">
        <v>21.8354515050167</v>
      </c>
      <c r="C113" s="0" t="n">
        <v>0.0525008460639195</v>
      </c>
      <c r="D113" s="0" t="n">
        <v>-0.811173407334877</v>
      </c>
      <c r="E113" s="0" t="n">
        <v>0.0887639836892124</v>
      </c>
      <c r="K113" s="12"/>
      <c r="M113" s="12"/>
      <c r="O113" s="12"/>
      <c r="Q113" s="12"/>
      <c r="U113" s="12"/>
      <c r="V113" s="12"/>
      <c r="W113" s="12"/>
    </row>
    <row r="114" customFormat="false" ht="15" hidden="false" customHeight="false" outlineLevel="0" collapsed="false">
      <c r="A114" s="0" t="n">
        <v>105</v>
      </c>
      <c r="B114" s="0" t="n">
        <v>21.9260869565217</v>
      </c>
      <c r="C114" s="0" t="n">
        <v>0.0534731562610874</v>
      </c>
      <c r="D114" s="0" t="n">
        <v>-0.827615336771657</v>
      </c>
      <c r="E114" s="0" t="n">
        <v>0.090310604451294</v>
      </c>
      <c r="K114" s="12"/>
      <c r="M114" s="12"/>
      <c r="O114" s="12"/>
      <c r="Q114" s="12"/>
      <c r="U114" s="12"/>
      <c r="V114" s="12"/>
      <c r="W114" s="12"/>
    </row>
    <row r="115" customFormat="false" ht="15" hidden="false" customHeight="false" outlineLevel="0" collapsed="false">
      <c r="A115" s="0" t="n">
        <v>106</v>
      </c>
      <c r="B115" s="0" t="n">
        <v>22.0167224080268</v>
      </c>
      <c r="C115" s="0" t="n">
        <v>0.0544534970497792</v>
      </c>
      <c r="D115" s="0" t="n">
        <v>-0.844231062163695</v>
      </c>
      <c r="E115" s="0" t="n">
        <v>0.0918680039697017</v>
      </c>
      <c r="K115" s="12"/>
      <c r="M115" s="12"/>
      <c r="O115" s="12"/>
      <c r="Q115" s="12"/>
      <c r="U115" s="12"/>
      <c r="V115" s="12"/>
      <c r="W115" s="12"/>
    </row>
    <row r="116" customFormat="false" ht="15" hidden="false" customHeight="false" outlineLevel="0" collapsed="false">
      <c r="A116" s="0" t="n">
        <v>107</v>
      </c>
      <c r="B116" s="0" t="n">
        <v>22.1073578595318</v>
      </c>
      <c r="C116" s="0" t="n">
        <v>0.0554418442932452</v>
      </c>
      <c r="D116" s="0" t="n">
        <v>-0.86102071441103</v>
      </c>
      <c r="E116" s="0" t="n">
        <v>0.0934361315303783</v>
      </c>
      <c r="K116" s="12"/>
      <c r="M116" s="12"/>
      <c r="O116" s="12"/>
      <c r="Q116" s="12"/>
      <c r="U116" s="12"/>
      <c r="V116" s="12"/>
      <c r="W116" s="12"/>
    </row>
    <row r="117" customFormat="false" ht="15" hidden="false" customHeight="false" outlineLevel="0" collapsed="false">
      <c r="A117" s="0" t="n">
        <v>108</v>
      </c>
      <c r="B117" s="0" t="n">
        <v>22.1979933110368</v>
      </c>
      <c r="C117" s="0" t="n">
        <v>0.0564381738565223</v>
      </c>
      <c r="D117" s="0" t="n">
        <v>-0.877984419299089</v>
      </c>
      <c r="E117" s="0" t="n">
        <v>0.0950149368120284</v>
      </c>
      <c r="K117" s="12"/>
      <c r="M117" s="12"/>
      <c r="O117" s="12"/>
      <c r="Q117" s="12"/>
      <c r="U117" s="12"/>
      <c r="V117" s="12"/>
      <c r="W117" s="12"/>
    </row>
    <row r="118" customFormat="false" ht="15" hidden="false" customHeight="false" outlineLevel="0" collapsed="false">
      <c r="A118" s="0" t="n">
        <v>109</v>
      </c>
      <c r="B118" s="0" t="n">
        <v>22.2886287625418</v>
      </c>
      <c r="C118" s="0" t="n">
        <v>0.0574424616055322</v>
      </c>
      <c r="D118" s="0" t="n">
        <v>-0.895122297484001</v>
      </c>
      <c r="E118" s="0" t="n">
        <v>0.0966043698778682</v>
      </c>
      <c r="K118" s="12"/>
      <c r="M118" s="12"/>
      <c r="O118" s="12"/>
      <c r="Q118" s="12"/>
      <c r="U118" s="12"/>
      <c r="V118" s="12"/>
      <c r="W118" s="12"/>
    </row>
    <row r="119" customFormat="false" ht="15" hidden="false" customHeight="false" outlineLevel="0" collapsed="false">
      <c r="A119" s="0" t="n">
        <v>110</v>
      </c>
      <c r="B119" s="0" t="n">
        <v>22.3792642140468</v>
      </c>
      <c r="C119" s="0" t="n">
        <v>0.0584546834061824</v>
      </c>
      <c r="D119" s="0" t="n">
        <v>-0.912434464477846</v>
      </c>
      <c r="E119" s="0" t="n">
        <v>0.0982043811675266</v>
      </c>
      <c r="K119" s="12"/>
      <c r="M119" s="12"/>
      <c r="O119" s="12"/>
      <c r="Q119" s="12"/>
      <c r="U119" s="12"/>
      <c r="V119" s="12"/>
      <c r="W119" s="12"/>
    </row>
    <row r="120" customFormat="false" ht="15" hidden="false" customHeight="false" outlineLevel="0" collapsed="false">
      <c r="A120" s="0" t="n">
        <v>111</v>
      </c>
      <c r="B120" s="0" t="n">
        <v>22.4698996655518</v>
      </c>
      <c r="C120" s="0" t="n">
        <v>0.0594748151234702</v>
      </c>
      <c r="D120" s="0" t="n">
        <v>-0.929921030633861</v>
      </c>
      <c r="E120" s="0" t="n">
        <v>0.0998149214890968</v>
      </c>
      <c r="K120" s="12"/>
      <c r="M120" s="12"/>
      <c r="O120" s="12"/>
      <c r="Q120" s="12"/>
      <c r="U120" s="12"/>
      <c r="V120" s="12"/>
      <c r="W120" s="12"/>
    </row>
    <row r="121" customFormat="false" ht="15" hidden="false" customHeight="false" outlineLevel="0" collapsed="false">
      <c r="A121" s="0" t="n">
        <v>112</v>
      </c>
      <c r="B121" s="0" t="n">
        <v>22.5605351170569</v>
      </c>
      <c r="C121" s="0" t="n">
        <v>0.06050283262059</v>
      </c>
      <c r="D121" s="0" t="n">
        <v>-0.947582101131589</v>
      </c>
      <c r="E121" s="0" t="n">
        <v>0.101435942011332</v>
      </c>
      <c r="K121" s="12"/>
      <c r="M121" s="12"/>
      <c r="O121" s="12"/>
      <c r="Q121" s="12"/>
      <c r="U121" s="12"/>
      <c r="V121" s="12"/>
      <c r="W121" s="12"/>
    </row>
    <row r="122" customFormat="false" ht="15" hidden="false" customHeight="false" outlineLevel="0" collapsed="false">
      <c r="A122" s="0" t="n">
        <v>113</v>
      </c>
      <c r="B122" s="0" t="n">
        <v>22.6511705685619</v>
      </c>
      <c r="C122" s="0" t="n">
        <v>0.0615387117580421</v>
      </c>
      <c r="D122" s="0" t="n">
        <v>-0.965417775961979</v>
      </c>
      <c r="E122" s="0" t="n">
        <v>0.103067394255983</v>
      </c>
      <c r="K122" s="12"/>
      <c r="M122" s="12"/>
      <c r="O122" s="12"/>
      <c r="Q122" s="12"/>
      <c r="U122" s="12"/>
      <c r="V122" s="12"/>
      <c r="W122" s="12"/>
    </row>
    <row r="123" customFormat="false" ht="15" hidden="false" customHeight="false" outlineLevel="0" collapsed="false">
      <c r="A123" s="0" t="n">
        <v>114</v>
      </c>
      <c r="B123" s="0" t="n">
        <v>22.7418060200669</v>
      </c>
      <c r="C123" s="0" t="n">
        <v>0.0625824283927464</v>
      </c>
      <c r="D123" s="0" t="n">
        <v>-0.983428149912432</v>
      </c>
      <c r="E123" s="0" t="n">
        <v>0.104709230090277</v>
      </c>
      <c r="K123" s="12"/>
      <c r="M123" s="12"/>
      <c r="O123" s="12"/>
      <c r="Q123" s="12"/>
      <c r="U123" s="12"/>
      <c r="V123" s="12"/>
      <c r="W123" s="12"/>
    </row>
    <row r="124" customFormat="false" ht="15" hidden="false" customHeight="false" outlineLevel="0" collapsed="false">
      <c r="A124" s="0" t="n">
        <v>115</v>
      </c>
      <c r="B124" s="0" t="n">
        <v>22.8324414715719</v>
      </c>
      <c r="C124" s="0" t="n">
        <v>0.0636339583771571</v>
      </c>
      <c r="D124" s="0" t="n">
        <v>-1.0016133125518</v>
      </c>
      <c r="E124" s="0" t="n">
        <v>0.106361401719528</v>
      </c>
      <c r="K124" s="12"/>
      <c r="M124" s="12"/>
      <c r="O124" s="12"/>
      <c r="Q124" s="12"/>
      <c r="U124" s="12"/>
      <c r="V124" s="12"/>
      <c r="W124" s="12"/>
    </row>
    <row r="125" customFormat="false" ht="15" hidden="false" customHeight="false" outlineLevel="0" collapsed="false">
      <c r="A125" s="0" t="n">
        <v>116</v>
      </c>
      <c r="B125" s="0" t="n">
        <v>22.9230769230769</v>
      </c>
      <c r="C125" s="0" t="n">
        <v>0.0646932775583812</v>
      </c>
      <c r="D125" s="0" t="n">
        <v>-1.01997334821533</v>
      </c>
      <c r="E125" s="0" t="n">
        <v>0.108023861679881</v>
      </c>
      <c r="K125" s="12"/>
      <c r="M125" s="12"/>
      <c r="O125" s="12"/>
      <c r="Q125" s="12"/>
      <c r="U125" s="12"/>
      <c r="V125" s="12"/>
      <c r="W125" s="12"/>
    </row>
    <row r="126" customFormat="false" ht="15" hidden="false" customHeight="false" outlineLevel="0" collapsed="false">
      <c r="A126" s="0" t="n">
        <v>117</v>
      </c>
      <c r="B126" s="0" t="n">
        <v>23.0137123745819</v>
      </c>
      <c r="C126" s="0" t="n">
        <v>0.0657603617773002</v>
      </c>
      <c r="D126" s="0" t="n">
        <v>-1.03850833598957</v>
      </c>
      <c r="E126" s="0" t="n">
        <v>0.10969656283119</v>
      </c>
      <c r="K126" s="12"/>
      <c r="M126" s="12"/>
      <c r="O126" s="12"/>
      <c r="Q126" s="12"/>
      <c r="U126" s="12"/>
      <c r="V126" s="12"/>
      <c r="W126" s="12"/>
    </row>
    <row r="127" customFormat="false" ht="15" hidden="false" customHeight="false" outlineLevel="0" collapsed="false">
      <c r="A127" s="0" t="n">
        <v>118</v>
      </c>
      <c r="B127" s="0" t="n">
        <v>23.104347826087</v>
      </c>
      <c r="C127" s="0" t="n">
        <v>0.0668351868676935</v>
      </c>
      <c r="D127" s="0" t="n">
        <v>-1.05721834969723</v>
      </c>
      <c r="E127" s="0" t="n">
        <v>0.11137945835001</v>
      </c>
      <c r="K127" s="12"/>
      <c r="M127" s="12"/>
      <c r="O127" s="12"/>
      <c r="Q127" s="12"/>
      <c r="U127" s="12"/>
      <c r="V127" s="12"/>
      <c r="W127" s="12"/>
    </row>
    <row r="128" customFormat="false" ht="15" hidden="false" customHeight="false" outlineLevel="0" collapsed="false">
      <c r="A128" s="0" t="n">
        <v>119</v>
      </c>
      <c r="B128" s="0" t="n">
        <v>23.194983277592</v>
      </c>
      <c r="C128" s="0" t="n">
        <v>0.0679177286553656</v>
      </c>
      <c r="D128" s="0" t="n">
        <v>-1.07610345788193</v>
      </c>
      <c r="E128" s="0" t="n">
        <v>0.113072501722726</v>
      </c>
      <c r="K128" s="12"/>
      <c r="M128" s="12"/>
      <c r="O128" s="12"/>
      <c r="Q128" s="12"/>
      <c r="U128" s="12"/>
      <c r="V128" s="12"/>
      <c r="W128" s="12"/>
    </row>
    <row r="129" customFormat="false" ht="15" hidden="false" customHeight="false" outlineLevel="0" collapsed="false">
      <c r="A129" s="0" t="n">
        <v>120</v>
      </c>
      <c r="B129" s="0" t="n">
        <v>23.285618729097</v>
      </c>
      <c r="C129" s="0" t="n">
        <v>0.069007962957276</v>
      </c>
      <c r="D129" s="0" t="n">
        <v>-1.09516372379304</v>
      </c>
      <c r="E129" s="0" t="n">
        <v>0.114775646738795</v>
      </c>
      <c r="K129" s="12"/>
      <c r="M129" s="12"/>
      <c r="O129" s="12"/>
      <c r="Q129" s="12"/>
      <c r="U129" s="12"/>
      <c r="V129" s="12"/>
      <c r="W129" s="12"/>
    </row>
    <row r="130" customFormat="false" ht="15" hidden="false" customHeight="false" outlineLevel="0" collapsed="false">
      <c r="A130" s="0" t="n">
        <v>121</v>
      </c>
      <c r="B130" s="0" t="n">
        <v>23.376254180602</v>
      </c>
      <c r="C130" s="0" t="n">
        <v>0.0701058655806714</v>
      </c>
      <c r="D130" s="0" t="n">
        <v>-1.11439920537034</v>
      </c>
      <c r="E130" s="0" t="n">
        <v>0.116488847484105</v>
      </c>
      <c r="K130" s="12"/>
      <c r="M130" s="12"/>
      <c r="O130" s="12"/>
      <c r="Q130" s="12"/>
      <c r="U130" s="12"/>
      <c r="V130" s="12"/>
      <c r="W130" s="12"/>
    </row>
    <row r="131" customFormat="false" ht="15" hidden="false" customHeight="false" outlineLevel="0" collapsed="false">
      <c r="A131" s="0" t="n">
        <v>122</v>
      </c>
      <c r="B131" s="0" t="n">
        <v>23.466889632107</v>
      </c>
      <c r="C131" s="0" t="n">
        <v>0.0712114123222214</v>
      </c>
      <c r="D131" s="0" t="n">
        <v>-1.13380995522867</v>
      </c>
      <c r="E131" s="0" t="n">
        <v>0.118212058334451</v>
      </c>
      <c r="K131" s="12"/>
      <c r="M131" s="12"/>
      <c r="O131" s="12"/>
      <c r="Q131" s="12"/>
      <c r="U131" s="12"/>
      <c r="V131" s="12"/>
      <c r="W131" s="12"/>
    </row>
    <row r="132" customFormat="false" ht="15" hidden="false" customHeight="false" outlineLevel="0" collapsed="false">
      <c r="A132" s="0" t="n">
        <v>123</v>
      </c>
      <c r="B132" s="0" t="n">
        <v>23.557525083612</v>
      </c>
      <c r="C132" s="0" t="n">
        <v>0.0723245789671567</v>
      </c>
      <c r="D132" s="0" t="n">
        <v>-1.1533960206426</v>
      </c>
      <c r="E132" s="0" t="n">
        <v>0.119945233949125</v>
      </c>
      <c r="K132" s="12"/>
      <c r="M132" s="12"/>
      <c r="O132" s="12"/>
      <c r="Q132" s="12"/>
      <c r="U132" s="12"/>
      <c r="V132" s="12"/>
      <c r="W132" s="12"/>
    </row>
    <row r="133" customFormat="false" ht="15" hidden="false" customHeight="false" outlineLevel="0" collapsed="false">
      <c r="A133" s="0" t="n">
        <v>124</v>
      </c>
      <c r="B133" s="0" t="n">
        <v>23.6481605351171</v>
      </c>
      <c r="C133" s="0" t="n">
        <v>0.0734453412884101</v>
      </c>
      <c r="D133" s="0" t="n">
        <v>-1.17315744353096</v>
      </c>
      <c r="E133" s="0" t="n">
        <v>0.121688329264614</v>
      </c>
      <c r="K133" s="12"/>
      <c r="M133" s="12"/>
      <c r="O133" s="12"/>
      <c r="Q133" s="12"/>
      <c r="U133" s="12"/>
      <c r="V133" s="12"/>
      <c r="W133" s="12"/>
    </row>
    <row r="134" customFormat="false" ht="15" hidden="false" customHeight="false" outlineLevel="0" collapsed="false">
      <c r="A134" s="0" t="n">
        <v>125</v>
      </c>
      <c r="B134" s="0" t="n">
        <v>23.7387959866221</v>
      </c>
      <c r="C134" s="0" t="n">
        <v>0.0745736750457604</v>
      </c>
      <c r="D134" s="0" t="n">
        <v>-1.1930942604414</v>
      </c>
      <c r="E134" s="0" t="n">
        <v>0.1234412994884</v>
      </c>
      <c r="K134" s="12"/>
      <c r="M134" s="12"/>
      <c r="O134" s="12"/>
      <c r="Q134" s="12"/>
      <c r="U134" s="12"/>
      <c r="V134" s="12"/>
      <c r="W134" s="12"/>
    </row>
    <row r="135" customFormat="false" ht="15" hidden="false" customHeight="false" outlineLevel="0" collapsed="false">
      <c r="A135" s="0" t="n">
        <v>126</v>
      </c>
      <c r="B135" s="0" t="n">
        <v>23.8294314381271</v>
      </c>
      <c r="C135" s="0" t="n">
        <v>0.075709555984979</v>
      </c>
      <c r="D135" s="0" t="n">
        <v>-1.21320650253487</v>
      </c>
      <c r="E135" s="0" t="n">
        <v>0.125204100092876</v>
      </c>
      <c r="K135" s="12"/>
      <c r="M135" s="12"/>
      <c r="O135" s="12"/>
      <c r="Q135" s="12"/>
      <c r="U135" s="12"/>
      <c r="V135" s="12"/>
      <c r="W135" s="12"/>
    </row>
    <row r="136" customFormat="false" ht="15" hidden="false" customHeight="false" outlineLevel="0" collapsed="false">
      <c r="A136" s="0" t="n">
        <v>127</v>
      </c>
      <c r="B136" s="0" t="n">
        <v>23.9200668896321</v>
      </c>
      <c r="C136" s="0" t="n">
        <v>0.0768529598369795</v>
      </c>
      <c r="D136" s="0" t="n">
        <v>-1.23349419557005</v>
      </c>
      <c r="E136" s="0" t="n">
        <v>0.126976686809355</v>
      </c>
      <c r="K136" s="12"/>
      <c r="M136" s="12"/>
      <c r="O136" s="12"/>
      <c r="Q136" s="12"/>
      <c r="U136" s="12"/>
      <c r="V136" s="12"/>
      <c r="W136" s="12"/>
    </row>
    <row r="137" customFormat="false" ht="15" hidden="false" customHeight="false" outlineLevel="0" collapsed="false">
      <c r="A137" s="0" t="n">
        <v>128</v>
      </c>
      <c r="B137" s="0" t="n">
        <v>24.0107023411371</v>
      </c>
      <c r="C137" s="0" t="n">
        <v>0.07800386231697</v>
      </c>
      <c r="D137" s="0" t="n">
        <v>-1.25395735988781</v>
      </c>
      <c r="E137" s="0" t="n">
        <v>0.128759015622185</v>
      </c>
      <c r="K137" s="12"/>
      <c r="M137" s="12"/>
      <c r="O137" s="12"/>
      <c r="Q137" s="12"/>
      <c r="U137" s="12"/>
      <c r="V137" s="12"/>
      <c r="W137" s="12"/>
    </row>
    <row r="138" customFormat="false" ht="15" hidden="false" customHeight="false" outlineLevel="0" collapsed="false">
      <c r="A138" s="0" t="n">
        <v>129</v>
      </c>
      <c r="B138" s="0" t="n">
        <v>24.1013377926421</v>
      </c>
      <c r="C138" s="0" t="n">
        <v>0.0791622391236083</v>
      </c>
      <c r="D138" s="0" t="n">
        <v>-1.27459601039552</v>
      </c>
      <c r="E138" s="0" t="n">
        <v>0.130551042762955</v>
      </c>
      <c r="K138" s="12"/>
      <c r="M138" s="12"/>
      <c r="O138" s="12"/>
      <c r="Q138" s="12"/>
      <c r="U138" s="12"/>
      <c r="V138" s="12"/>
      <c r="W138" s="12"/>
    </row>
    <row r="139" customFormat="false" ht="15" hidden="false" customHeight="false" outlineLevel="0" collapsed="false">
      <c r="A139" s="0" t="n">
        <v>130</v>
      </c>
      <c r="B139" s="0" t="n">
        <v>24.1919732441472</v>
      </c>
      <c r="C139" s="0" t="n">
        <v>0.0803280659381596</v>
      </c>
      <c r="D139" s="0" t="n">
        <v>-1.29541015655137</v>
      </c>
      <c r="E139" s="0" t="n">
        <v>0.132352724704808</v>
      </c>
      <c r="K139" s="12"/>
      <c r="M139" s="12"/>
      <c r="O139" s="12"/>
      <c r="Q139" s="12"/>
      <c r="U139" s="12"/>
      <c r="V139" s="12"/>
      <c r="W139" s="12"/>
    </row>
    <row r="140" customFormat="false" ht="15" hidden="false" customHeight="false" outlineLevel="0" collapsed="false">
      <c r="A140" s="0" t="n">
        <v>131</v>
      </c>
      <c r="B140" s="0" t="n">
        <v>24.2826086956522</v>
      </c>
      <c r="C140" s="0" t="n">
        <v>0.0815013184236571</v>
      </c>
      <c r="D140" s="0" t="n">
        <v>-1.31639980234873</v>
      </c>
      <c r="E140" s="0" t="n">
        <v>0.134164018156835</v>
      </c>
      <c r="K140" s="12"/>
      <c r="M140" s="12"/>
      <c r="O140" s="12"/>
      <c r="Q140" s="12"/>
      <c r="U140" s="12"/>
      <c r="V140" s="12"/>
      <c r="W140" s="12"/>
    </row>
    <row r="141" customFormat="false" ht="15" hidden="false" customHeight="false" outlineLevel="0" collapsed="false">
      <c r="A141" s="0" t="n">
        <v>132</v>
      </c>
      <c r="B141" s="0" t="n">
        <v>24.3732441471572</v>
      </c>
      <c r="C141" s="0" t="n">
        <v>0.082681972224066</v>
      </c>
      <c r="D141" s="0" t="n">
        <v>-1.33756494630032</v>
      </c>
      <c r="E141" s="0" t="n">
        <v>0.135984880058572</v>
      </c>
      <c r="K141" s="12"/>
      <c r="M141" s="12"/>
      <c r="O141" s="12"/>
      <c r="Q141" s="12"/>
      <c r="U141" s="12"/>
      <c r="V141" s="12"/>
      <c r="W141" s="12"/>
    </row>
    <row r="142" customFormat="false" ht="15" hidden="false" customHeight="false" outlineLevel="0" collapsed="false">
      <c r="A142" s="0" t="n">
        <v>133</v>
      </c>
      <c r="B142" s="0" t="n">
        <v>24.4638795986622</v>
      </c>
      <c r="C142" s="0" t="n">
        <v>0.0838700029634492</v>
      </c>
      <c r="D142" s="0" t="n">
        <v>-1.35890558142244</v>
      </c>
      <c r="E142" s="0" t="n">
        <v>0.13781526757458</v>
      </c>
      <c r="K142" s="12"/>
      <c r="M142" s="12"/>
      <c r="O142" s="12"/>
      <c r="Q142" s="12"/>
      <c r="U142" s="12"/>
      <c r="V142" s="12"/>
      <c r="W142" s="12"/>
    </row>
    <row r="143" customFormat="false" ht="15" hidden="false" customHeight="false" outlineLevel="0" collapsed="false">
      <c r="A143" s="0" t="n">
        <v>134</v>
      </c>
      <c r="B143" s="0" t="n">
        <v>24.5545150501672</v>
      </c>
      <c r="C143" s="0" t="n">
        <v>0.0850653862451368</v>
      </c>
      <c r="D143" s="0" t="n">
        <v>-1.38042169521919</v>
      </c>
      <c r="E143" s="0" t="n">
        <v>0.139655138089111</v>
      </c>
      <c r="K143" s="12"/>
      <c r="M143" s="12"/>
      <c r="O143" s="12"/>
      <c r="Q143" s="12"/>
      <c r="U143" s="12"/>
      <c r="V143" s="12"/>
      <c r="W143" s="12"/>
    </row>
    <row r="144" customFormat="false" ht="15" hidden="false" customHeight="false" outlineLevel="0" collapsed="false">
      <c r="A144" s="0" t="n">
        <v>135</v>
      </c>
      <c r="B144" s="0" t="n">
        <v>24.6451505016722</v>
      </c>
      <c r="C144" s="0" t="n">
        <v>0.0862680976508976</v>
      </c>
      <c r="D144" s="0" t="n">
        <v>-1.40211326966654</v>
      </c>
      <c r="E144" s="0" t="n">
        <v>0.14150444920087</v>
      </c>
      <c r="K144" s="12"/>
      <c r="M144" s="12"/>
      <c r="O144" s="12"/>
      <c r="Q144" s="12"/>
      <c r="U144" s="12"/>
      <c r="V144" s="12"/>
      <c r="W144" s="12"/>
    </row>
    <row r="145" customFormat="false" ht="15" hidden="false" customHeight="false" outlineLevel="0" collapsed="false">
      <c r="A145" s="0" t="n">
        <v>136</v>
      </c>
      <c r="B145" s="0" t="n">
        <v>24.7357859531773</v>
      </c>
      <c r="C145" s="0" t="n">
        <v>0.0874781127401141</v>
      </c>
      <c r="D145" s="0" t="n">
        <v>-1.42398028119646</v>
      </c>
      <c r="E145" s="0" t="n">
        <v>0.143363158717847</v>
      </c>
      <c r="K145" s="12"/>
      <c r="M145" s="12"/>
      <c r="O145" s="12"/>
      <c r="Q145" s="12"/>
      <c r="U145" s="12"/>
      <c r="V145" s="12"/>
      <c r="W145" s="12"/>
    </row>
    <row r="146" customFormat="false" ht="15" hidden="false" customHeight="false" outlineLevel="0" collapsed="false">
      <c r="A146" s="0" t="n">
        <v>137</v>
      </c>
      <c r="B146" s="0" t="n">
        <v>24.8264214046823</v>
      </c>
      <c r="C146" s="0" t="n">
        <v>0.0886954070489594</v>
      </c>
      <c r="D146" s="0" t="n">
        <v>-1.44602270068099</v>
      </c>
      <c r="E146" s="0" t="n">
        <v>0.145231224652246</v>
      </c>
      <c r="K146" s="12"/>
      <c r="M146" s="12"/>
      <c r="O146" s="12"/>
      <c r="Q146" s="12"/>
      <c r="U146" s="12"/>
      <c r="V146" s="12"/>
      <c r="W146" s="12"/>
    </row>
    <row r="147" customFormat="false" ht="15" hidden="false" customHeight="false" outlineLevel="0" collapsed="false">
      <c r="A147" s="0" t="n">
        <v>138</v>
      </c>
      <c r="B147" s="0" t="n">
        <v>24.9170568561873</v>
      </c>
      <c r="C147" s="0" t="n">
        <v>0.089919956089578</v>
      </c>
      <c r="D147" s="0" t="n">
        <v>-1.46824049341629</v>
      </c>
      <c r="E147" s="0" t="n">
        <v>0.147108605215479</v>
      </c>
      <c r="K147" s="12"/>
      <c r="M147" s="12"/>
      <c r="O147" s="12"/>
      <c r="Q147" s="12"/>
      <c r="U147" s="12"/>
      <c r="V147" s="12"/>
      <c r="W147" s="12"/>
    </row>
    <row r="148" customFormat="false" ht="15" hidden="false" customHeight="false" outlineLevel="0" collapsed="false">
      <c r="A148" s="0" t="n">
        <v>139</v>
      </c>
      <c r="B148" s="0" t="n">
        <v>25.0076923076923</v>
      </c>
      <c r="C148" s="0" t="n">
        <v>0.0911517353492683</v>
      </c>
      <c r="D148" s="0" t="n">
        <v>-1.49063361910657</v>
      </c>
      <c r="E148" s="0" t="n">
        <v>0.148995258813253</v>
      </c>
      <c r="K148" s="12"/>
      <c r="M148" s="12"/>
      <c r="O148" s="12"/>
      <c r="Q148" s="12"/>
      <c r="U148" s="12"/>
      <c r="V148" s="12"/>
      <c r="W148" s="12"/>
    </row>
    <row r="149" customFormat="false" ht="15" hidden="false" customHeight="false" outlineLevel="0" collapsed="false">
      <c r="A149" s="0" t="n">
        <v>140</v>
      </c>
      <c r="B149" s="0" t="n">
        <v>25.0983277591973</v>
      </c>
      <c r="C149" s="0" t="n">
        <v>0.0923907202896683</v>
      </c>
      <c r="D149" s="0" t="n">
        <v>-1.51320203184815</v>
      </c>
      <c r="E149" s="0" t="n">
        <v>0.150891144040726</v>
      </c>
      <c r="K149" s="12"/>
      <c r="M149" s="12"/>
      <c r="O149" s="12"/>
      <c r="Q149" s="12"/>
      <c r="U149" s="12"/>
      <c r="V149" s="12"/>
      <c r="W149" s="12"/>
    </row>
    <row r="150" customFormat="false" ht="15" hidden="false" customHeight="false" outlineLevel="0" collapsed="false">
      <c r="A150" s="0" t="n">
        <v>141</v>
      </c>
      <c r="B150" s="0" t="n">
        <v>25.1889632107023</v>
      </c>
      <c r="C150" s="0" t="n">
        <v>0.0936368863459447</v>
      </c>
      <c r="D150" s="0" t="n">
        <v>-1.53594568011332</v>
      </c>
      <c r="E150" s="0" t="n">
        <v>0.152796219677739</v>
      </c>
      <c r="K150" s="12"/>
      <c r="M150" s="12"/>
      <c r="O150" s="12"/>
      <c r="Q150" s="12"/>
      <c r="U150" s="12"/>
      <c r="V150" s="12"/>
      <c r="W150" s="12"/>
    </row>
    <row r="151" customFormat="false" ht="15" hidden="false" customHeight="false" outlineLevel="0" collapsed="false">
      <c r="A151" s="0" t="n">
        <v>142</v>
      </c>
      <c r="B151" s="0" t="n">
        <v>25.2795986622074</v>
      </c>
      <c r="C151" s="0" t="n">
        <v>0.0948902089259833</v>
      </c>
      <c r="D151" s="0" t="n">
        <v>-1.55886450673426</v>
      </c>
      <c r="E151" s="0" t="n">
        <v>0.154710444684126</v>
      </c>
      <c r="K151" s="12"/>
      <c r="M151" s="12"/>
      <c r="O151" s="12"/>
      <c r="Q151" s="12"/>
      <c r="U151" s="12"/>
      <c r="V151" s="12"/>
      <c r="W151" s="12"/>
    </row>
    <row r="152" customFormat="false" ht="15" hidden="false" customHeight="false" outlineLevel="0" collapsed="false">
      <c r="A152" s="0" t="n">
        <v>143</v>
      </c>
      <c r="B152" s="0" t="n">
        <v>25.3702341137124</v>
      </c>
      <c r="C152" s="0" t="n">
        <v>0.0961506634095838</v>
      </c>
      <c r="D152" s="0" t="n">
        <v>-1.58195844888693</v>
      </c>
      <c r="E152" s="0" t="n">
        <v>0.156633778195089</v>
      </c>
      <c r="K152" s="12"/>
      <c r="M152" s="12"/>
      <c r="O152" s="12"/>
      <c r="Q152" s="12"/>
      <c r="U152" s="12"/>
      <c r="V152" s="12"/>
      <c r="W152" s="12"/>
    </row>
    <row r="153" customFormat="false" ht="15" hidden="false" customHeight="false" outlineLevel="0" collapsed="false">
      <c r="A153" s="0" t="n">
        <v>144</v>
      </c>
      <c r="B153" s="0" t="n">
        <v>25.4608695652174</v>
      </c>
      <c r="C153" s="0" t="n">
        <v>0.097418225147656</v>
      </c>
      <c r="D153" s="0" t="n">
        <v>-1.60522743807492</v>
      </c>
      <c r="E153" s="0" t="n">
        <v>0.158566179516653</v>
      </c>
      <c r="K153" s="12"/>
      <c r="M153" s="12"/>
      <c r="O153" s="12"/>
      <c r="Q153" s="12"/>
      <c r="U153" s="12"/>
      <c r="V153" s="12"/>
      <c r="W153" s="12"/>
    </row>
    <row r="154" customFormat="false" ht="15" hidden="false" customHeight="false" outlineLevel="0" collapsed="false">
      <c r="A154" s="0" t="n">
        <v>145</v>
      </c>
      <c r="B154" s="0" t="n">
        <v>25.5515050167224</v>
      </c>
      <c r="C154" s="0" t="n">
        <v>0.09869286946142</v>
      </c>
      <c r="D154" s="0" t="n">
        <v>-1.6286714001132</v>
      </c>
      <c r="E154" s="0" t="n">
        <v>0.160507608121184</v>
      </c>
      <c r="K154" s="12"/>
      <c r="M154" s="12"/>
      <c r="O154" s="12"/>
      <c r="Q154" s="12"/>
      <c r="U154" s="12"/>
      <c r="V154" s="12"/>
      <c r="W154" s="12"/>
    </row>
    <row r="155" customFormat="false" ht="15" hidden="false" customHeight="false" outlineLevel="0" collapsed="false">
      <c r="A155" s="0" t="n">
        <v>146</v>
      </c>
      <c r="B155" s="0" t="n">
        <v>25.6421404682274</v>
      </c>
      <c r="C155" s="0" t="n">
        <v>0.0999745716416078</v>
      </c>
      <c r="D155" s="0" t="n">
        <v>-1.65229025511198</v>
      </c>
      <c r="E155" s="0" t="n">
        <v>0.162458023642978</v>
      </c>
      <c r="K155" s="12"/>
      <c r="M155" s="12"/>
      <c r="O155" s="12"/>
      <c r="Q155" s="12"/>
      <c r="U155" s="12"/>
      <c r="V155" s="12"/>
      <c r="W155" s="12"/>
    </row>
    <row r="156" customFormat="false" ht="15" hidden="false" customHeight="false" outlineLevel="0" collapsed="false">
      <c r="A156" s="0" t="n">
        <v>147</v>
      </c>
      <c r="B156" s="0" t="n">
        <v>25.7327759197324</v>
      </c>
      <c r="C156" s="0" t="n">
        <v>0.101263306947669</v>
      </c>
      <c r="D156" s="0" t="n">
        <v>-1.67608391746043</v>
      </c>
      <c r="E156" s="0" t="n">
        <v>0.164417385873911</v>
      </c>
      <c r="K156" s="12"/>
      <c r="M156" s="12"/>
      <c r="O156" s="12"/>
      <c r="Q156" s="12"/>
      <c r="U156" s="12"/>
      <c r="V156" s="12"/>
      <c r="W156" s="12"/>
    </row>
    <row r="157" customFormat="false" ht="15" hidden="false" customHeight="false" outlineLevel="0" collapsed="false">
      <c r="A157" s="0" t="n">
        <v>148</v>
      </c>
      <c r="B157" s="0" t="n">
        <v>25.8234113712375</v>
      </c>
      <c r="C157" s="0" t="n">
        <v>0.102559050606979</v>
      </c>
      <c r="D157" s="0" t="n">
        <v>-1.70005229581041</v>
      </c>
      <c r="E157" s="0" t="n">
        <v>0.166385654759165</v>
      </c>
      <c r="K157" s="12"/>
      <c r="M157" s="12"/>
      <c r="O157" s="12"/>
      <c r="Q157" s="12"/>
      <c r="U157" s="12"/>
      <c r="V157" s="12"/>
      <c r="W157" s="12"/>
    </row>
    <row r="158" customFormat="false" ht="15" hidden="false" customHeight="false" outlineLevel="0" collapsed="false">
      <c r="A158" s="0" t="n">
        <v>149</v>
      </c>
      <c r="B158" s="0" t="n">
        <v>25.9140468227425</v>
      </c>
      <c r="C158" s="0" t="n">
        <v>0.103861777814048</v>
      </c>
      <c r="D158" s="0" t="n">
        <v>-1.72419529306018</v>
      </c>
      <c r="E158" s="0" t="n">
        <v>0.168362790393008</v>
      </c>
      <c r="K158" s="12"/>
      <c r="M158" s="12"/>
      <c r="O158" s="12"/>
      <c r="Q158" s="12"/>
      <c r="U158" s="12"/>
      <c r="V158" s="12"/>
      <c r="W158" s="12"/>
    </row>
    <row r="159" customFormat="false" ht="15" hidden="false" customHeight="false" outlineLevel="0" collapsed="false">
      <c r="A159" s="0" t="n">
        <v>150</v>
      </c>
      <c r="B159" s="0" t="n">
        <v>26.0046822742475</v>
      </c>
      <c r="C159" s="0" t="n">
        <v>0.105171463729737</v>
      </c>
      <c r="D159" s="0" t="n">
        <v>-1.74851280633808</v>
      </c>
      <c r="E159" s="0" t="n">
        <v>0.170348753014637</v>
      </c>
      <c r="K159" s="12"/>
      <c r="M159" s="12"/>
      <c r="O159" s="12"/>
      <c r="Q159" s="12"/>
      <c r="U159" s="12"/>
      <c r="V159" s="12"/>
      <c r="W159" s="12"/>
    </row>
    <row r="160" customFormat="false" ht="15" hidden="false" customHeight="false" outlineLevel="0" collapsed="false">
      <c r="A160" s="0" t="n">
        <v>151</v>
      </c>
      <c r="B160" s="0" t="n">
        <v>26.0953177257525</v>
      </c>
      <c r="C160" s="0" t="n">
        <v>0.10648808348047</v>
      </c>
      <c r="D160" s="0" t="n">
        <v>-1.77300472698617</v>
      </c>
      <c r="E160" s="0" t="n">
        <v>0.172343503004095</v>
      </c>
      <c r="K160" s="12"/>
      <c r="M160" s="12"/>
      <c r="O160" s="12"/>
      <c r="Q160" s="12"/>
      <c r="U160" s="12"/>
      <c r="V160" s="12"/>
      <c r="W160" s="12"/>
    </row>
    <row r="161" customFormat="false" ht="15" hidden="false" customHeight="false" outlineLevel="0" collapsed="false">
      <c r="A161" s="0" t="n">
        <v>152</v>
      </c>
      <c r="B161" s="0" t="n">
        <v>26.1859531772575</v>
      </c>
      <c r="C161" s="0" t="n">
        <v>0.107811612157458</v>
      </c>
      <c r="D161" s="0" t="n">
        <v>-1.7976709405439</v>
      </c>
      <c r="E161" s="0" t="n">
        <v>0.174347000878226</v>
      </c>
      <c r="K161" s="12"/>
      <c r="M161" s="12"/>
      <c r="O161" s="12"/>
      <c r="Q161" s="12"/>
      <c r="U161" s="12"/>
      <c r="V161" s="12"/>
      <c r="W161" s="12"/>
    </row>
    <row r="162" customFormat="false" ht="15" hidden="false" customHeight="false" outlineLevel="0" collapsed="false">
      <c r="A162" s="0" t="n">
        <v>153</v>
      </c>
      <c r="B162" s="0" t="n">
        <v>26.2765886287625</v>
      </c>
      <c r="C162" s="0" t="n">
        <v>0.109142024815916</v>
      </c>
      <c r="D162" s="0" t="n">
        <v>-1.82251132673166</v>
      </c>
      <c r="E162" s="0" t="n">
        <v>0.176359207286712</v>
      </c>
      <c r="K162" s="12"/>
      <c r="M162" s="12"/>
      <c r="O162" s="12"/>
      <c r="Q162" s="12"/>
      <c r="U162" s="12"/>
      <c r="V162" s="12"/>
      <c r="W162" s="12"/>
    </row>
    <row r="163" customFormat="false" ht="15" hidden="false" customHeight="false" outlineLevel="0" collapsed="false">
      <c r="A163" s="0" t="n">
        <v>154</v>
      </c>
      <c r="B163" s="0" t="n">
        <v>26.3672240802676</v>
      </c>
      <c r="C163" s="0" t="n">
        <v>0.110479296474292</v>
      </c>
      <c r="D163" s="0" t="n">
        <v>-1.84752575943441</v>
      </c>
      <c r="E163" s="0" t="n">
        <v>0.178380083008152</v>
      </c>
      <c r="K163" s="12"/>
      <c r="M163" s="12"/>
      <c r="O163" s="12"/>
      <c r="Q163" s="12"/>
      <c r="U163" s="12"/>
      <c r="V163" s="12"/>
      <c r="W163" s="12"/>
    </row>
    <row r="164" customFormat="false" ht="15" hidden="false" customHeight="false" outlineLevel="0" collapsed="false">
      <c r="A164" s="0" t="n">
        <v>155</v>
      </c>
      <c r="B164" s="0" t="n">
        <v>26.4578595317726</v>
      </c>
      <c r="C164" s="0" t="n">
        <v>0.111823402113489</v>
      </c>
      <c r="D164" s="0" t="n">
        <v>-1.87271410668522</v>
      </c>
      <c r="E164" s="0" t="n">
        <v>0.180409588946203</v>
      </c>
      <c r="K164" s="12"/>
      <c r="M164" s="12"/>
      <c r="O164" s="12"/>
      <c r="Q164" s="12"/>
      <c r="U164" s="12"/>
      <c r="V164" s="12"/>
      <c r="W164" s="12"/>
    </row>
    <row r="165" customFormat="false" ht="15" hidden="false" customHeight="false" outlineLevel="0" collapsed="false">
      <c r="A165" s="0" t="n">
        <v>156</v>
      </c>
      <c r="B165" s="0" t="n">
        <v>26.5484949832776</v>
      </c>
      <c r="C165" s="0" t="n">
        <v>0.113174316676099</v>
      </c>
      <c r="D165" s="0" t="n">
        <v>-1.89807623064884</v>
      </c>
      <c r="E165" s="0" t="n">
        <v>0.182447686125779</v>
      </c>
      <c r="K165" s="12"/>
      <c r="M165" s="12"/>
      <c r="O165" s="12"/>
      <c r="Q165" s="12"/>
      <c r="U165" s="12"/>
      <c r="V165" s="12"/>
      <c r="W165" s="12"/>
    </row>
    <row r="166" customFormat="false" ht="15" hidden="false" customHeight="false" outlineLevel="0" collapsed="false">
      <c r="A166" s="0" t="n">
        <v>157</v>
      </c>
      <c r="B166" s="0" t="n">
        <v>26.6391304347826</v>
      </c>
      <c r="C166" s="0" t="n">
        <v>0.114532015065635</v>
      </c>
      <c r="D166" s="0" t="n">
        <v>-1.92361198760518</v>
      </c>
      <c r="E166" s="0" t="n">
        <v>0.184494335689299</v>
      </c>
      <c r="K166" s="12"/>
      <c r="M166" s="12"/>
      <c r="O166" s="12"/>
      <c r="Q166" s="12"/>
      <c r="U166" s="12"/>
      <c r="V166" s="12"/>
      <c r="W166" s="12"/>
    </row>
    <row r="167" customFormat="false" ht="15" hidden="false" customHeight="false" outlineLevel="0" collapsed="false">
      <c r="A167" s="0" t="n">
        <v>158</v>
      </c>
      <c r="B167" s="0" t="n">
        <v>26.7297658862876</v>
      </c>
      <c r="C167" s="0" t="n">
        <v>0.115896472145764</v>
      </c>
      <c r="D167" s="0" t="n">
        <v>-1.94932122793284</v>
      </c>
      <c r="E167" s="0" t="n">
        <v>0.186549498892992</v>
      </c>
      <c r="K167" s="12"/>
      <c r="M167" s="12"/>
      <c r="O167" s="12"/>
      <c r="Q167" s="12"/>
      <c r="U167" s="12"/>
      <c r="V167" s="12"/>
      <c r="W167" s="12"/>
    </row>
    <row r="168" customFormat="false" ht="15" hidden="false" customHeight="false" outlineLevel="0" collapsed="false">
      <c r="A168" s="0" t="n">
        <v>159</v>
      </c>
      <c r="B168" s="0" t="n">
        <v>26.8204013377926</v>
      </c>
      <c r="C168" s="0" t="n">
        <v>0.11726766273955</v>
      </c>
      <c r="D168" s="0" t="n">
        <v>-1.97520379609262</v>
      </c>
      <c r="E168" s="0" t="n">
        <v>0.188613137103254</v>
      </c>
      <c r="K168" s="12"/>
      <c r="M168" s="12"/>
      <c r="O168" s="12"/>
      <c r="Q168" s="12"/>
      <c r="U168" s="12"/>
      <c r="V168" s="12"/>
      <c r="W168" s="12"/>
    </row>
    <row r="169" customFormat="false" ht="15" hidden="false" customHeight="false" outlineLevel="0" collapsed="false">
      <c r="A169" s="0" t="n">
        <v>160</v>
      </c>
      <c r="B169" s="0" t="n">
        <v>26.9110367892977</v>
      </c>
      <c r="C169" s="0" t="n">
        <v>0.11864556162869</v>
      </c>
      <c r="D169" s="0" t="n">
        <v>-2.00125953061094</v>
      </c>
      <c r="E169" s="0" t="n">
        <v>0.190685211793054</v>
      </c>
      <c r="K169" s="12"/>
      <c r="M169" s="12"/>
      <c r="O169" s="12"/>
      <c r="Q169" s="12"/>
      <c r="U169" s="12"/>
      <c r="V169" s="12"/>
      <c r="W169" s="12"/>
    </row>
    <row r="170" customFormat="false" ht="15" hidden="false" customHeight="false" outlineLevel="0" collapsed="false">
      <c r="A170" s="0" t="n">
        <v>161</v>
      </c>
      <c r="B170" s="0" t="n">
        <v>27.0016722408027</v>
      </c>
      <c r="C170" s="0" t="n">
        <v>0.120030143552761</v>
      </c>
      <c r="D170" s="0" t="n">
        <v>-2.0274882640633</v>
      </c>
      <c r="E170" s="0" t="n">
        <v>0.192765684538396</v>
      </c>
      <c r="K170" s="12"/>
      <c r="M170" s="12"/>
      <c r="O170" s="12"/>
      <c r="Q170" s="12"/>
      <c r="U170" s="12"/>
      <c r="V170" s="12"/>
      <c r="W170" s="12"/>
    </row>
    <row r="171" customFormat="false" ht="15" hidden="false" customHeight="false" outlineLevel="0" collapsed="false">
      <c r="A171" s="0" t="n">
        <v>162</v>
      </c>
      <c r="B171" s="0" t="n">
        <v>27.0923076923077</v>
      </c>
      <c r="C171" s="0" t="n">
        <v>0.121421383208466</v>
      </c>
      <c r="D171" s="0" t="n">
        <v>-2.05388982305776</v>
      </c>
      <c r="E171" s="0" t="n">
        <v>0.194854517014822</v>
      </c>
      <c r="K171" s="12"/>
      <c r="M171" s="12"/>
      <c r="O171" s="12"/>
      <c r="Q171" s="12"/>
      <c r="U171" s="12"/>
      <c r="V171" s="12"/>
      <c r="W171" s="12"/>
    </row>
    <row r="172" customFormat="false" ht="15" hidden="false" customHeight="false" outlineLevel="0" collapsed="false">
      <c r="A172" s="0" t="n">
        <v>163</v>
      </c>
      <c r="B172" s="0" t="n">
        <v>27.1829431438127</v>
      </c>
      <c r="C172" s="0" t="n">
        <v>0.122819255248883</v>
      </c>
      <c r="D172" s="0" t="n">
        <v>-2.08046402821831</v>
      </c>
      <c r="E172" s="0" t="n">
        <v>0.196951670993968</v>
      </c>
      <c r="K172" s="12"/>
      <c r="M172" s="12"/>
      <c r="O172" s="12"/>
      <c r="Q172" s="12"/>
      <c r="U172" s="12"/>
      <c r="V172" s="12"/>
      <c r="W172" s="12"/>
    </row>
    <row r="173" customFormat="false" ht="15" hidden="false" customHeight="false" outlineLevel="0" collapsed="false">
      <c r="A173" s="0" t="n">
        <v>164</v>
      </c>
      <c r="B173" s="0" t="n">
        <v>27.2735785953177</v>
      </c>
      <c r="C173" s="0" t="n">
        <v>0.124223734282717</v>
      </c>
      <c r="D173" s="0" t="n">
        <v>-2.10721069416829</v>
      </c>
      <c r="E173" s="0" t="n">
        <v>0.199057108340173</v>
      </c>
      <c r="K173" s="12"/>
      <c r="M173" s="12"/>
      <c r="O173" s="12"/>
      <c r="Q173" s="12"/>
      <c r="U173" s="12"/>
      <c r="V173" s="12"/>
      <c r="W173" s="12"/>
    </row>
    <row r="174" customFormat="false" ht="15" hidden="false" customHeight="false" outlineLevel="0" collapsed="false">
      <c r="A174" s="0" t="n">
        <v>165</v>
      </c>
      <c r="B174" s="0" t="n">
        <v>27.3642140468227</v>
      </c>
      <c r="C174" s="0" t="n">
        <v>0.125634794873555</v>
      </c>
      <c r="D174" s="0" t="n">
        <v>-2.13412962951379</v>
      </c>
      <c r="E174" s="0" t="n">
        <v>0.201170791007121</v>
      </c>
      <c r="K174" s="12"/>
      <c r="M174" s="12"/>
      <c r="O174" s="12"/>
      <c r="Q174" s="12"/>
      <c r="U174" s="12"/>
      <c r="V174" s="12"/>
      <c r="W174" s="12"/>
    </row>
    <row r="175" customFormat="false" ht="15" hidden="false" customHeight="false" outlineLevel="0" collapsed="false">
      <c r="A175" s="0" t="n">
        <v>166</v>
      </c>
      <c r="B175" s="0" t="n">
        <v>27.4548494983278</v>
      </c>
      <c r="C175" s="0" t="n">
        <v>0.127052411539125</v>
      </c>
      <c r="D175" s="0" t="n">
        <v>-2.16122063682702</v>
      </c>
      <c r="E175" s="0" t="n">
        <v>0.203292681034542</v>
      </c>
      <c r="K175" s="12"/>
      <c r="M175" s="12"/>
      <c r="O175" s="12"/>
      <c r="Q175" s="12"/>
      <c r="U175" s="12"/>
      <c r="V175" s="12"/>
      <c r="W175" s="12"/>
    </row>
    <row r="176" customFormat="false" ht="15" hidden="false" customHeight="false" outlineLevel="0" collapsed="false">
      <c r="A176" s="0" t="n">
        <v>167</v>
      </c>
      <c r="B176" s="0" t="n">
        <v>27.5454849498328</v>
      </c>
      <c r="C176" s="0" t="n">
        <v>0.128476558750554</v>
      </c>
      <c r="D176" s="0" t="n">
        <v>-2.18848351262968</v>
      </c>
      <c r="E176" s="0" t="n">
        <v>0.205422740544953</v>
      </c>
      <c r="K176" s="12"/>
      <c r="M176" s="12"/>
      <c r="O176" s="12"/>
      <c r="Q176" s="12"/>
      <c r="U176" s="12"/>
      <c r="V176" s="12"/>
      <c r="W176" s="12"/>
    </row>
    <row r="177" customFormat="false" ht="15" hidden="false" customHeight="false" outlineLevel="0" collapsed="false">
      <c r="A177" s="0" t="n">
        <v>168</v>
      </c>
      <c r="B177" s="0" t="n">
        <v>27.6361204013378</v>
      </c>
      <c r="C177" s="0" t="n">
        <v>0.129907210931633</v>
      </c>
      <c r="D177" s="0" t="n">
        <v>-2.21591804737633</v>
      </c>
      <c r="E177" s="0" t="n">
        <v>0.207560931740439</v>
      </c>
      <c r="K177" s="12"/>
      <c r="M177" s="12"/>
      <c r="O177" s="12"/>
      <c r="Q177" s="12"/>
      <c r="U177" s="12"/>
      <c r="V177" s="12"/>
      <c r="W177" s="12"/>
    </row>
    <row r="178" customFormat="false" ht="15" hidden="false" customHeight="false" outlineLevel="0" collapsed="false">
      <c r="A178" s="0" t="n">
        <v>169</v>
      </c>
      <c r="B178" s="0" t="n">
        <v>27.7267558528428</v>
      </c>
      <c r="C178" s="0" t="n">
        <v>0.131344342458084</v>
      </c>
      <c r="D178" s="0" t="n">
        <v>-2.24352402543771</v>
      </c>
      <c r="E178" s="0" t="n">
        <v>0.209707216899482</v>
      </c>
      <c r="K178" s="12"/>
      <c r="M178" s="12"/>
      <c r="O178" s="12"/>
      <c r="Q178" s="12"/>
      <c r="U178" s="12"/>
      <c r="V178" s="12"/>
      <c r="W178" s="12"/>
    </row>
    <row r="179" customFormat="false" ht="15" hidden="false" customHeight="false" outlineLevel="0" collapsed="false">
      <c r="A179" s="0" t="n">
        <v>170</v>
      </c>
      <c r="B179" s="0" t="n">
        <v>27.8173913043478</v>
      </c>
      <c r="C179" s="0" t="n">
        <v>0.132787927656826</v>
      </c>
      <c r="D179" s="0" t="n">
        <v>-2.27130122508409</v>
      </c>
      <c r="E179" s="0" t="n">
        <v>0.211861558373835</v>
      </c>
      <c r="K179" s="12"/>
      <c r="M179" s="12"/>
      <c r="O179" s="12"/>
      <c r="Q179" s="12"/>
      <c r="U179" s="12"/>
      <c r="V179" s="12"/>
      <c r="W179" s="12"/>
    </row>
    <row r="180" customFormat="false" ht="15" hidden="false" customHeight="false" outlineLevel="0" collapsed="false">
      <c r="A180" s="0" t="n">
        <v>171</v>
      </c>
      <c r="B180" s="0" t="n">
        <v>27.9080267558528</v>
      </c>
      <c r="C180" s="0" t="n">
        <v>0.134237940805251</v>
      </c>
      <c r="D180" s="0" t="n">
        <v>-2.2992494184686</v>
      </c>
      <c r="E180" s="0" t="n">
        <v>0.214023918585428</v>
      </c>
      <c r="K180" s="12"/>
      <c r="M180" s="12"/>
      <c r="O180" s="12"/>
      <c r="Q180" s="12"/>
      <c r="U180" s="12"/>
      <c r="V180" s="12"/>
      <c r="W180" s="12"/>
    </row>
    <row r="181" customFormat="false" ht="15" hidden="false" customHeight="false" outlineLevel="0" collapsed="false">
      <c r="A181" s="0" t="n">
        <v>172</v>
      </c>
      <c r="B181" s="0" t="n">
        <v>27.9986622073579</v>
      </c>
      <c r="C181" s="0" t="n">
        <v>0.135694356130492</v>
      </c>
      <c r="D181" s="0" t="n">
        <v>-2.32736837161054</v>
      </c>
      <c r="E181" s="0" t="n">
        <v>0.216194260023326</v>
      </c>
      <c r="K181" s="12"/>
      <c r="M181" s="12"/>
      <c r="O181" s="12"/>
      <c r="Q181" s="12"/>
      <c r="U181" s="12"/>
      <c r="V181" s="12"/>
      <c r="W181" s="12"/>
    </row>
    <row r="182" customFormat="false" ht="15" hidden="false" customHeight="false" outlineLevel="0" collapsed="false">
      <c r="A182" s="0" t="n">
        <v>173</v>
      </c>
      <c r="B182" s="0" t="n">
        <v>28.0892976588629</v>
      </c>
      <c r="C182" s="0" t="n">
        <v>0.137157147808707</v>
      </c>
      <c r="D182" s="0" t="n">
        <v>-2.3556578443787</v>
      </c>
      <c r="E182" s="0" t="n">
        <v>0.218372545240719</v>
      </c>
      <c r="K182" s="12"/>
      <c r="M182" s="12"/>
      <c r="O182" s="12"/>
      <c r="Q182" s="12"/>
      <c r="U182" s="12"/>
      <c r="V182" s="12"/>
      <c r="W182" s="12"/>
    </row>
    <row r="183" customFormat="false" ht="15" hidden="false" customHeight="false" outlineLevel="0" collapsed="false">
      <c r="A183" s="0" t="n">
        <v>174</v>
      </c>
      <c r="B183" s="0" t="n">
        <v>28.1799331103679</v>
      </c>
      <c r="C183" s="0" t="n">
        <v>0.138626289964355</v>
      </c>
      <c r="D183" s="0" t="n">
        <v>-2.38411759047465</v>
      </c>
      <c r="E183" s="0" t="n">
        <v>0.220558736851956</v>
      </c>
      <c r="K183" s="12"/>
      <c r="M183" s="12"/>
      <c r="O183" s="12"/>
      <c r="Q183" s="12"/>
      <c r="U183" s="12"/>
      <c r="V183" s="12"/>
      <c r="W183" s="12"/>
    </row>
    <row r="184" customFormat="false" ht="15" hidden="false" customHeight="false" outlineLevel="0" collapsed="false">
      <c r="A184" s="0" t="n">
        <v>175</v>
      </c>
      <c r="B184" s="0" t="n">
        <v>28.2705685618729</v>
      </c>
      <c r="C184" s="0" t="n">
        <v>0.14010175666948</v>
      </c>
      <c r="D184" s="0" t="n">
        <v>-2.41274735741607</v>
      </c>
      <c r="E184" s="0" t="n">
        <v>0.222752797529618</v>
      </c>
      <c r="K184" s="12"/>
      <c r="M184" s="12"/>
      <c r="O184" s="12"/>
      <c r="Q184" s="12"/>
      <c r="U184" s="12"/>
      <c r="V184" s="12"/>
      <c r="W184" s="12"/>
    </row>
    <row r="185" customFormat="false" ht="15" hidden="false" customHeight="false" outlineLevel="0" collapsed="false">
      <c r="A185" s="0" t="n">
        <v>176</v>
      </c>
      <c r="B185" s="0" t="n">
        <v>28.3612040133779</v>
      </c>
      <c r="C185" s="0" t="n">
        <v>0.141583521942998</v>
      </c>
      <c r="D185" s="0" t="n">
        <v>-2.44154688652003</v>
      </c>
      <c r="E185" s="0" t="n">
        <v>0.22495469000162</v>
      </c>
      <c r="K185" s="12"/>
      <c r="M185" s="12"/>
      <c r="O185" s="12"/>
      <c r="Q185" s="12"/>
      <c r="U185" s="12"/>
      <c r="V185" s="12"/>
      <c r="W185" s="12"/>
    </row>
    <row r="186" customFormat="false" ht="15" hidden="false" customHeight="false" outlineLevel="0" collapsed="false">
      <c r="A186" s="0" t="n">
        <v>177</v>
      </c>
      <c r="B186" s="0" t="n">
        <v>28.4518394648829</v>
      </c>
      <c r="C186" s="0" t="n">
        <v>0.143071559749983</v>
      </c>
      <c r="D186" s="0" t="n">
        <v>-2.47051591288626</v>
      </c>
      <c r="E186" s="0" t="n">
        <v>0.227164377048369</v>
      </c>
      <c r="K186" s="12"/>
      <c r="M186" s="12"/>
      <c r="O186" s="12"/>
      <c r="Q186" s="12"/>
      <c r="U186" s="12"/>
      <c r="V186" s="12"/>
      <c r="W186" s="12"/>
    </row>
    <row r="187" customFormat="false" ht="15" hidden="false" customHeight="false" outlineLevel="0" collapsed="false">
      <c r="A187" s="0" t="n">
        <v>178</v>
      </c>
      <c r="B187" s="0" t="n">
        <v>28.542474916388</v>
      </c>
      <c r="C187" s="0" t="n">
        <v>0.144565844000958</v>
      </c>
      <c r="D187" s="0" t="n">
        <v>-2.49965416538048</v>
      </c>
      <c r="E187" s="0" t="n">
        <v>0.229381821499938</v>
      </c>
      <c r="K187" s="12"/>
      <c r="M187" s="12"/>
      <c r="O187" s="12"/>
      <c r="Q187" s="12"/>
      <c r="U187" s="12"/>
      <c r="V187" s="12"/>
      <c r="W187" s="12"/>
    </row>
    <row r="188" customFormat="false" ht="15" hidden="false" customHeight="false" outlineLevel="0" collapsed="false">
      <c r="A188" s="0" t="n">
        <v>179</v>
      </c>
      <c r="B188" s="0" t="n">
        <v>28.633110367893</v>
      </c>
      <c r="C188" s="0" t="n">
        <v>0.146066348551195</v>
      </c>
      <c r="D188" s="0" t="n">
        <v>-2.52896136661765</v>
      </c>
      <c r="E188" s="0" t="n">
        <v>0.231606986233288</v>
      </c>
      <c r="K188" s="12"/>
      <c r="M188" s="12"/>
      <c r="O188" s="12"/>
      <c r="Q188" s="12"/>
      <c r="U188" s="12"/>
      <c r="V188" s="12"/>
      <c r="W188" s="12"/>
    </row>
    <row r="189" customFormat="false" ht="15" hidden="false" customHeight="false" outlineLevel="0" collapsed="false">
      <c r="A189" s="0" t="n">
        <v>180</v>
      </c>
      <c r="B189" s="0" t="n">
        <v>28.723745819398</v>
      </c>
      <c r="C189" s="0" t="n">
        <v>0.147573047200005</v>
      </c>
      <c r="D189" s="0" t="n">
        <v>-2.5584372329453</v>
      </c>
      <c r="E189" s="0" t="n">
        <v>0.233839834169525</v>
      </c>
      <c r="K189" s="12"/>
      <c r="M189" s="12"/>
      <c r="O189" s="12"/>
      <c r="Q189" s="12"/>
      <c r="U189" s="12"/>
      <c r="V189" s="12"/>
      <c r="W189" s="12"/>
    </row>
    <row r="190" customFormat="false" ht="15" hidden="false" customHeight="false" outlineLevel="0" collapsed="false">
      <c r="A190" s="0" t="n">
        <v>181</v>
      </c>
      <c r="B190" s="0" t="n">
        <v>28.814381270903</v>
      </c>
      <c r="C190" s="0" t="n">
        <v>0.149085913690039</v>
      </c>
      <c r="D190" s="0" t="n">
        <v>-2.58808147442675</v>
      </c>
      <c r="E190" s="0" t="n">
        <v>0.23608032827119</v>
      </c>
      <c r="K190" s="12"/>
      <c r="M190" s="12"/>
      <c r="O190" s="12"/>
      <c r="Q190" s="12"/>
      <c r="U190" s="12"/>
      <c r="V190" s="12"/>
      <c r="W190" s="12"/>
    </row>
    <row r="191" customFormat="false" ht="15" hidden="false" customHeight="false" outlineLevel="0" collapsed="false">
      <c r="A191" s="0" t="n">
        <v>182</v>
      </c>
      <c r="B191" s="0" t="n">
        <v>28.905016722408</v>
      </c>
      <c r="C191" s="0" t="n">
        <v>0.150604921706596</v>
      </c>
      <c r="D191" s="0" t="n">
        <v>-2.61789379482446</v>
      </c>
      <c r="E191" s="0" t="n">
        <v>0.238328431539579</v>
      </c>
      <c r="K191" s="12"/>
      <c r="M191" s="12"/>
      <c r="O191" s="12"/>
      <c r="Q191" s="12"/>
      <c r="U191" s="12"/>
      <c r="V191" s="12"/>
      <c r="W191" s="12"/>
    </row>
    <row r="192" customFormat="false" ht="15" hidden="false" customHeight="false" outlineLevel="0" collapsed="false">
      <c r="A192" s="0" t="n">
        <v>183</v>
      </c>
      <c r="B192" s="0" t="n">
        <v>28.995652173913</v>
      </c>
      <c r="C192" s="0" t="n">
        <v>0.152130044876923</v>
      </c>
      <c r="D192" s="0" t="n">
        <v>-2.64787389158329</v>
      </c>
      <c r="E192" s="0" t="n">
        <v>0.240584107012103</v>
      </c>
      <c r="K192" s="12"/>
      <c r="M192" s="12"/>
      <c r="O192" s="12"/>
      <c r="Q192" s="12"/>
      <c r="U192" s="12"/>
      <c r="V192" s="12"/>
      <c r="W192" s="12"/>
    </row>
    <row r="193" customFormat="false" ht="15" hidden="false" customHeight="false" outlineLevel="0" collapsed="false">
      <c r="A193" s="0" t="n">
        <v>184</v>
      </c>
      <c r="B193" s="0" t="n">
        <v>29.0862876254181</v>
      </c>
      <c r="C193" s="0" t="n">
        <v>0.153661256769524</v>
      </c>
      <c r="D193" s="0" t="n">
        <v>-2.67802145581376</v>
      </c>
      <c r="E193" s="0" t="n">
        <v>0.242847317759681</v>
      </c>
      <c r="K193" s="12"/>
      <c r="M193" s="12"/>
      <c r="O193" s="12"/>
      <c r="Q193" s="12"/>
      <c r="U193" s="12"/>
      <c r="V193" s="12"/>
      <c r="W193" s="12"/>
    </row>
    <row r="194" customFormat="false" ht="15" hidden="false" customHeight="false" outlineLevel="0" collapsed="false">
      <c r="A194" s="0" t="n">
        <v>185</v>
      </c>
      <c r="B194" s="0" t="n">
        <v>29.1769230769231</v>
      </c>
      <c r="C194" s="0" t="n">
        <v>0.155198530893474</v>
      </c>
      <c r="D194" s="0" t="n">
        <v>-2.70833617227542</v>
      </c>
      <c r="E194" s="0" t="n">
        <v>0.245118026884158</v>
      </c>
      <c r="K194" s="12"/>
      <c r="M194" s="12"/>
      <c r="O194" s="12"/>
      <c r="Q194" s="12"/>
      <c r="U194" s="12"/>
      <c r="V194" s="12"/>
      <c r="W194" s="12"/>
    </row>
    <row r="195" customFormat="false" ht="15" hidden="false" customHeight="false" outlineLevel="0" collapsed="false">
      <c r="A195" s="0" t="n">
        <v>186</v>
      </c>
      <c r="B195" s="0" t="n">
        <v>29.2675585284281</v>
      </c>
      <c r="C195" s="0" t="n">
        <v>0.15674184069773</v>
      </c>
      <c r="D195" s="0" t="n">
        <v>-2.73881771936005</v>
      </c>
      <c r="E195" s="0" t="n">
        <v>0.247396197515764</v>
      </c>
      <c r="K195" s="12"/>
      <c r="M195" s="12"/>
      <c r="O195" s="12"/>
      <c r="Q195" s="12"/>
      <c r="U195" s="12"/>
      <c r="V195" s="12"/>
      <c r="W195" s="12"/>
    </row>
    <row r="196" customFormat="false" ht="15" hidden="false" customHeight="false" outlineLevel="0" collapsed="false">
      <c r="A196" s="0" t="n">
        <v>187</v>
      </c>
      <c r="B196" s="0" t="n">
        <v>29.3581939799331</v>
      </c>
      <c r="C196" s="0" t="n">
        <v>0.158291159570451</v>
      </c>
      <c r="D196" s="0" t="n">
        <v>-2.76946576907504</v>
      </c>
      <c r="E196" s="0" t="n">
        <v>0.249681792810599</v>
      </c>
      <c r="K196" s="12"/>
      <c r="M196" s="12"/>
      <c r="O196" s="12"/>
      <c r="Q196" s="12"/>
      <c r="U196" s="12"/>
      <c r="V196" s="12"/>
      <c r="W196" s="12"/>
    </row>
    <row r="197" customFormat="false" ht="15" hidden="false" customHeight="false" outlineLevel="0" collapsed="false">
      <c r="A197" s="0" t="n">
        <v>188</v>
      </c>
      <c r="B197" s="0" t="n">
        <v>29.4488294314381</v>
      </c>
      <c r="C197" s="0" t="n">
        <v>0.159846460838315</v>
      </c>
      <c r="D197" s="0" t="n">
        <v>-2.80027998702665</v>
      </c>
      <c r="E197" s="0" t="n">
        <v>0.251974775948153</v>
      </c>
      <c r="K197" s="12"/>
      <c r="M197" s="12"/>
      <c r="O197" s="12"/>
      <c r="Q197" s="12"/>
      <c r="U197" s="12"/>
      <c r="V197" s="12"/>
      <c r="W197" s="12"/>
    </row>
    <row r="198" customFormat="false" ht="15" hidden="false" customHeight="false" outlineLevel="0" collapsed="false">
      <c r="A198" s="0" t="n">
        <v>189</v>
      </c>
      <c r="B198" s="0" t="n">
        <v>29.5394648829431</v>
      </c>
      <c r="C198" s="0" t="n">
        <v>0.161407717765844</v>
      </c>
      <c r="D198" s="0" t="n">
        <v>-2.83126003240334</v>
      </c>
      <c r="E198" s="0" t="n">
        <v>0.254275110128847</v>
      </c>
      <c r="K198" s="12"/>
      <c r="M198" s="12"/>
      <c r="O198" s="12"/>
      <c r="Q198" s="12"/>
      <c r="U198" s="12"/>
      <c r="V198" s="12"/>
      <c r="W198" s="12"/>
    </row>
    <row r="199" customFormat="false" ht="15" hidden="false" customHeight="false" outlineLevel="0" collapsed="false">
      <c r="A199" s="0" t="n">
        <v>190</v>
      </c>
      <c r="B199" s="0" t="n">
        <v>29.6301003344482</v>
      </c>
      <c r="C199" s="0" t="n">
        <v>0.162974903554726</v>
      </c>
      <c r="D199" s="0" t="n">
        <v>-2.86240555795909</v>
      </c>
      <c r="E199" s="0" t="n">
        <v>0.25658275857162</v>
      </c>
      <c r="K199" s="12"/>
      <c r="M199" s="12"/>
      <c r="O199" s="12"/>
      <c r="Q199" s="12"/>
      <c r="U199" s="12"/>
      <c r="V199" s="12"/>
      <c r="W199" s="12"/>
    </row>
    <row r="200" customFormat="false" ht="15" hidden="false" customHeight="false" outlineLevel="0" collapsed="false">
      <c r="A200" s="0" t="n">
        <v>191</v>
      </c>
      <c r="B200" s="0" t="n">
        <v>29.7207357859532</v>
      </c>
      <c r="C200" s="0" t="n">
        <v>0.164547991343148</v>
      </c>
      <c r="D200" s="0" t="n">
        <v>-2.89371620999671</v>
      </c>
      <c r="E200" s="0" t="n">
        <v>0.258897684511528</v>
      </c>
      <c r="K200" s="12"/>
      <c r="M200" s="12"/>
      <c r="O200" s="12"/>
      <c r="Q200" s="12"/>
      <c r="U200" s="12"/>
      <c r="V200" s="12"/>
      <c r="W200" s="12"/>
    </row>
    <row r="201" customFormat="false" ht="15" hidden="false" customHeight="false" outlineLevel="0" collapsed="false">
      <c r="A201" s="0" t="n">
        <v>192</v>
      </c>
      <c r="B201" s="0" t="n">
        <v>29.8113712374582</v>
      </c>
      <c r="C201" s="0" t="n">
        <v>0.166126954205125</v>
      </c>
      <c r="D201" s="0" t="n">
        <v>-2.92519162835123</v>
      </c>
      <c r="E201" s="0" t="n">
        <v>0.261219851197383</v>
      </c>
      <c r="K201" s="12"/>
      <c r="M201" s="12"/>
      <c r="O201" s="12"/>
      <c r="Q201" s="12"/>
      <c r="U201" s="12"/>
      <c r="V201" s="12"/>
      <c r="W201" s="12"/>
    </row>
    <row r="202" customFormat="false" ht="15" hidden="false" customHeight="false" outlineLevel="0" collapsed="false">
      <c r="A202" s="0" t="n">
        <v>193</v>
      </c>
      <c r="B202" s="0" t="n">
        <v>29.9020066889632</v>
      </c>
      <c r="C202" s="0" t="n">
        <v>0.167711765149833</v>
      </c>
      <c r="D202" s="0" t="n">
        <v>-2.95683144637316</v>
      </c>
      <c r="E202" s="0" t="n">
        <v>0.26354922188942</v>
      </c>
      <c r="K202" s="12"/>
      <c r="M202" s="12"/>
      <c r="O202" s="12"/>
      <c r="Q202" s="12"/>
      <c r="U202" s="12"/>
      <c r="V202" s="12"/>
      <c r="W202" s="12"/>
    </row>
    <row r="203" customFormat="false" ht="15" hidden="false" customHeight="false" outlineLevel="0" collapsed="false">
      <c r="A203" s="0" t="n">
        <v>194</v>
      </c>
      <c r="B203" s="0" t="n">
        <v>29.9926421404682</v>
      </c>
      <c r="C203" s="0" t="n">
        <v>0.16930239712095</v>
      </c>
      <c r="D203" s="0" t="n">
        <v>-2.98863529091195</v>
      </c>
      <c r="E203" s="0" t="n">
        <v>0.265885759856985</v>
      </c>
      <c r="K203" s="12"/>
      <c r="M203" s="12"/>
      <c r="O203" s="12"/>
      <c r="Q203" s="12"/>
      <c r="U203" s="12"/>
      <c r="V203" s="12"/>
      <c r="W203" s="12"/>
    </row>
    <row r="204" customFormat="false" ht="15" hidden="false" customHeight="false" outlineLevel="0" collapsed="false">
      <c r="A204" s="0" t="n">
        <v>195</v>
      </c>
      <c r="B204" s="0" t="n">
        <v>30.0832775919732</v>
      </c>
      <c r="C204" s="0" t="n">
        <v>0.170898822995991</v>
      </c>
      <c r="D204" s="0" t="n">
        <v>-3.02060278229927</v>
      </c>
      <c r="E204" s="0" t="n">
        <v>0.268229428376255</v>
      </c>
      <c r="K204" s="12"/>
      <c r="M204" s="12"/>
      <c r="O204" s="12"/>
      <c r="Q204" s="12"/>
      <c r="U204" s="12"/>
      <c r="V204" s="12"/>
      <c r="W204" s="12"/>
    </row>
    <row r="205" customFormat="false" ht="15" hidden="false" customHeight="false" outlineLevel="0" collapsed="false">
      <c r="A205" s="0" t="n">
        <v>196</v>
      </c>
      <c r="B205" s="0" t="n">
        <v>30.1739130434783</v>
      </c>
      <c r="C205" s="0" t="n">
        <v>0.172501015585656</v>
      </c>
      <c r="D205" s="0" t="n">
        <v>-3.05273353433245</v>
      </c>
      <c r="E205" s="0" t="n">
        <v>0.270580190727989</v>
      </c>
      <c r="K205" s="12"/>
      <c r="M205" s="12"/>
      <c r="O205" s="12"/>
      <c r="Q205" s="12"/>
      <c r="U205" s="12"/>
      <c r="V205" s="12"/>
      <c r="W205" s="12"/>
    </row>
    <row r="206" customFormat="false" ht="15" hidden="false" customHeight="false" outlineLevel="0" collapsed="false">
      <c r="A206" s="0" t="n">
        <v>197</v>
      </c>
      <c r="B206" s="0" t="n">
        <v>30.2645484949833</v>
      </c>
      <c r="C206" s="0" t="n">
        <v>0.174108947633171</v>
      </c>
      <c r="D206" s="0" t="n">
        <v>-3.08502715425785</v>
      </c>
      <c r="E206" s="0" t="n">
        <v>0.272938010195298</v>
      </c>
      <c r="K206" s="12"/>
      <c r="M206" s="12"/>
      <c r="O206" s="12"/>
      <c r="Q206" s="12"/>
      <c r="U206" s="12"/>
      <c r="V206" s="12"/>
      <c r="W206" s="12"/>
    </row>
    <row r="207" customFormat="false" ht="15" hidden="false" customHeight="false" outlineLevel="0" collapsed="false">
      <c r="A207" s="0" t="n">
        <v>198</v>
      </c>
      <c r="B207" s="0" t="n">
        <v>30.3551839464883</v>
      </c>
      <c r="C207" s="0" t="n">
        <v>0.175722591813642</v>
      </c>
      <c r="D207" s="0" t="n">
        <v>-3.11748324275428</v>
      </c>
      <c r="E207" s="0" t="n">
        <v>0.275302850061446</v>
      </c>
      <c r="K207" s="12"/>
      <c r="M207" s="12"/>
      <c r="O207" s="12"/>
      <c r="Q207" s="12"/>
      <c r="U207" s="12"/>
      <c r="V207" s="12"/>
      <c r="W207" s="12"/>
    </row>
    <row r="208" customFormat="false" ht="15" hidden="false" customHeight="false" outlineLevel="0" collapsed="false">
      <c r="A208" s="0" t="n">
        <v>199</v>
      </c>
      <c r="B208" s="0" t="n">
        <v>30.4458193979933</v>
      </c>
      <c r="C208" s="0" t="n">
        <v>0.177341920733403</v>
      </c>
      <c r="D208" s="0" t="n">
        <v>-3.15010139391644</v>
      </c>
      <c r="E208" s="0" t="n">
        <v>0.277674673607674</v>
      </c>
      <c r="K208" s="12"/>
      <c r="M208" s="12"/>
      <c r="O208" s="12"/>
      <c r="Q208" s="12"/>
      <c r="U208" s="12"/>
      <c r="V208" s="12"/>
      <c r="W208" s="12"/>
    </row>
    <row r="209" customFormat="false" ht="15" hidden="false" customHeight="false" outlineLevel="0" collapsed="false">
      <c r="A209" s="0" t="n">
        <v>200</v>
      </c>
      <c r="B209" s="0" t="n">
        <v>30.5364548494983</v>
      </c>
      <c r="C209" s="0" t="n">
        <v>0.178966906929371</v>
      </c>
      <c r="D209" s="0" t="n">
        <v>-3.18288119523832</v>
      </c>
      <c r="E209" s="0" t="n">
        <v>0.280053444111056</v>
      </c>
      <c r="K209" s="12"/>
      <c r="M209" s="12"/>
      <c r="O209" s="12"/>
      <c r="Q209" s="12"/>
      <c r="U209" s="12"/>
      <c r="V209" s="12"/>
      <c r="W209" s="12"/>
    </row>
    <row r="210" customFormat="false" ht="15" hidden="false" customHeight="false" outlineLevel="0" collapsed="false">
      <c r="A210" s="0" t="n">
        <v>201</v>
      </c>
      <c r="B210" s="0" t="n">
        <v>30.6270903010033</v>
      </c>
      <c r="C210" s="0" t="n">
        <v>0.180597522868407</v>
      </c>
      <c r="D210" s="0" t="n">
        <v>-3.21582222759671</v>
      </c>
      <c r="E210" s="0" t="n">
        <v>0.282439124842368</v>
      </c>
      <c r="I210" s="12"/>
      <c r="K210" s="12"/>
      <c r="M210" s="12"/>
      <c r="O210" s="12"/>
      <c r="U210" s="12"/>
      <c r="V210" s="12"/>
      <c r="W210" s="12"/>
    </row>
    <row r="211" customFormat="false" ht="15" hidden="false" customHeight="false" outlineLevel="0" collapsed="false">
      <c r="A211" s="0" t="n">
        <v>202</v>
      </c>
      <c r="B211" s="0" t="n">
        <v>30.7177257525084</v>
      </c>
      <c r="C211" s="0" t="n">
        <v>0.182233740946671</v>
      </c>
      <c r="D211" s="0" t="n">
        <v>-3.24892406523464</v>
      </c>
      <c r="E211" s="0" t="n">
        <v>0.284831679063994</v>
      </c>
      <c r="I211" s="12"/>
      <c r="K211" s="12"/>
      <c r="M211" s="12"/>
      <c r="O211" s="12"/>
      <c r="U211" s="12"/>
      <c r="V211" s="12"/>
      <c r="W211" s="12"/>
    </row>
    <row r="212" customFormat="false" ht="15" hidden="false" customHeight="false" outlineLevel="0" collapsed="false">
      <c r="A212" s="0" t="n">
        <v>203</v>
      </c>
      <c r="B212" s="0" t="n">
        <v>30.8083612040134</v>
      </c>
      <c r="C212" s="0" t="n">
        <v>0.183875533488991</v>
      </c>
      <c r="D212" s="0" t="n">
        <v>-3.28218627574489</v>
      </c>
      <c r="E212" s="0" t="n">
        <v>0.287231070027849</v>
      </c>
      <c r="I212" s="12"/>
      <c r="K212" s="12"/>
      <c r="M212" s="12"/>
      <c r="O212" s="12"/>
      <c r="U212" s="12"/>
      <c r="V212" s="12"/>
      <c r="W212" s="12"/>
    </row>
    <row r="213" customFormat="false" ht="15" hidden="false" customHeight="false" outlineLevel="0" collapsed="false">
      <c r="A213" s="0" t="n">
        <v>204</v>
      </c>
      <c r="B213" s="0" t="n">
        <v>30.8989966555184</v>
      </c>
      <c r="C213" s="0" t="n">
        <v>0.185522872748228</v>
      </c>
      <c r="D213" s="0" t="n">
        <v>-3.31560842005351</v>
      </c>
      <c r="E213" s="0" t="n">
        <v>0.289637260973328</v>
      </c>
      <c r="I213" s="12"/>
      <c r="K213" s="12"/>
      <c r="M213" s="12"/>
      <c r="O213" s="12"/>
      <c r="U213" s="12"/>
      <c r="V213" s="12"/>
      <c r="W213" s="12"/>
    </row>
    <row r="214" customFormat="false" ht="15" hidden="false" customHeight="false" outlineLevel="0" collapsed="false">
      <c r="A214" s="0" t="n">
        <v>205</v>
      </c>
      <c r="B214" s="0" t="n">
        <v>30.9896321070234</v>
      </c>
      <c r="C214" s="0" t="n">
        <v>0.187175730904642</v>
      </c>
      <c r="D214" s="0" t="n">
        <v>-3.34919005240337</v>
      </c>
      <c r="E214" s="0" t="n">
        <v>0.292050215125279</v>
      </c>
      <c r="I214" s="12"/>
      <c r="K214" s="12"/>
      <c r="M214" s="12"/>
      <c r="O214" s="12"/>
      <c r="U214" s="12"/>
      <c r="V214" s="12"/>
      <c r="W214" s="12"/>
    </row>
    <row r="215" customFormat="false" ht="15" hidden="false" customHeight="false" outlineLevel="0" collapsed="false">
      <c r="A215" s="0" t="n">
        <v>206</v>
      </c>
      <c r="B215" s="0" t="n">
        <v>31.0802675585284</v>
      </c>
      <c r="C215" s="0" t="n">
        <v>0.188834080065271</v>
      </c>
      <c r="D215" s="0" t="n">
        <v>-3.38293072033768</v>
      </c>
      <c r="E215" s="0" t="n">
        <v>0.294469895691998</v>
      </c>
      <c r="I215" s="12"/>
      <c r="K215" s="12"/>
      <c r="M215" s="12"/>
      <c r="O215" s="12"/>
      <c r="U215" s="12"/>
      <c r="V215" s="12"/>
      <c r="W215" s="12"/>
    </row>
    <row r="216" customFormat="false" ht="15" hidden="false" customHeight="false" outlineLevel="0" collapsed="false">
      <c r="A216" s="0" t="n">
        <v>207</v>
      </c>
      <c r="B216" s="0" t="n">
        <v>31.1709030100334</v>
      </c>
      <c r="C216" s="0" t="n">
        <v>0.1904978922633</v>
      </c>
      <c r="D216" s="0" t="n">
        <v>-3.41682996468359</v>
      </c>
      <c r="E216" s="0" t="n">
        <v>0.296896265863247</v>
      </c>
      <c r="I216" s="12"/>
      <c r="K216" s="12"/>
      <c r="M216" s="12"/>
      <c r="O216" s="12"/>
      <c r="U216" s="12"/>
      <c r="V216" s="12"/>
      <c r="W216" s="12"/>
    </row>
    <row r="217" customFormat="false" ht="15" hidden="false" customHeight="false" outlineLevel="0" collapsed="false">
      <c r="A217" s="0" t="n">
        <v>208</v>
      </c>
      <c r="B217" s="0" t="n">
        <v>31.2615384615385</v>
      </c>
      <c r="C217" s="0" t="n">
        <v>0.192167139457445</v>
      </c>
      <c r="D217" s="0" t="n">
        <v>-3.45088731953583</v>
      </c>
      <c r="E217" s="0" t="n">
        <v>0.299329288808298</v>
      </c>
      <c r="I217" s="12"/>
      <c r="K217" s="12"/>
      <c r="M217" s="12"/>
      <c r="O217" s="12"/>
      <c r="U217" s="12"/>
      <c r="V217" s="12"/>
      <c r="W217" s="12"/>
    </row>
    <row r="218" customFormat="false" ht="15" hidden="false" customHeight="false" outlineLevel="0" collapsed="false">
      <c r="A218" s="0" t="n">
        <v>209</v>
      </c>
      <c r="B218" s="0" t="n">
        <v>31.3521739130435</v>
      </c>
      <c r="C218" s="0" t="n">
        <v>0.193841793531331</v>
      </c>
      <c r="D218" s="0" t="n">
        <v>-3.48510231224028</v>
      </c>
      <c r="E218" s="0" t="n">
        <v>0.301768927673991</v>
      </c>
      <c r="I218" s="12"/>
      <c r="K218" s="12"/>
      <c r="M218" s="12"/>
      <c r="O218" s="12"/>
      <c r="U218" s="12"/>
      <c r="V218" s="12"/>
      <c r="W218" s="12"/>
    </row>
    <row r="219" customFormat="false" ht="15" hidden="false" customHeight="false" outlineLevel="0" collapsed="false">
      <c r="A219" s="0" t="n">
        <v>210</v>
      </c>
      <c r="B219" s="0" t="n">
        <v>31.4428093645485</v>
      </c>
      <c r="C219" s="0" t="n">
        <v>0.195521826292878</v>
      </c>
      <c r="D219" s="0" t="n">
        <v>-3.51947446337768</v>
      </c>
      <c r="E219" s="0" t="n">
        <v>0.304215145582824</v>
      </c>
      <c r="I219" s="12"/>
      <c r="K219" s="12"/>
      <c r="M219" s="12"/>
      <c r="O219" s="12"/>
      <c r="U219" s="12"/>
      <c r="V219" s="12"/>
      <c r="W219" s="12"/>
    </row>
    <row r="220" customFormat="false" ht="15" hidden="false" customHeight="false" outlineLevel="0" collapsed="false">
      <c r="A220" s="0" t="n">
        <v>211</v>
      </c>
      <c r="B220" s="0" t="n">
        <v>31.5334448160535</v>
      </c>
      <c r="C220" s="0" t="n">
        <v>0.197207209473689</v>
      </c>
      <c r="D220" s="0" t="n">
        <v>-3.55400328674727</v>
      </c>
      <c r="E220" s="0" t="n">
        <v>0.306667905631055</v>
      </c>
      <c r="I220" s="12"/>
      <c r="K220" s="12"/>
      <c r="M220" s="12"/>
      <c r="O220" s="12"/>
      <c r="U220" s="12"/>
      <c r="V220" s="12"/>
      <c r="W220" s="12"/>
    </row>
    <row r="221" customFormat="false" ht="15" hidden="false" customHeight="false" outlineLevel="0" collapsed="false">
      <c r="A221" s="0" t="n">
        <v>212</v>
      </c>
      <c r="B221" s="0" t="n">
        <v>31.6240802675585</v>
      </c>
      <c r="C221" s="0" t="n">
        <v>0.19889791472844</v>
      </c>
      <c r="D221" s="0" t="n">
        <v>-3.58868828935051</v>
      </c>
      <c r="E221" s="0" t="n">
        <v>0.309127170886836</v>
      </c>
      <c r="I221" s="12"/>
      <c r="K221" s="12"/>
      <c r="M221" s="12"/>
      <c r="O221" s="12"/>
      <c r="U221" s="12"/>
      <c r="V221" s="12"/>
      <c r="W221" s="12"/>
    </row>
    <row r="222" customFormat="false" ht="15" hidden="false" customHeight="false" outlineLevel="0" collapsed="false">
      <c r="A222" s="0" t="n">
        <v>213</v>
      </c>
      <c r="B222" s="0" t="n">
        <v>31.7147157190636</v>
      </c>
      <c r="C222" s="0" t="n">
        <v>0.200593913634273</v>
      </c>
      <c r="D222" s="0" t="n">
        <v>-3.62352897137485</v>
      </c>
      <c r="E222" s="0" t="n">
        <v>0.311592904388353</v>
      </c>
      <c r="I222" s="12"/>
      <c r="K222" s="12"/>
      <c r="M222" s="12"/>
      <c r="O222" s="12"/>
      <c r="U222" s="12"/>
      <c r="V222" s="12"/>
      <c r="W222" s="12"/>
    </row>
    <row r="223" customFormat="false" ht="15" hidden="false" customHeight="false" outlineLevel="0" collapsed="false">
      <c r="A223" s="0" t="n">
        <v>214</v>
      </c>
      <c r="B223" s="0" t="n">
        <v>31.8053511705686</v>
      </c>
      <c r="C223" s="0" t="n">
        <v>0.202295177690194</v>
      </c>
      <c r="D223" s="0" t="n">
        <v>-3.65852482617744</v>
      </c>
      <c r="E223" s="0" t="n">
        <v>0.314065069142005</v>
      </c>
      <c r="I223" s="12"/>
      <c r="K223" s="12"/>
      <c r="M223" s="12"/>
      <c r="O223" s="12"/>
      <c r="U223" s="12"/>
      <c r="V223" s="12"/>
      <c r="W223" s="12"/>
    </row>
    <row r="224" customFormat="false" ht="15" hidden="false" customHeight="false" outlineLevel="0" collapsed="false">
      <c r="A224" s="0" t="n">
        <v>215</v>
      </c>
      <c r="B224" s="0" t="n">
        <v>31.8959866220736</v>
      </c>
      <c r="C224" s="0" t="n">
        <v>0.204001678316474</v>
      </c>
      <c r="D224" s="0" t="n">
        <v>-3.69367534026897</v>
      </c>
      <c r="E224" s="0" t="n">
        <v>0.316543628120585</v>
      </c>
      <c r="I224" s="12"/>
      <c r="K224" s="12"/>
      <c r="M224" s="12"/>
      <c r="O224" s="12"/>
      <c r="U224" s="12"/>
      <c r="V224" s="12"/>
      <c r="W224" s="12"/>
    </row>
    <row r="225" customFormat="false" ht="15" hidden="false" customHeight="false" outlineLevel="0" collapsed="false">
      <c r="A225" s="0" t="n">
        <v>216</v>
      </c>
      <c r="B225" s="0" t="n">
        <v>31.9866220735786</v>
      </c>
      <c r="C225" s="0" t="n">
        <v>0.205713386854049</v>
      </c>
      <c r="D225" s="0" t="n">
        <v>-3.72897999329748</v>
      </c>
      <c r="E225" s="0" t="n">
        <v>0.319028544261496</v>
      </c>
      <c r="I225" s="12"/>
      <c r="K225" s="12"/>
      <c r="M225" s="12"/>
      <c r="O225" s="12"/>
      <c r="U225" s="12"/>
      <c r="V225" s="12"/>
      <c r="W225" s="12"/>
    </row>
    <row r="226" customFormat="false" ht="15" hidden="false" customHeight="false" outlineLevel="0" collapsed="false">
      <c r="A226" s="0" t="n">
        <v>217</v>
      </c>
      <c r="B226" s="0" t="n">
        <v>32.0772575250836</v>
      </c>
      <c r="C226" s="0" t="n">
        <v>0.207430274563928</v>
      </c>
      <c r="D226" s="0" t="n">
        <v>-3.76443825803224</v>
      </c>
      <c r="E226" s="0" t="n">
        <v>0.321519780464977</v>
      </c>
      <c r="I226" s="12"/>
      <c r="K226" s="12"/>
      <c r="M226" s="12"/>
      <c r="O226" s="12"/>
      <c r="U226" s="12"/>
      <c r="V226" s="12"/>
      <c r="W226" s="12"/>
    </row>
    <row r="227" customFormat="false" ht="15" hidden="false" customHeight="false" outlineLevel="0" collapsed="false">
      <c r="A227" s="0" t="n">
        <v>218</v>
      </c>
      <c r="B227" s="0" t="n">
        <v>32.1678929765886</v>
      </c>
      <c r="C227" s="0" t="n">
        <v>0.209152312626601</v>
      </c>
      <c r="D227" s="0" t="n">
        <v>-3.8000496003476</v>
      </c>
      <c r="E227" s="0" t="n">
        <v>0.324017299592354</v>
      </c>
      <c r="I227" s="12"/>
      <c r="K227" s="12"/>
      <c r="M227" s="12"/>
      <c r="O227" s="12"/>
      <c r="U227" s="12"/>
      <c r="V227" s="12"/>
      <c r="W227" s="12"/>
    </row>
    <row r="228" customFormat="false" ht="15" hidden="false" customHeight="false" outlineLevel="0" collapsed="false">
      <c r="A228" s="0" t="n">
        <v>219</v>
      </c>
      <c r="B228" s="0" t="n">
        <v>32.2585284280937</v>
      </c>
      <c r="C228" s="0" t="n">
        <v>0.210879472141452</v>
      </c>
      <c r="D228" s="0" t="n">
        <v>-3.83581347920697</v>
      </c>
      <c r="E228" s="0" t="n">
        <v>0.326521064464307</v>
      </c>
      <c r="I228" s="12"/>
      <c r="K228" s="12"/>
      <c r="M228" s="12"/>
      <c r="O228" s="12"/>
      <c r="U228" s="12"/>
      <c r="V228" s="12"/>
      <c r="W228" s="12"/>
    </row>
    <row r="229" customFormat="false" ht="15" hidden="false" customHeight="false" outlineLevel="0" collapsed="false">
      <c r="A229" s="0" t="n">
        <v>220</v>
      </c>
      <c r="B229" s="0" t="n">
        <v>32.3491638795987</v>
      </c>
      <c r="C229" s="0" t="n">
        <v>0.212611724126176</v>
      </c>
      <c r="D229" s="0" t="n">
        <v>-3.87172934664674</v>
      </c>
      <c r="E229" s="0" t="n">
        <v>0.329031037859156</v>
      </c>
      <c r="I229" s="12"/>
      <c r="K229" s="12"/>
      <c r="M229" s="12"/>
      <c r="O229" s="12"/>
      <c r="U229" s="12"/>
      <c r="V229" s="12"/>
      <c r="W229" s="12"/>
    </row>
    <row r="230" customFormat="false" ht="15" hidden="false" customHeight="false" outlineLevel="0" collapsed="false">
      <c r="A230" s="0" t="n">
        <v>221</v>
      </c>
      <c r="B230" s="0" t="n">
        <v>32.4397993311037</v>
      </c>
      <c r="C230" s="0" t="n">
        <v>0.214349039516192</v>
      </c>
      <c r="D230" s="0" t="n">
        <v>-3.9077966477603</v>
      </c>
      <c r="E230" s="0" t="n">
        <v>0.331547182511172</v>
      </c>
      <c r="I230" s="12"/>
      <c r="K230" s="12"/>
      <c r="M230" s="12"/>
      <c r="O230" s="12"/>
      <c r="U230" s="12"/>
      <c r="V230" s="12"/>
      <c r="W230" s="12"/>
    </row>
    <row r="231" customFormat="false" ht="15" hidden="false" customHeight="false" outlineLevel="0" collapsed="false">
      <c r="A231" s="0" t="n">
        <v>222</v>
      </c>
      <c r="B231" s="0" t="n">
        <v>32.5304347826087</v>
      </c>
      <c r="C231" s="0" t="n">
        <v>0.216091389164071</v>
      </c>
      <c r="D231" s="0" t="n">
        <v>-3.94401482068206</v>
      </c>
      <c r="E231" s="0" t="n">
        <v>0.334069461108896</v>
      </c>
      <c r="I231" s="12"/>
      <c r="K231" s="12"/>
      <c r="M231" s="12"/>
      <c r="O231" s="12"/>
      <c r="U231" s="12"/>
      <c r="V231" s="12"/>
      <c r="W231" s="12"/>
    </row>
    <row r="232" customFormat="false" ht="15" hidden="false" customHeight="false" outlineLevel="0" collapsed="false">
      <c r="A232" s="0" t="n">
        <v>223</v>
      </c>
      <c r="B232" s="0" t="n">
        <v>32.6210702341137</v>
      </c>
      <c r="C232" s="0" t="n">
        <v>0.217838743838958</v>
      </c>
      <c r="D232" s="0" t="n">
        <v>-3.98038329657156</v>
      </c>
      <c r="E232" s="0" t="n">
        <v>0.336597836293485</v>
      </c>
      <c r="I232" s="12"/>
      <c r="K232" s="12"/>
      <c r="M232" s="12"/>
      <c r="O232" s="12"/>
      <c r="U232" s="12"/>
      <c r="V232" s="12"/>
      <c r="W232" s="12"/>
    </row>
    <row r="233" customFormat="false" ht="15" hidden="false" customHeight="false" outlineLevel="0" collapsed="false">
      <c r="A233" s="0" t="n">
        <v>224</v>
      </c>
      <c r="B233" s="0" t="n">
        <v>32.7117056856187</v>
      </c>
      <c r="C233" s="0" t="n">
        <v>0.219591074225998</v>
      </c>
      <c r="D233" s="0" t="n">
        <v>-4.01690149959751</v>
      </c>
      <c r="E233" s="0" t="n">
        <v>0.339132270657069</v>
      </c>
      <c r="I233" s="12"/>
      <c r="K233" s="12"/>
      <c r="M233" s="12"/>
      <c r="O233" s="12"/>
      <c r="U233" s="12"/>
      <c r="V233" s="12"/>
      <c r="W233" s="12"/>
    </row>
    <row r="234" customFormat="false" ht="15" hidden="false" customHeight="false" outlineLevel="0" collapsed="false">
      <c r="A234" s="0" t="n">
        <v>225</v>
      </c>
      <c r="B234" s="0" t="n">
        <v>32.8023411371238</v>
      </c>
      <c r="C234" s="0" t="n">
        <v>0.221348350925771</v>
      </c>
      <c r="D234" s="0" t="n">
        <v>-4.05356884692203</v>
      </c>
      <c r="E234" s="0" t="n">
        <v>0.341672726741136</v>
      </c>
      <c r="I234" s="12"/>
      <c r="K234" s="12"/>
      <c r="M234" s="12"/>
      <c r="O234" s="12"/>
      <c r="U234" s="12"/>
      <c r="V234" s="12"/>
      <c r="W234" s="12"/>
    </row>
    <row r="235" customFormat="false" ht="15" hidden="false" customHeight="false" outlineLevel="0" collapsed="false">
      <c r="A235" s="0" t="n">
        <v>226</v>
      </c>
      <c r="B235" s="0" t="n">
        <v>32.8929765886288</v>
      </c>
      <c r="C235" s="0" t="n">
        <v>0.223110544453723</v>
      </c>
      <c r="D235" s="0" t="n">
        <v>-4.09038474868477</v>
      </c>
      <c r="E235" s="0" t="n">
        <v>0.34421916703492</v>
      </c>
      <c r="I235" s="12"/>
      <c r="K235" s="12"/>
      <c r="M235" s="12"/>
      <c r="O235" s="12"/>
      <c r="U235" s="12"/>
      <c r="V235" s="12"/>
      <c r="W235" s="12"/>
    </row>
    <row r="236" customFormat="false" ht="15" hidden="false" customHeight="false" outlineLevel="0" collapsed="false">
      <c r="A236" s="0" t="n">
        <v>227</v>
      </c>
      <c r="B236" s="0" t="n">
        <v>32.9836120401338</v>
      </c>
      <c r="C236" s="0" t="n">
        <v>0.224877625239605</v>
      </c>
      <c r="D236" s="0" t="n">
        <v>-4.12734860798718</v>
      </c>
      <c r="E236" s="0" t="n">
        <v>0.346771553973822</v>
      </c>
      <c r="I236" s="12"/>
      <c r="K236" s="12"/>
      <c r="M236" s="12"/>
      <c r="O236" s="12"/>
      <c r="U236" s="12"/>
      <c r="V236" s="12"/>
      <c r="W236" s="12"/>
    </row>
    <row r="237" customFormat="false" ht="15" hidden="false" customHeight="false" outlineLevel="0" collapsed="false">
      <c r="A237" s="0" t="n">
        <v>228</v>
      </c>
      <c r="B237" s="0" t="n">
        <v>33.0742474916388</v>
      </c>
      <c r="C237" s="0" t="n">
        <v>0.226649563626912</v>
      </c>
      <c r="D237" s="0" t="n">
        <v>-4.16445982087678</v>
      </c>
      <c r="E237" s="0" t="n">
        <v>0.349329849937834</v>
      </c>
      <c r="I237" s="12"/>
      <c r="K237" s="12"/>
      <c r="M237" s="12"/>
      <c r="O237" s="12"/>
      <c r="U237" s="12"/>
      <c r="V237" s="12"/>
      <c r="W237" s="12"/>
    </row>
    <row r="238" customFormat="false" ht="15" hidden="false" customHeight="false" outlineLevel="0" collapsed="false">
      <c r="A238" s="0" t="n">
        <v>229</v>
      </c>
      <c r="B238" s="0" t="n">
        <v>33.1648829431438</v>
      </c>
      <c r="C238" s="0" t="n">
        <v>0.22842632987233</v>
      </c>
      <c r="D238" s="0" t="n">
        <v>-4.20171777633148</v>
      </c>
      <c r="E238" s="0" t="n">
        <v>0.351894017249991</v>
      </c>
      <c r="I238" s="12"/>
      <c r="K238" s="12"/>
      <c r="M238" s="12"/>
      <c r="O238" s="12"/>
      <c r="U238" s="12"/>
      <c r="V238" s="12"/>
      <c r="W238" s="12"/>
    </row>
    <row r="239" customFormat="false" ht="15" hidden="false" customHeight="false" outlineLevel="0" collapsed="false">
      <c r="A239" s="0" t="n">
        <v>230</v>
      </c>
      <c r="B239" s="0" t="n">
        <v>33.2555183946488</v>
      </c>
      <c r="C239" s="0" t="n">
        <v>0.230207894145179</v>
      </c>
      <c r="D239" s="0" t="n">
        <v>-4.23912185624394</v>
      </c>
      <c r="E239" s="0" t="n">
        <v>0.354464018174831</v>
      </c>
      <c r="I239" s="12"/>
      <c r="K239" s="12"/>
      <c r="M239" s="12"/>
      <c r="O239" s="12"/>
      <c r="U239" s="12"/>
      <c r="V239" s="12"/>
      <c r="W239" s="12"/>
    </row>
    <row r="240" customFormat="false" ht="15" hidden="false" customHeight="false" outlineLevel="0" collapsed="false">
      <c r="A240" s="0" t="n">
        <v>231</v>
      </c>
      <c r="B240" s="0" t="n">
        <v>33.3461538461539</v>
      </c>
      <c r="C240" s="0" t="n">
        <v>0.231994226526868</v>
      </c>
      <c r="D240" s="0" t="n">
        <v>-4.27667143540599</v>
      </c>
      <c r="E240" s="0" t="n">
        <v>0.357039814916881</v>
      </c>
      <c r="I240" s="12"/>
      <c r="K240" s="12"/>
      <c r="M240" s="12"/>
      <c r="O240" s="12"/>
      <c r="U240" s="12"/>
      <c r="V240" s="12"/>
      <c r="W240" s="12"/>
    </row>
    <row r="241" customFormat="false" ht="15" hidden="false" customHeight="false" outlineLevel="0" collapsed="false">
      <c r="A241" s="0" t="n">
        <v>232</v>
      </c>
      <c r="B241" s="0" t="n">
        <v>33.4367892976589</v>
      </c>
      <c r="C241" s="0" t="n">
        <v>0.233785297010342</v>
      </c>
      <c r="D241" s="0" t="n">
        <v>-4.3143658814931</v>
      </c>
      <c r="E241" s="0" t="n">
        <v>0.359621369619146</v>
      </c>
      <c r="I241" s="12"/>
      <c r="K241" s="12"/>
      <c r="M241" s="12"/>
      <c r="O241" s="12"/>
      <c r="U241" s="12"/>
      <c r="V241" s="12"/>
      <c r="W241" s="12"/>
    </row>
    <row r="242" customFormat="false" ht="15" hidden="false" customHeight="false" outlineLevel="0" collapsed="false">
      <c r="A242" s="0" t="n">
        <v>233</v>
      </c>
      <c r="B242" s="0" t="n">
        <v>33.5274247491639</v>
      </c>
      <c r="C242" s="0" t="n">
        <v>0.235581075499547</v>
      </c>
      <c r="D242" s="0" t="n">
        <v>-4.35220455504886</v>
      </c>
      <c r="E242" s="0" t="n">
        <v>0.362208644361629</v>
      </c>
      <c r="I242" s="12"/>
      <c r="K242" s="12"/>
      <c r="M242" s="12"/>
      <c r="O242" s="12"/>
      <c r="U242" s="12"/>
      <c r="V242" s="12"/>
      <c r="W242" s="12"/>
    </row>
    <row r="243" customFormat="false" ht="15" hidden="false" customHeight="false" outlineLevel="0" collapsed="false">
      <c r="A243" s="0" t="n">
        <v>234</v>
      </c>
      <c r="B243" s="0" t="n">
        <v>33.6180602006689</v>
      </c>
      <c r="C243" s="0" t="n">
        <v>0.237381531808881</v>
      </c>
      <c r="D243" s="0" t="n">
        <v>-4.39018680946953</v>
      </c>
      <c r="E243" s="0" t="n">
        <v>0.364801601159856</v>
      </c>
      <c r="I243" s="12"/>
      <c r="K243" s="12"/>
      <c r="M243" s="12"/>
      <c r="O243" s="12"/>
      <c r="U243" s="12"/>
      <c r="V243" s="12"/>
      <c r="W243" s="12"/>
    </row>
    <row r="244" customFormat="false" ht="15" hidden="false" customHeight="false" outlineLevel="0" collapsed="false">
      <c r="A244" s="0" t="n">
        <v>235</v>
      </c>
      <c r="B244" s="0" t="n">
        <v>33.7086956521739</v>
      </c>
      <c r="C244" s="0" t="n">
        <v>0.239186635662666</v>
      </c>
      <c r="D244" s="0" t="n">
        <v>-4.4283119909887</v>
      </c>
      <c r="E244" s="0" t="n">
        <v>0.36740020196342</v>
      </c>
      <c r="I244" s="12"/>
      <c r="K244" s="12"/>
      <c r="M244" s="12"/>
      <c r="O244" s="12"/>
      <c r="U244" s="12"/>
      <c r="V244" s="12"/>
      <c r="W244" s="12"/>
    </row>
    <row r="245" customFormat="false" ht="15" hidden="false" customHeight="false" outlineLevel="0" collapsed="false">
      <c r="A245" s="0" t="n">
        <v>236</v>
      </c>
      <c r="B245" s="0" t="n">
        <v>33.7993311036789</v>
      </c>
      <c r="C245" s="0" t="n">
        <v>0.240996356694608</v>
      </c>
      <c r="D245" s="0" t="n">
        <v>-4.46657943866187</v>
      </c>
      <c r="E245" s="0" t="n">
        <v>0.370004408654543</v>
      </c>
      <c r="I245" s="12"/>
      <c r="K245" s="12"/>
      <c r="M245" s="12"/>
      <c r="O245" s="12"/>
      <c r="U245" s="12"/>
      <c r="V245" s="12"/>
      <c r="W245" s="12"/>
    </row>
    <row r="246" customFormat="false" ht="15" hidden="false" customHeight="false" outlineLevel="0" collapsed="false">
      <c r="A246" s="0" t="n">
        <v>237</v>
      </c>
      <c r="B246" s="0" t="n">
        <v>33.8899665551839</v>
      </c>
      <c r="C246" s="0" t="n">
        <v>0.24281066444727</v>
      </c>
      <c r="D246" s="0" t="n">
        <v>-4.50498848435122</v>
      </c>
      <c r="E246" s="0" t="n">
        <v>0.37261418304665</v>
      </c>
      <c r="I246" s="12"/>
      <c r="K246" s="12"/>
      <c r="M246" s="12"/>
      <c r="O246" s="12"/>
      <c r="U246" s="12"/>
      <c r="V246" s="12"/>
      <c r="W246" s="12"/>
    </row>
    <row r="247" customFormat="false" ht="15" hidden="false" customHeight="false" outlineLevel="0" collapsed="false">
      <c r="A247" s="0" t="n">
        <v>238</v>
      </c>
      <c r="B247" s="0" t="n">
        <v>33.980602006689</v>
      </c>
      <c r="C247" s="0" t="n">
        <v>0.244629528371544</v>
      </c>
      <c r="D247" s="0" t="n">
        <v>-4.54353845271034</v>
      </c>
      <c r="E247" s="0" t="n">
        <v>0.375229486882959</v>
      </c>
      <c r="I247" s="12"/>
      <c r="K247" s="12"/>
      <c r="M247" s="12"/>
      <c r="O247" s="12"/>
      <c r="U247" s="12"/>
      <c r="V247" s="12"/>
      <c r="W247" s="12"/>
    </row>
    <row r="248" customFormat="false" ht="15" hidden="false" customHeight="false" outlineLevel="0" collapsed="false">
      <c r="A248" s="0" t="n">
        <v>239</v>
      </c>
      <c r="B248" s="0" t="n">
        <v>34.071237458194</v>
      </c>
      <c r="C248" s="0" t="n">
        <v>0.24645291782613</v>
      </c>
      <c r="D248" s="0" t="n">
        <v>-4.58222866116904</v>
      </c>
      <c r="E248" s="0" t="n">
        <v>0.377850281835086</v>
      </c>
      <c r="I248" s="12"/>
      <c r="K248" s="12"/>
      <c r="M248" s="12"/>
      <c r="O248" s="12"/>
      <c r="U248" s="12"/>
      <c r="V248" s="12"/>
      <c r="W248" s="12"/>
    </row>
    <row r="249" customFormat="false" ht="15" hidden="false" customHeight="false" outlineLevel="0" collapsed="false">
      <c r="A249" s="0" t="n">
        <v>240</v>
      </c>
      <c r="B249" s="0" t="n">
        <v>34.161872909699</v>
      </c>
      <c r="C249" s="0" t="n">
        <v>0.248280802077011</v>
      </c>
      <c r="D249" s="0" t="n">
        <v>-4.62105841991823</v>
      </c>
      <c r="E249" s="0" t="n">
        <v>0.380476529501667</v>
      </c>
      <c r="I249" s="12"/>
      <c r="K249" s="12"/>
      <c r="M249" s="12"/>
      <c r="O249" s="12"/>
      <c r="U249" s="12"/>
      <c r="V249" s="12"/>
      <c r="W249" s="12"/>
    </row>
    <row r="250" customFormat="false" ht="15" hidden="false" customHeight="false" outlineLevel="0" collapsed="false">
      <c r="A250" s="0" t="n">
        <v>241</v>
      </c>
      <c r="B250" s="0" t="n">
        <v>34.252508361204</v>
      </c>
      <c r="C250" s="0" t="n">
        <v>0.250113150296941</v>
      </c>
      <c r="D250" s="0" t="n">
        <v>-4.66002703189486</v>
      </c>
      <c r="E250" s="0" t="n">
        <v>0.383108191406992</v>
      </c>
      <c r="I250" s="12"/>
      <c r="K250" s="12"/>
      <c r="M250" s="12"/>
      <c r="O250" s="12"/>
      <c r="U250" s="12"/>
      <c r="V250" s="12"/>
      <c r="W250" s="12"/>
    </row>
    <row r="251" customFormat="false" ht="15" hidden="false" customHeight="false" outlineLevel="0" collapsed="false">
      <c r="A251" s="0" t="n">
        <v>242</v>
      </c>
      <c r="B251" s="0" t="n">
        <v>34.343143812709</v>
      </c>
      <c r="C251" s="0" t="n">
        <v>0.251949931564929</v>
      </c>
      <c r="D251" s="0" t="n">
        <v>-4.69913379276687</v>
      </c>
      <c r="E251" s="0" t="n">
        <v>0.38574522899965</v>
      </c>
      <c r="I251" s="12"/>
      <c r="K251" s="12"/>
      <c r="M251" s="12"/>
      <c r="O251" s="12"/>
      <c r="U251" s="12"/>
      <c r="V251" s="12"/>
      <c r="W251" s="12"/>
    </row>
    <row r="252" customFormat="false" ht="15" hidden="false" customHeight="false" outlineLevel="0" collapsed="false">
      <c r="A252" s="0" t="n">
        <v>243</v>
      </c>
      <c r="B252" s="0" t="n">
        <v>34.433779264214</v>
      </c>
      <c r="C252" s="0" t="n">
        <v>0.253791114865728</v>
      </c>
      <c r="D252" s="0" t="n">
        <v>-4.73837799091826</v>
      </c>
      <c r="E252" s="0" t="n">
        <v>0.388387603651202</v>
      </c>
      <c r="I252" s="12"/>
      <c r="K252" s="12"/>
      <c r="M252" s="12"/>
      <c r="O252" s="12"/>
      <c r="U252" s="12"/>
      <c r="V252" s="12"/>
      <c r="W252" s="12"/>
    </row>
    <row r="253" customFormat="false" ht="15" hidden="false" customHeight="false" outlineLevel="0" collapsed="false">
      <c r="A253" s="0" t="n">
        <v>244</v>
      </c>
      <c r="B253" s="0" t="n">
        <v>34.5244147157191</v>
      </c>
      <c r="C253" s="0" t="n">
        <v>0.255636669089333</v>
      </c>
      <c r="D253" s="0" t="n">
        <v>-4.77775890743416</v>
      </c>
      <c r="E253" s="0" t="n">
        <v>0.391035276654848</v>
      </c>
      <c r="I253" s="12"/>
      <c r="K253" s="12"/>
      <c r="M253" s="12"/>
      <c r="O253" s="12"/>
      <c r="U253" s="12"/>
      <c r="V253" s="12"/>
      <c r="W253" s="12"/>
    </row>
    <row r="254" customFormat="false" ht="15" hidden="false" customHeight="false" outlineLevel="0" collapsed="false">
      <c r="A254" s="0" t="n">
        <v>245</v>
      </c>
      <c r="B254" s="0" t="n">
        <v>34.6150501672241</v>
      </c>
      <c r="C254" s="0" t="n">
        <v>0.25748656303047</v>
      </c>
      <c r="D254" s="0" t="n">
        <v>-4.81727581608602</v>
      </c>
      <c r="E254" s="0" t="n">
        <v>0.393688209224127</v>
      </c>
      <c r="I254" s="12"/>
      <c r="K254" s="12"/>
      <c r="M254" s="12"/>
      <c r="O254" s="12"/>
      <c r="U254" s="12"/>
      <c r="V254" s="12"/>
      <c r="W254" s="12"/>
    </row>
    <row r="255" customFormat="false" ht="15" hidden="false" customHeight="false" outlineLevel="0" collapsed="false">
      <c r="A255" s="0" t="n">
        <v>246</v>
      </c>
      <c r="B255" s="0" t="n">
        <v>34.7056856187291</v>
      </c>
      <c r="C255" s="0" t="n">
        <v>0.259340765388105</v>
      </c>
      <c r="D255" s="0" t="n">
        <v>-4.85692798331682</v>
      </c>
      <c r="E255" s="0" t="n">
        <v>0.396346362491618</v>
      </c>
      <c r="I255" s="12"/>
      <c r="K255" s="12"/>
      <c r="M255" s="12"/>
      <c r="O255" s="12"/>
      <c r="U255" s="12"/>
      <c r="V255" s="12"/>
      <c r="W255" s="12"/>
    </row>
    <row r="256" customFormat="false" ht="15" hidden="false" customHeight="false" outlineLevel="0" collapsed="false">
      <c r="A256" s="0" t="n">
        <v>247</v>
      </c>
      <c r="B256" s="0" t="n">
        <v>34.7963210702341</v>
      </c>
      <c r="C256" s="0" t="n">
        <v>0.261199244764939</v>
      </c>
      <c r="D256" s="0" t="n">
        <v>-4.89671466822632</v>
      </c>
      <c r="E256" s="0" t="n">
        <v>0.39900969750766</v>
      </c>
      <c r="I256" s="12"/>
      <c r="K256" s="12"/>
      <c r="M256" s="12"/>
      <c r="O256" s="12"/>
      <c r="U256" s="12"/>
      <c r="V256" s="12"/>
      <c r="W256" s="12"/>
    </row>
    <row r="257" customFormat="false" ht="15" hidden="false" customHeight="false" outlineLevel="0" collapsed="false">
      <c r="A257" s="0" t="n">
        <v>248</v>
      </c>
      <c r="B257" s="0" t="n">
        <v>34.8869565217391</v>
      </c>
      <c r="C257" s="0" t="n">
        <v>0.263061969666922</v>
      </c>
      <c r="D257" s="0" t="n">
        <v>-4.93663512255648</v>
      </c>
      <c r="E257" s="0" t="n">
        <v>0.401678175239086</v>
      </c>
      <c r="I257" s="12"/>
      <c r="K257" s="12"/>
      <c r="M257" s="12"/>
      <c r="O257" s="12"/>
      <c r="U257" s="12"/>
      <c r="V257" s="12"/>
      <c r="W257" s="12"/>
    </row>
    <row r="258" customFormat="false" ht="15" hidden="false" customHeight="false" outlineLevel="0" collapsed="false">
      <c r="A258" s="0" t="n">
        <v>249</v>
      </c>
      <c r="B258" s="0" t="n">
        <v>34.9775919732441</v>
      </c>
      <c r="C258" s="0" t="n">
        <v>0.264928908502756</v>
      </c>
      <c r="D258" s="0" t="n">
        <v>-4.97668859067678</v>
      </c>
      <c r="E258" s="0" t="n">
        <v>0.404351756567971</v>
      </c>
      <c r="I258" s="12"/>
      <c r="K258" s="12"/>
      <c r="M258" s="12"/>
      <c r="O258" s="12"/>
      <c r="U258" s="12"/>
      <c r="V258" s="12"/>
      <c r="W258" s="12"/>
    </row>
    <row r="259" customFormat="false" ht="15" hidden="false" customHeight="false" outlineLevel="0" collapsed="false">
      <c r="A259" s="0" t="n">
        <v>250</v>
      </c>
      <c r="B259" s="0" t="n">
        <v>35.0682274247492</v>
      </c>
      <c r="C259" s="0" t="n">
        <v>0.266800029583418</v>
      </c>
      <c r="D259" s="0" t="n">
        <v>-5.01687430956977</v>
      </c>
      <c r="E259" s="0" t="n">
        <v>0.407030402290385</v>
      </c>
      <c r="I259" s="12"/>
      <c r="K259" s="12"/>
      <c r="M259" s="12"/>
      <c r="O259" s="12"/>
      <c r="U259" s="12"/>
      <c r="V259" s="12"/>
      <c r="W259" s="12"/>
    </row>
    <row r="260" customFormat="false" ht="15" hidden="false" customHeight="false" outlineLevel="0" collapsed="false">
      <c r="A260" s="0" t="n">
        <v>251</v>
      </c>
      <c r="B260" s="0" t="n">
        <v>35.1588628762542</v>
      </c>
      <c r="C260" s="0" t="n">
        <v>0.268675301121669</v>
      </c>
      <c r="D260" s="0" t="n">
        <v>-5.05719150881657</v>
      </c>
      <c r="E260" s="0" t="n">
        <v>0.409714073115174</v>
      </c>
      <c r="I260" s="12"/>
      <c r="K260" s="12"/>
      <c r="M260" s="12"/>
      <c r="O260" s="12"/>
      <c r="U260" s="12"/>
      <c r="V260" s="12"/>
      <c r="W260" s="12"/>
    </row>
    <row r="261" customFormat="false" ht="15" hidden="false" customHeight="false" outlineLevel="0" collapsed="false">
      <c r="A261" s="0" t="n">
        <v>252</v>
      </c>
      <c r="B261" s="0" t="n">
        <v>35.2494983277592</v>
      </c>
      <c r="C261" s="0" t="n">
        <v>0.270554691231578</v>
      </c>
      <c r="D261" s="0" t="n">
        <v>-5.09763941058251</v>
      </c>
      <c r="E261" s="0" t="n">
        <v>0.412402729662742</v>
      </c>
      <c r="I261" s="12"/>
      <c r="K261" s="12"/>
      <c r="M261" s="12"/>
      <c r="O261" s="12"/>
      <c r="U261" s="12"/>
      <c r="V261" s="12"/>
      <c r="W261" s="12"/>
    </row>
    <row r="262" customFormat="false" ht="15" hidden="false" customHeight="false" outlineLevel="0" collapsed="false">
      <c r="A262" s="0" t="n">
        <v>253</v>
      </c>
      <c r="B262" s="0" t="n">
        <v>35.3401337792642</v>
      </c>
      <c r="C262" s="0" t="n">
        <v>0.272438167928048</v>
      </c>
      <c r="D262" s="0" t="n">
        <v>-5.13821722960276</v>
      </c>
      <c r="E262" s="0" t="n">
        <v>0.415096332463847</v>
      </c>
      <c r="I262" s="12"/>
      <c r="K262" s="12"/>
      <c r="M262" s="12"/>
      <c r="O262" s="12"/>
      <c r="U262" s="12"/>
      <c r="V262" s="12"/>
      <c r="W262" s="12"/>
    </row>
    <row r="263" customFormat="false" ht="15" hidden="false" customHeight="false" outlineLevel="0" collapsed="false">
      <c r="A263" s="0" t="n">
        <v>254</v>
      </c>
      <c r="B263" s="0" t="n">
        <v>35.4307692307692</v>
      </c>
      <c r="C263" s="0" t="n">
        <v>0.274325699126341</v>
      </c>
      <c r="D263" s="0" t="n">
        <v>-5.17892417316815</v>
      </c>
      <c r="E263" s="0" t="n">
        <v>0.417794841958418</v>
      </c>
      <c r="I263" s="12"/>
      <c r="K263" s="12"/>
      <c r="M263" s="12"/>
      <c r="O263" s="12"/>
      <c r="U263" s="12"/>
      <c r="V263" s="12"/>
      <c r="W263" s="12"/>
    </row>
    <row r="264" customFormat="false" ht="15" hidden="false" customHeight="false" outlineLevel="0" collapsed="false">
      <c r="A264" s="0" t="n">
        <v>255</v>
      </c>
      <c r="B264" s="0" t="n">
        <v>35.5214046822743</v>
      </c>
      <c r="C264" s="0" t="n">
        <v>0.27621725264161</v>
      </c>
      <c r="D264" s="0" t="n">
        <v>-5.2197594411109</v>
      </c>
      <c r="E264" s="0" t="n">
        <v>0.420498218494376</v>
      </c>
      <c r="I264" s="12"/>
      <c r="K264" s="12"/>
      <c r="M264" s="12"/>
      <c r="O264" s="12"/>
      <c r="U264" s="12"/>
      <c r="V264" s="12"/>
      <c r="W264" s="12"/>
    </row>
    <row r="265" customFormat="false" ht="15" hidden="false" customHeight="false" outlineLevel="0" collapsed="false">
      <c r="A265" s="0" t="n">
        <v>256</v>
      </c>
      <c r="B265" s="0" t="n">
        <v>35.6120401337793</v>
      </c>
      <c r="C265" s="0" t="n">
        <v>0.278112796188435</v>
      </c>
      <c r="D265" s="0" t="n">
        <v>-5.2607222257906</v>
      </c>
      <c r="E265" s="0" t="n">
        <v>0.423206422326471</v>
      </c>
      <c r="I265" s="12"/>
      <c r="K265" s="12"/>
      <c r="M265" s="12"/>
      <c r="O265" s="12"/>
      <c r="U265" s="12"/>
      <c r="V265" s="12"/>
      <c r="W265" s="12"/>
    </row>
    <row r="266" customFormat="false" ht="15" hidden="false" customHeight="false" outlineLevel="0" collapsed="false">
      <c r="A266" s="0" t="n">
        <v>257</v>
      </c>
      <c r="B266" s="0" t="n">
        <v>35.7026755852843</v>
      </c>
      <c r="C266" s="0" t="n">
        <v>0.280012297380359</v>
      </c>
      <c r="D266" s="0" t="n">
        <v>-5.3018117120801</v>
      </c>
      <c r="E266" s="0" t="n">
        <v>0.425919413615131</v>
      </c>
      <c r="I266" s="12"/>
      <c r="K266" s="12"/>
      <c r="M266" s="12"/>
      <c r="O266" s="12"/>
      <c r="U266" s="12"/>
      <c r="V266" s="12"/>
      <c r="W266" s="12"/>
    </row>
    <row r="267" customFormat="false" ht="15" hidden="false" customHeight="false" outlineLevel="0" collapsed="false">
      <c r="A267" s="0" t="n">
        <v>258</v>
      </c>
      <c r="B267" s="0" t="n">
        <v>35.7933110367893</v>
      </c>
      <c r="C267" s="0" t="n">
        <v>0.281915723729434</v>
      </c>
      <c r="D267" s="0" t="n">
        <v>-5.3430270773516</v>
      </c>
      <c r="E267" s="0" t="n">
        <v>0.428637152425325</v>
      </c>
      <c r="I267" s="12"/>
      <c r="K267" s="12"/>
      <c r="M267" s="12"/>
      <c r="O267" s="12"/>
      <c r="U267" s="12"/>
      <c r="V267" s="12"/>
      <c r="W267" s="12"/>
    </row>
    <row r="268" customFormat="false" ht="15" hidden="false" customHeight="false" outlineLevel="0" collapsed="false">
      <c r="A268" s="0" t="n">
        <v>259</v>
      </c>
      <c r="B268" s="0" t="n">
        <v>35.8839464882943</v>
      </c>
      <c r="C268" s="0" t="n">
        <v>0.28382304264576</v>
      </c>
      <c r="D268" s="0" t="n">
        <v>-5.38436749146271</v>
      </c>
      <c r="E268" s="0" t="n">
        <v>0.431359598725436</v>
      </c>
      <c r="I268" s="12"/>
      <c r="K268" s="12"/>
      <c r="M268" s="12"/>
      <c r="O268" s="12"/>
      <c r="U268" s="12"/>
      <c r="V268" s="12"/>
      <c r="W268" s="12"/>
    </row>
    <row r="269" customFormat="false" ht="15" hidden="false" customHeight="false" outlineLevel="0" collapsed="false">
      <c r="A269" s="0" t="n">
        <v>260</v>
      </c>
      <c r="B269" s="0" t="n">
        <v>35.9745819397993</v>
      </c>
      <c r="C269" s="0" t="n">
        <v>0.285734221437042</v>
      </c>
      <c r="D269" s="0" t="n">
        <v>-5.42583211674269</v>
      </c>
      <c r="E269" s="0" t="n">
        <v>0.434086712386145</v>
      </c>
      <c r="I269" s="12"/>
      <c r="K269" s="12"/>
      <c r="M269" s="12"/>
      <c r="O269" s="12"/>
      <c r="U269" s="12"/>
      <c r="V269" s="12"/>
      <c r="W269" s="12"/>
    </row>
    <row r="270" customFormat="false" ht="15" hidden="false" customHeight="false" outlineLevel="0" collapsed="false">
      <c r="A270" s="0" t="n">
        <v>261</v>
      </c>
      <c r="B270" s="0" t="n">
        <v>36.0652173913044</v>
      </c>
      <c r="C270" s="0" t="n">
        <v>0.287649227308136</v>
      </c>
      <c r="D270" s="0" t="n">
        <v>-5.46742010797869</v>
      </c>
      <c r="E270" s="0" t="n">
        <v>0.436818453179332</v>
      </c>
      <c r="I270" s="12"/>
      <c r="K270" s="12"/>
      <c r="M270" s="12"/>
      <c r="O270" s="12"/>
      <c r="U270" s="12"/>
      <c r="V270" s="12"/>
      <c r="W270" s="12"/>
    </row>
    <row r="271" customFormat="false" ht="15" hidden="false" customHeight="false" outlineLevel="0" collapsed="false">
      <c r="A271" s="0" t="n">
        <v>262</v>
      </c>
      <c r="B271" s="0" t="n">
        <v>36.1558528428094</v>
      </c>
      <c r="C271" s="0" t="n">
        <v>0.289568027360609</v>
      </c>
      <c r="D271" s="0" t="n">
        <v>-5.50913061240209</v>
      </c>
      <c r="E271" s="0" t="n">
        <v>0.439554780776981</v>
      </c>
      <c r="I271" s="12"/>
      <c r="K271" s="12"/>
      <c r="M271" s="12"/>
      <c r="O271" s="12"/>
      <c r="U271" s="12"/>
      <c r="V271" s="12"/>
      <c r="W271" s="12"/>
    </row>
    <row r="272" customFormat="false" ht="15" hidden="false" customHeight="false" outlineLevel="0" collapsed="false">
      <c r="A272" s="0" t="n">
        <v>263</v>
      </c>
      <c r="B272" s="0" t="n">
        <v>36.2464882943144</v>
      </c>
      <c r="C272" s="0" t="n">
        <v>0.291490588592299</v>
      </c>
      <c r="D272" s="0" t="n">
        <v>-5.55096276967491</v>
      </c>
      <c r="E272" s="0" t="n">
        <v>0.442295654750108</v>
      </c>
      <c r="I272" s="12"/>
      <c r="K272" s="12"/>
      <c r="M272" s="12"/>
      <c r="O272" s="12"/>
      <c r="U272" s="12"/>
      <c r="V272" s="12"/>
      <c r="W272" s="12"/>
    </row>
    <row r="273" customFormat="false" ht="15" hidden="false" customHeight="false" outlineLevel="0" collapsed="false">
      <c r="A273" s="0" t="n">
        <v>264</v>
      </c>
      <c r="B273" s="0" t="n">
        <v>36.3371237458194</v>
      </c>
      <c r="C273" s="0" t="n">
        <v>0.293416877896875</v>
      </c>
      <c r="D273" s="0" t="n">
        <v>-5.59291571187636</v>
      </c>
      <c r="E273" s="0" t="n">
        <v>0.445041034567689</v>
      </c>
      <c r="I273" s="12"/>
      <c r="K273" s="12"/>
      <c r="M273" s="12"/>
      <c r="O273" s="12"/>
      <c r="U273" s="12"/>
      <c r="V273" s="12"/>
      <c r="W273" s="12"/>
    </row>
    <row r="274" customFormat="false" ht="15" hidden="false" customHeight="false" outlineLevel="0" collapsed="false">
      <c r="A274" s="0" t="n">
        <v>265</v>
      </c>
      <c r="B274" s="0" t="n">
        <v>36.4277591973244</v>
      </c>
      <c r="C274" s="0" t="n">
        <v>0.295346862063408</v>
      </c>
      <c r="D274" s="0" t="n">
        <v>-5.63498856348937</v>
      </c>
      <c r="E274" s="0" t="n">
        <v>0.447790879595604</v>
      </c>
      <c r="I274" s="12"/>
      <c r="K274" s="12"/>
      <c r="M274" s="12"/>
      <c r="O274" s="12"/>
      <c r="U274" s="12"/>
      <c r="V274" s="12"/>
      <c r="W274" s="12"/>
    </row>
    <row r="275" customFormat="false" ht="15" hidden="false" customHeight="false" outlineLevel="0" collapsed="false">
      <c r="A275" s="0" t="n">
        <v>266</v>
      </c>
      <c r="B275" s="0" t="n">
        <v>36.5183946488294</v>
      </c>
      <c r="C275" s="0" t="n">
        <v>0.297280507775942</v>
      </c>
      <c r="D275" s="0" t="n">
        <v>-5.6771804413873</v>
      </c>
      <c r="E275" s="0" t="n">
        <v>0.450545149095597</v>
      </c>
      <c r="I275" s="12"/>
      <c r="K275" s="12"/>
      <c r="M275" s="12"/>
      <c r="O275" s="12"/>
      <c r="U275" s="12"/>
      <c r="V275" s="12"/>
      <c r="W275" s="12"/>
    </row>
    <row r="276" customFormat="false" ht="15" hidden="false" customHeight="false" outlineLevel="0" collapsed="false">
      <c r="A276" s="0" t="n">
        <v>267</v>
      </c>
      <c r="B276" s="0" t="n">
        <v>36.6090301003345</v>
      </c>
      <c r="C276" s="0" t="n">
        <v>0.299217781613065</v>
      </c>
      <c r="D276" s="0" t="n">
        <v>-5.71949045482066</v>
      </c>
      <c r="E276" s="0" t="n">
        <v>0.453303802224244</v>
      </c>
      <c r="I276" s="12"/>
      <c r="K276" s="12"/>
      <c r="M276" s="12"/>
      <c r="O276" s="12"/>
      <c r="U276" s="12"/>
      <c r="V276" s="12"/>
      <c r="W276" s="12"/>
    </row>
    <row r="277" customFormat="false" ht="15" hidden="false" customHeight="false" outlineLevel="0" collapsed="false">
      <c r="A277" s="0" t="n">
        <v>268</v>
      </c>
      <c r="B277" s="0" t="n">
        <v>36.6996655518395</v>
      </c>
      <c r="C277" s="0" t="n">
        <v>0.301158650047491</v>
      </c>
      <c r="D277" s="0" t="n">
        <v>-5.76191770540396</v>
      </c>
      <c r="E277" s="0" t="n">
        <v>0.456066798031926</v>
      </c>
      <c r="I277" s="12"/>
      <c r="K277" s="12"/>
      <c r="M277" s="12"/>
      <c r="O277" s="12"/>
      <c r="U277" s="12"/>
      <c r="V277" s="12"/>
      <c r="W277" s="12"/>
    </row>
    <row r="278" customFormat="false" ht="15" hidden="false" customHeight="false" outlineLevel="0" collapsed="false">
      <c r="A278" s="0" t="n">
        <v>269</v>
      </c>
      <c r="B278" s="0" t="n">
        <v>36.7903010033445</v>
      </c>
      <c r="C278" s="0" t="n">
        <v>0.303103079445641</v>
      </c>
      <c r="D278" s="0" t="n">
        <v>-5.80446128710263</v>
      </c>
      <c r="E278" s="0" t="n">
        <v>0.458834095461824</v>
      </c>
      <c r="I278" s="12"/>
      <c r="K278" s="12"/>
      <c r="M278" s="12"/>
      <c r="O278" s="12"/>
      <c r="U278" s="12"/>
      <c r="V278" s="12"/>
      <c r="W278" s="12"/>
    </row>
    <row r="279" customFormat="false" ht="15" hidden="false" customHeight="false" outlineLevel="0" collapsed="false">
      <c r="A279" s="0" t="n">
        <v>270</v>
      </c>
      <c r="B279" s="0" t="n">
        <v>36.8809364548495</v>
      </c>
      <c r="C279" s="0" t="n">
        <v>0.305051036067227</v>
      </c>
      <c r="D279" s="0" t="n">
        <v>-5.84712028622003</v>
      </c>
      <c r="E279" s="0" t="n">
        <v>0.461605653348921</v>
      </c>
      <c r="I279" s="12"/>
      <c r="K279" s="12"/>
      <c r="M279" s="12"/>
      <c r="O279" s="12"/>
      <c r="U279" s="12"/>
      <c r="V279" s="12"/>
      <c r="W279" s="12"/>
    </row>
    <row r="280" customFormat="false" ht="15" hidden="false" customHeight="false" outlineLevel="0" collapsed="false">
      <c r="A280" s="0" t="n">
        <v>271</v>
      </c>
      <c r="B280" s="0" t="n">
        <v>36.9715719063545</v>
      </c>
      <c r="C280" s="0" t="n">
        <v>0.307002486064844</v>
      </c>
      <c r="D280" s="0" t="n">
        <v>-5.88989378138453</v>
      </c>
      <c r="E280" s="0" t="n">
        <v>0.464381430419009</v>
      </c>
      <c r="I280" s="12"/>
      <c r="K280" s="12"/>
      <c r="M280" s="12"/>
      <c r="O280" s="12"/>
      <c r="U280" s="12"/>
      <c r="V280" s="12"/>
      <c r="W280" s="12"/>
    </row>
    <row r="281" customFormat="false" ht="15" hidden="false" customHeight="false" outlineLevel="0" collapsed="false">
      <c r="A281" s="0" t="n">
        <v>272</v>
      </c>
      <c r="B281" s="0" t="n">
        <v>37.0622073578595</v>
      </c>
      <c r="C281" s="0" t="n">
        <v>0.308957395483561</v>
      </c>
      <c r="D281" s="0" t="n">
        <v>-5.93278084353674</v>
      </c>
      <c r="E281" s="0" t="n">
        <v>0.467161385287718</v>
      </c>
      <c r="I281" s="12"/>
      <c r="K281" s="12"/>
      <c r="M281" s="12"/>
      <c r="O281" s="12"/>
      <c r="U281" s="12"/>
      <c r="V281" s="12"/>
      <c r="W281" s="12"/>
    </row>
    <row r="282" customFormat="false" ht="15" hidden="false" customHeight="false" outlineLevel="0" collapsed="false">
      <c r="A282" s="0" t="n">
        <v>273</v>
      </c>
      <c r="B282" s="0" t="n">
        <v>37.1528428093646</v>
      </c>
      <c r="C282" s="0" t="n">
        <v>0.310915730260521</v>
      </c>
      <c r="D282" s="0" t="n">
        <v>-5.97578053591672</v>
      </c>
      <c r="E282" s="0" t="n">
        <v>0.469945476459547</v>
      </c>
      <c r="I282" s="12"/>
      <c r="K282" s="12"/>
      <c r="M282" s="12"/>
      <c r="O282" s="12"/>
      <c r="U282" s="12"/>
      <c r="V282" s="12"/>
      <c r="W282" s="12"/>
    </row>
    <row r="283" customFormat="false" ht="15" hidden="false" customHeight="false" outlineLevel="0" collapsed="false">
      <c r="A283" s="0" t="n">
        <v>274</v>
      </c>
      <c r="B283" s="0" t="n">
        <v>37.2434782608696</v>
      </c>
      <c r="C283" s="0" t="n">
        <v>0.312877456224538</v>
      </c>
      <c r="D283" s="0" t="n">
        <v>-6.01889191405141</v>
      </c>
      <c r="E283" s="0" t="n">
        <v>0.472733662326907</v>
      </c>
      <c r="I283" s="12"/>
      <c r="K283" s="12"/>
      <c r="M283" s="12"/>
      <c r="O283" s="12"/>
      <c r="U283" s="12"/>
      <c r="V283" s="12"/>
      <c r="W283" s="12"/>
    </row>
    <row r="284" customFormat="false" ht="15" hidden="false" customHeight="false" outlineLevel="0" collapsed="false">
      <c r="A284" s="0" t="n">
        <v>275</v>
      </c>
      <c r="B284" s="0" t="n">
        <v>37.3341137123746</v>
      </c>
      <c r="C284" s="0" t="n">
        <v>0.314842539095706</v>
      </c>
      <c r="D284" s="0" t="n">
        <v>-6.06211402574206</v>
      </c>
      <c r="E284" s="0" t="n">
        <v>0.475525901169182</v>
      </c>
      <c r="I284" s="12"/>
      <c r="K284" s="12"/>
      <c r="M284" s="12"/>
      <c r="O284" s="12"/>
      <c r="U284" s="12"/>
      <c r="V284" s="12"/>
      <c r="W284" s="12"/>
    </row>
    <row r="285" customFormat="false" ht="15" hidden="false" customHeight="false" outlineLevel="0" collapsed="false">
      <c r="A285" s="0" t="n">
        <v>276</v>
      </c>
      <c r="B285" s="0" t="n">
        <v>37.4247491638796</v>
      </c>
      <c r="C285" s="0" t="n">
        <v>0.316810944485003</v>
      </c>
      <c r="D285" s="0" t="n">
        <v>-6.10544591105177</v>
      </c>
      <c r="E285" s="0" t="n">
        <v>0.478322151151791</v>
      </c>
      <c r="I285" s="12"/>
      <c r="K285" s="12"/>
      <c r="M285" s="12"/>
      <c r="O285" s="12"/>
      <c r="U285" s="12"/>
      <c r="V285" s="12"/>
      <c r="W285" s="12"/>
    </row>
    <row r="286" customFormat="false" ht="15" hidden="false" customHeight="false" outlineLevel="0" collapsed="false">
      <c r="A286" s="0" t="n">
        <v>277</v>
      </c>
      <c r="B286" s="0" t="n">
        <v>37.5153846153846</v>
      </c>
      <c r="C286" s="0" t="n">
        <v>0.318782637893907</v>
      </c>
      <c r="D286" s="0" t="n">
        <v>-6.14888660229317</v>
      </c>
      <c r="E286" s="0" t="n">
        <v>0.481122370325266</v>
      </c>
      <c r="I286" s="12"/>
      <c r="K286" s="12"/>
      <c r="M286" s="12"/>
      <c r="O286" s="12"/>
      <c r="U286" s="12"/>
      <c r="V286" s="12"/>
      <c r="W286" s="12"/>
    </row>
    <row r="287" customFormat="false" ht="15" hidden="false" customHeight="false" outlineLevel="0" collapsed="false">
      <c r="A287" s="0" t="n">
        <v>278</v>
      </c>
      <c r="B287" s="0" t="n">
        <v>37.6060200668896</v>
      </c>
      <c r="C287" s="0" t="n">
        <v>0.32075758471401</v>
      </c>
      <c r="D287" s="0" t="n">
        <v>-6.19243512401617</v>
      </c>
      <c r="E287" s="0" t="n">
        <v>0.483926516624338</v>
      </c>
      <c r="I287" s="12"/>
      <c r="K287" s="12"/>
      <c r="M287" s="12"/>
      <c r="O287" s="12"/>
      <c r="U287" s="12"/>
      <c r="V287" s="12"/>
      <c r="W287" s="12"/>
    </row>
    <row r="288" customFormat="false" ht="15" hidden="false" customHeight="false" outlineLevel="0" collapsed="false">
      <c r="A288" s="0" t="n">
        <v>279</v>
      </c>
      <c r="B288" s="0" t="n">
        <v>37.6966555183947</v>
      </c>
      <c r="C288" s="0" t="n">
        <v>0.322735750226639</v>
      </c>
      <c r="D288" s="0" t="n">
        <v>-6.23609049299575</v>
      </c>
      <c r="E288" s="0" t="n">
        <v>0.486734547867039</v>
      </c>
      <c r="I288" s="12"/>
      <c r="K288" s="12"/>
      <c r="M288" s="12"/>
      <c r="O288" s="12"/>
      <c r="U288" s="12"/>
      <c r="V288" s="12"/>
      <c r="W288" s="12"/>
    </row>
    <row r="289" customFormat="false" ht="15" hidden="false" customHeight="false" outlineLevel="0" collapsed="false">
      <c r="A289" s="0" t="n">
        <v>280</v>
      </c>
      <c r="B289" s="0" t="n">
        <v>37.7872909698997</v>
      </c>
      <c r="C289" s="0" t="n">
        <v>0.324717099602479</v>
      </c>
      <c r="D289" s="0" t="n">
        <v>-6.27985171821995</v>
      </c>
      <c r="E289" s="0" t="n">
        <v>0.489546421753803</v>
      </c>
      <c r="I289" s="12"/>
      <c r="K289" s="12"/>
      <c r="M289" s="12"/>
      <c r="O289" s="12"/>
      <c r="U289" s="12"/>
      <c r="V289" s="12"/>
      <c r="W289" s="12"/>
    </row>
    <row r="290" customFormat="false" ht="15" hidden="false" customHeight="false" outlineLevel="0" collapsed="false">
      <c r="A290" s="0" t="n">
        <v>281</v>
      </c>
      <c r="B290" s="0" t="n">
        <v>37.8779264214047</v>
      </c>
      <c r="C290" s="0" t="n">
        <v>0.326701597901202</v>
      </c>
      <c r="D290" s="0" t="n">
        <v>-6.3237178008779</v>
      </c>
      <c r="E290" s="0" t="n">
        <v>0.492362095866591</v>
      </c>
      <c r="I290" s="12"/>
      <c r="K290" s="12"/>
      <c r="M290" s="12"/>
      <c r="O290" s="12"/>
      <c r="U290" s="12"/>
      <c r="V290" s="12"/>
      <c r="W290" s="12"/>
    </row>
    <row r="291" customFormat="false" ht="15" hidden="false" customHeight="false" outlineLevel="0" collapsed="false">
      <c r="A291" s="0" t="n">
        <v>282</v>
      </c>
      <c r="B291" s="0" t="n">
        <v>37.9685618729097</v>
      </c>
      <c r="C291" s="0" t="n">
        <v>0.328689210071098</v>
      </c>
      <c r="D291" s="0" t="n">
        <v>-6.36768773434794</v>
      </c>
      <c r="E291" s="0" t="n">
        <v>0.495181527668017</v>
      </c>
      <c r="I291" s="12"/>
      <c r="K291" s="12"/>
      <c r="M291" s="12"/>
      <c r="O291" s="12"/>
      <c r="U291" s="12"/>
      <c r="V291" s="12"/>
      <c r="W291" s="12"/>
    </row>
    <row r="292" customFormat="false" ht="15" hidden="false" customHeight="false" outlineLevel="0" collapsed="false">
      <c r="A292" s="0" t="n">
        <v>283</v>
      </c>
      <c r="B292" s="0" t="n">
        <v>38.0591973244147</v>
      </c>
      <c r="C292" s="0" t="n">
        <v>0.33067990094871</v>
      </c>
      <c r="D292" s="0" t="n">
        <v>-6.41176050418589</v>
      </c>
      <c r="E292" s="0" t="n">
        <v>0.498004674500485</v>
      </c>
      <c r="I292" s="12"/>
      <c r="K292" s="12"/>
      <c r="M292" s="12"/>
      <c r="O292" s="12"/>
      <c r="U292" s="12"/>
      <c r="V292" s="12"/>
      <c r="W292" s="12"/>
    </row>
    <row r="293" customFormat="false" ht="15" hidden="false" customHeight="false" outlineLevel="0" collapsed="false">
      <c r="A293" s="0" t="n">
        <v>284</v>
      </c>
      <c r="B293" s="0" t="n">
        <v>38.1498327759197</v>
      </c>
      <c r="C293" s="0" t="n">
        <v>0.332673635258477</v>
      </c>
      <c r="D293" s="0" t="n">
        <v>-6.45593508811337</v>
      </c>
      <c r="E293" s="0" t="n">
        <v>0.500831493585339</v>
      </c>
      <c r="I293" s="12"/>
      <c r="K293" s="12"/>
      <c r="M293" s="12"/>
      <c r="O293" s="12"/>
      <c r="U293" s="12"/>
      <c r="V293" s="12"/>
      <c r="W293" s="12"/>
    </row>
    <row r="294" customFormat="false" ht="15" hidden="false" customHeight="false" outlineLevel="0" collapsed="false">
      <c r="A294" s="0" t="n">
        <v>285</v>
      </c>
      <c r="B294" s="0" t="n">
        <v>38.2404682274248</v>
      </c>
      <c r="C294" s="0" t="n">
        <v>0.334670377612371</v>
      </c>
      <c r="D294" s="0" t="n">
        <v>-6.50021045600627</v>
      </c>
      <c r="E294" s="0" t="n">
        <v>0.503661942022026</v>
      </c>
      <c r="I294" s="12"/>
      <c r="K294" s="12"/>
      <c r="M294" s="12"/>
      <c r="O294" s="12"/>
      <c r="U294" s="12"/>
      <c r="V294" s="12"/>
      <c r="W294" s="12"/>
    </row>
    <row r="295" customFormat="false" ht="15" hidden="false" customHeight="false" outlineLevel="0" collapsed="false">
      <c r="A295" s="0" t="n">
        <v>286</v>
      </c>
      <c r="B295" s="0" t="n">
        <v>38.3311036789298</v>
      </c>
      <c r="C295" s="0" t="n">
        <v>0.336670092509553</v>
      </c>
      <c r="D295" s="0" t="n">
        <v>-6.54458556988327</v>
      </c>
      <c r="E295" s="0" t="n">
        <v>0.506495976787256</v>
      </c>
      <c r="I295" s="12"/>
      <c r="K295" s="12"/>
      <c r="M295" s="12"/>
      <c r="O295" s="12"/>
      <c r="U295" s="12"/>
      <c r="V295" s="12"/>
      <c r="W295" s="12"/>
    </row>
    <row r="296" customFormat="false" ht="15" hidden="false" customHeight="false" outlineLevel="0" collapsed="false">
      <c r="A296" s="0" t="n">
        <v>287</v>
      </c>
      <c r="B296" s="0" t="n">
        <v>38.4217391304348</v>
      </c>
      <c r="C296" s="0" t="n">
        <v>0.338672744336016</v>
      </c>
      <c r="D296" s="0" t="n">
        <v>-6.58905938389454</v>
      </c>
      <c r="E296" s="0" t="n">
        <v>0.509333554734189</v>
      </c>
      <c r="I296" s="12"/>
      <c r="K296" s="12"/>
      <c r="M296" s="12"/>
      <c r="O296" s="12"/>
      <c r="U296" s="12"/>
      <c r="V296" s="12"/>
      <c r="W296" s="12"/>
    </row>
    <row r="297" customFormat="false" ht="15" hidden="false" customHeight="false" outlineLevel="0" collapsed="false">
      <c r="A297" s="0" t="n">
        <v>288</v>
      </c>
      <c r="B297" s="0" t="n">
        <v>38.5123745819398</v>
      </c>
      <c r="C297" s="0" t="n">
        <v>0.340678297364248</v>
      </c>
      <c r="D297" s="0" t="n">
        <v>-6.63363084431049</v>
      </c>
      <c r="E297" s="0" t="n">
        <v>0.51217463259162</v>
      </c>
      <c r="I297" s="12"/>
      <c r="K297" s="12"/>
      <c r="M297" s="12"/>
      <c r="O297" s="12"/>
      <c r="U297" s="12"/>
      <c r="V297" s="12"/>
      <c r="W297" s="12"/>
    </row>
    <row r="298" customFormat="false" ht="15" hidden="false" customHeight="false" outlineLevel="0" collapsed="false">
      <c r="A298" s="0" t="n">
        <v>289</v>
      </c>
      <c r="B298" s="0" t="n">
        <v>38.6030100334448</v>
      </c>
      <c r="C298" s="0" t="n">
        <v>0.342686715752885</v>
      </c>
      <c r="D298" s="0" t="n">
        <v>-6.67829888951064</v>
      </c>
      <c r="E298" s="0" t="n">
        <v>0.515019166963176</v>
      </c>
      <c r="I298" s="12"/>
      <c r="K298" s="12"/>
      <c r="M298" s="12"/>
      <c r="O298" s="12"/>
      <c r="U298" s="12"/>
      <c r="V298" s="12"/>
      <c r="W298" s="12"/>
    </row>
    <row r="299" customFormat="false" ht="15" hidden="false" customHeight="false" outlineLevel="0" collapsed="false">
      <c r="A299" s="0" t="n">
        <v>290</v>
      </c>
      <c r="B299" s="0" t="n">
        <v>38.6936454849498</v>
      </c>
      <c r="C299" s="0" t="n">
        <v>0.344697963546381</v>
      </c>
      <c r="D299" s="0" t="n">
        <v>-6.72306244997262</v>
      </c>
      <c r="E299" s="0" t="n">
        <v>0.517867114326529</v>
      </c>
      <c r="I299" s="12"/>
      <c r="K299" s="12"/>
      <c r="M299" s="12"/>
      <c r="O299" s="12"/>
      <c r="U299" s="12"/>
      <c r="V299" s="12"/>
      <c r="W299" s="12"/>
    </row>
    <row r="300" customFormat="false" ht="15" hidden="false" customHeight="false" outlineLevel="0" collapsed="false">
      <c r="A300" s="0" t="n">
        <v>291</v>
      </c>
      <c r="B300" s="0" t="n">
        <v>38.7842809364549</v>
      </c>
      <c r="C300" s="0" t="n">
        <v>0.346712004674671</v>
      </c>
      <c r="D300" s="0" t="n">
        <v>-6.76792044826125</v>
      </c>
      <c r="E300" s="0" t="n">
        <v>0.520718431032606</v>
      </c>
      <c r="I300" s="12"/>
      <c r="K300" s="12"/>
      <c r="M300" s="12"/>
      <c r="O300" s="12"/>
      <c r="U300" s="12"/>
      <c r="V300" s="12"/>
      <c r="W300" s="12"/>
    </row>
    <row r="301" customFormat="false" ht="15" hidden="false" customHeight="false" outlineLevel="0" collapsed="false">
      <c r="A301" s="0" t="n">
        <v>292</v>
      </c>
      <c r="B301" s="0" t="n">
        <v>38.8749163879599</v>
      </c>
      <c r="C301" s="0" t="n">
        <v>0.348728802952845</v>
      </c>
      <c r="D301" s="0" t="n">
        <v>-6.81287179901775</v>
      </c>
      <c r="E301" s="0" t="n">
        <v>0.523573073304827</v>
      </c>
      <c r="I301" s="12"/>
      <c r="K301" s="12"/>
      <c r="M301" s="12"/>
      <c r="O301" s="12"/>
      <c r="U301" s="12"/>
      <c r="V301" s="12"/>
      <c r="W301" s="12"/>
    </row>
    <row r="302" customFormat="false" ht="15" hidden="false" customHeight="false" outlineLevel="0" collapsed="false">
      <c r="A302" s="0" t="n">
        <v>293</v>
      </c>
      <c r="B302" s="0" t="n">
        <v>38.9655518394649</v>
      </c>
      <c r="C302" s="0" t="n">
        <v>0.350748322080822</v>
      </c>
      <c r="D302" s="0" t="n">
        <v>-6.85791540894908</v>
      </c>
      <c r="E302" s="0" t="n">
        <v>0.52643099723833</v>
      </c>
      <c r="I302" s="12"/>
      <c r="K302" s="12"/>
      <c r="M302" s="12"/>
      <c r="O302" s="12"/>
      <c r="U302" s="12"/>
      <c r="V302" s="12"/>
      <c r="W302" s="12"/>
    </row>
    <row r="303" customFormat="false" ht="15" hidden="false" customHeight="false" outlineLevel="0" collapsed="false">
      <c r="A303" s="0" t="n">
        <v>294</v>
      </c>
      <c r="B303" s="0" t="n">
        <v>39.0561872909699</v>
      </c>
      <c r="C303" s="0" t="n">
        <v>0.352770525643032</v>
      </c>
      <c r="D303" s="0" t="n">
        <v>-6.90305017681736</v>
      </c>
      <c r="E303" s="0" t="n">
        <v>0.529292158799229</v>
      </c>
      <c r="I303" s="12"/>
      <c r="K303" s="12"/>
      <c r="M303" s="12"/>
      <c r="O303" s="12"/>
      <c r="U303" s="12"/>
      <c r="V303" s="12"/>
      <c r="W303" s="12"/>
    </row>
    <row r="304" customFormat="false" ht="15" hidden="false" customHeight="false" outlineLevel="0" collapsed="false">
      <c r="A304" s="0" t="n">
        <v>295</v>
      </c>
      <c r="B304" s="0" t="n">
        <v>39.1468227424749</v>
      </c>
      <c r="C304" s="0" t="n">
        <v>0.3547953771081</v>
      </c>
      <c r="D304" s="0" t="n">
        <v>-6.94827499342944</v>
      </c>
      <c r="E304" s="0" t="n">
        <v>0.532156513823862</v>
      </c>
      <c r="I304" s="12"/>
      <c r="K304" s="12"/>
      <c r="M304" s="12"/>
      <c r="O304" s="12"/>
      <c r="U304" s="12"/>
      <c r="V304" s="12"/>
      <c r="W304" s="12"/>
    </row>
    <row r="305" customFormat="false" ht="15" hidden="false" customHeight="false" outlineLevel="0" collapsed="false">
      <c r="A305" s="0" t="n">
        <v>296</v>
      </c>
      <c r="B305" s="0" t="n">
        <v>39.2374581939799</v>
      </c>
      <c r="C305" s="0" t="n">
        <v>0.356822839828531</v>
      </c>
      <c r="D305" s="0" t="n">
        <v>-6.99358874162652</v>
      </c>
      <c r="E305" s="0" t="n">
        <v>0.535024018018059</v>
      </c>
      <c r="I305" s="12"/>
      <c r="K305" s="12"/>
      <c r="M305" s="12"/>
      <c r="O305" s="12"/>
      <c r="U305" s="12"/>
      <c r="V305" s="12"/>
      <c r="W305" s="12"/>
    </row>
    <row r="306" customFormat="false" ht="15" hidden="false" customHeight="false" outlineLevel="0" collapsed="false">
      <c r="A306" s="0" t="n">
        <v>297</v>
      </c>
      <c r="B306" s="0" t="n">
        <v>39.328093645485</v>
      </c>
      <c r="C306" s="0" t="n">
        <v>0.358852877040409</v>
      </c>
      <c r="D306" s="0" t="n">
        <v>-7.03899029627401</v>
      </c>
      <c r="E306" s="0" t="n">
        <v>0.53789462695642</v>
      </c>
      <c r="I306" s="12"/>
      <c r="K306" s="12"/>
      <c r="M306" s="12"/>
      <c r="O306" s="12"/>
      <c r="U306" s="12"/>
      <c r="V306" s="12"/>
      <c r="W306" s="12"/>
    </row>
    <row r="307" customFormat="false" ht="15" hidden="false" customHeight="false" outlineLevel="0" collapsed="false">
      <c r="A307" s="0" t="n">
        <v>298</v>
      </c>
      <c r="B307" s="0" t="n">
        <v>39.41872909699</v>
      </c>
      <c r="C307" s="0" t="n">
        <v>0.360885451863086</v>
      </c>
      <c r="D307" s="0" t="n">
        <v>-7.08447852425136</v>
      </c>
      <c r="E307" s="0" t="n">
        <v>0.540768296081594</v>
      </c>
      <c r="I307" s="12"/>
      <c r="K307" s="12"/>
      <c r="M307" s="12"/>
      <c r="O307" s="12"/>
      <c r="U307" s="12"/>
      <c r="V307" s="12"/>
      <c r="W307" s="12"/>
    </row>
    <row r="308" customFormat="false" ht="15" hidden="false" customHeight="false" outlineLevel="0" collapsed="false">
      <c r="A308" s="0" t="n">
        <v>299</v>
      </c>
      <c r="B308" s="0" t="n">
        <v>39.509364548495</v>
      </c>
      <c r="C308" s="0" t="n">
        <v>0.362920527298887</v>
      </c>
      <c r="D308" s="0" t="n">
        <v>-7.13005228444216</v>
      </c>
      <c r="E308" s="0" t="n">
        <v>0.543644980703577</v>
      </c>
      <c r="I308" s="12"/>
      <c r="K308" s="12"/>
      <c r="M308" s="12"/>
      <c r="O308" s="12"/>
      <c r="U308" s="12"/>
      <c r="V308" s="12"/>
      <c r="W308" s="12"/>
    </row>
    <row r="309" customFormat="false" ht="15" hidden="false" customHeight="false" outlineLevel="0" collapsed="false">
      <c r="A309" s="0" t="n">
        <v>300</v>
      </c>
      <c r="B309" s="0" t="n">
        <v>39.6</v>
      </c>
      <c r="C309" s="0" t="n">
        <v>0.364958066232815</v>
      </c>
      <c r="D309" s="0" t="n">
        <v>-7.17571042772422</v>
      </c>
      <c r="E309" s="0" t="n">
        <v>0.546524635999012</v>
      </c>
      <c r="I309" s="12"/>
      <c r="K309" s="12"/>
      <c r="M309" s="12"/>
      <c r="O309" s="12"/>
      <c r="U309" s="12"/>
      <c r="V309" s="12"/>
      <c r="W309" s="12"/>
    </row>
    <row r="310" customFormat="false" ht="15" hidden="false" customHeight="false" outlineLevel="0" collapsed="false">
      <c r="I310" s="12"/>
      <c r="K310" s="12"/>
      <c r="M310" s="12"/>
      <c r="O310" s="12"/>
      <c r="U310" s="12"/>
      <c r="V310" s="12"/>
      <c r="W310" s="12"/>
    </row>
    <row r="311" customFormat="false" ht="15" hidden="false" customHeight="false" outlineLevel="0" collapsed="false">
      <c r="I311" s="12"/>
      <c r="K311" s="12"/>
    </row>
    <row r="312" customFormat="false" ht="15" hidden="false" customHeight="false" outlineLevel="0" collapsed="false">
      <c r="I312" s="12"/>
      <c r="K312" s="12"/>
    </row>
    <row r="313" customFormat="false" ht="15" hidden="false" customHeight="false" outlineLevel="0" collapsed="false">
      <c r="I313" s="12"/>
      <c r="K313" s="12"/>
    </row>
    <row r="314" customFormat="false" ht="15" hidden="false" customHeight="false" outlineLevel="0" collapsed="false">
      <c r="I314" s="12"/>
      <c r="K314" s="12"/>
    </row>
    <row r="315" customFormat="false" ht="15" hidden="false" customHeight="false" outlineLevel="0" collapsed="false">
      <c r="I315" s="12"/>
      <c r="K315" s="12"/>
    </row>
    <row r="316" customFormat="false" ht="15" hidden="false" customHeight="false" outlineLevel="0" collapsed="false">
      <c r="I316" s="12"/>
      <c r="K316" s="12"/>
    </row>
    <row r="317" customFormat="false" ht="15" hidden="false" customHeight="false" outlineLevel="0" collapsed="false">
      <c r="I317" s="12"/>
      <c r="K317" s="12"/>
    </row>
    <row r="318" customFormat="false" ht="15" hidden="false" customHeight="false" outlineLevel="0" collapsed="false">
      <c r="I318" s="12"/>
      <c r="K318" s="12"/>
    </row>
    <row r="319" customFormat="false" ht="15" hidden="false" customHeight="false" outlineLevel="0" collapsed="false">
      <c r="I319" s="12"/>
      <c r="K319" s="12"/>
    </row>
    <row r="320" customFormat="false" ht="15" hidden="false" customHeight="false" outlineLevel="0" collapsed="false">
      <c r="I320" s="12"/>
      <c r="K320" s="12"/>
    </row>
    <row r="321" customFormat="false" ht="15" hidden="false" customHeight="false" outlineLevel="0" collapsed="false">
      <c r="I321" s="12"/>
      <c r="K321" s="12"/>
    </row>
    <row r="322" customFormat="false" ht="15" hidden="false" customHeight="false" outlineLevel="0" collapsed="false">
      <c r="I322" s="12"/>
      <c r="K322" s="12"/>
    </row>
    <row r="323" customFormat="false" ht="15" hidden="false" customHeight="false" outlineLevel="0" collapsed="false">
      <c r="I323" s="12"/>
      <c r="K323" s="12"/>
    </row>
    <row r="324" customFormat="false" ht="15" hidden="false" customHeight="false" outlineLevel="0" collapsed="false">
      <c r="I324" s="12"/>
      <c r="K324" s="12"/>
    </row>
    <row r="325" customFormat="false" ht="15" hidden="false" customHeight="false" outlineLevel="0" collapsed="false">
      <c r="I325" s="12"/>
      <c r="K325" s="12"/>
    </row>
    <row r="326" customFormat="false" ht="15" hidden="false" customHeight="false" outlineLevel="0" collapsed="false">
      <c r="I326" s="12"/>
      <c r="K326" s="12"/>
    </row>
    <row r="327" customFormat="false" ht="15" hidden="false" customHeight="false" outlineLevel="0" collapsed="false">
      <c r="I327" s="12"/>
      <c r="K327" s="12"/>
    </row>
    <row r="328" customFormat="false" ht="15" hidden="false" customHeight="false" outlineLevel="0" collapsed="false">
      <c r="I328" s="12"/>
      <c r="K328" s="12"/>
    </row>
    <row r="329" customFormat="false" ht="15" hidden="false" customHeight="false" outlineLevel="0" collapsed="false">
      <c r="I329" s="12"/>
      <c r="K329" s="12"/>
    </row>
    <row r="330" customFormat="false" ht="15" hidden="false" customHeight="false" outlineLevel="0" collapsed="false">
      <c r="I330" s="12"/>
      <c r="K330" s="12"/>
    </row>
    <row r="331" customFormat="false" ht="15" hidden="false" customHeight="false" outlineLevel="0" collapsed="false">
      <c r="I331" s="12"/>
      <c r="K331" s="12"/>
    </row>
    <row r="332" customFormat="false" ht="15" hidden="false" customHeight="false" outlineLevel="0" collapsed="false">
      <c r="I332" s="12"/>
      <c r="K332" s="12"/>
    </row>
    <row r="333" customFormat="false" ht="15" hidden="false" customHeight="false" outlineLevel="0" collapsed="false">
      <c r="I333" s="12"/>
      <c r="K333" s="12"/>
    </row>
    <row r="334" customFormat="false" ht="15" hidden="false" customHeight="false" outlineLevel="0" collapsed="false">
      <c r="I334" s="12"/>
      <c r="K334" s="12"/>
    </row>
    <row r="335" customFormat="false" ht="15" hidden="false" customHeight="false" outlineLevel="0" collapsed="false">
      <c r="I335" s="12"/>
      <c r="K335" s="12"/>
    </row>
    <row r="336" customFormat="false" ht="15" hidden="false" customHeight="false" outlineLevel="0" collapsed="false">
      <c r="I336" s="12"/>
      <c r="K336" s="12"/>
    </row>
    <row r="337" customFormat="false" ht="15" hidden="false" customHeight="false" outlineLevel="0" collapsed="false">
      <c r="I337" s="12"/>
      <c r="K337" s="12"/>
    </row>
    <row r="338" customFormat="false" ht="15" hidden="false" customHeight="false" outlineLevel="0" collapsed="false">
      <c r="I338" s="12"/>
      <c r="K338" s="12"/>
    </row>
    <row r="339" customFormat="false" ht="15" hidden="false" customHeight="false" outlineLevel="0" collapsed="false">
      <c r="I339" s="12"/>
      <c r="K339" s="12"/>
    </row>
    <row r="340" customFormat="false" ht="15" hidden="false" customHeight="false" outlineLevel="0" collapsed="false">
      <c r="I340" s="12"/>
      <c r="K340" s="12"/>
    </row>
    <row r="341" customFormat="false" ht="15" hidden="false" customHeight="false" outlineLevel="0" collapsed="false">
      <c r="I341" s="12"/>
      <c r="K341" s="12"/>
    </row>
    <row r="342" customFormat="false" ht="15" hidden="false" customHeight="false" outlineLevel="0" collapsed="false">
      <c r="I342" s="12"/>
      <c r="K342" s="12"/>
    </row>
    <row r="343" customFormat="false" ht="15" hidden="false" customHeight="false" outlineLevel="0" collapsed="false">
      <c r="I343" s="12"/>
      <c r="K343" s="12"/>
    </row>
    <row r="344" customFormat="false" ht="15" hidden="false" customHeight="false" outlineLevel="0" collapsed="false">
      <c r="I344" s="12"/>
      <c r="K344" s="12"/>
    </row>
    <row r="345" customFormat="false" ht="15" hidden="false" customHeight="false" outlineLevel="0" collapsed="false">
      <c r="I345" s="12"/>
      <c r="K345" s="12"/>
    </row>
    <row r="346" customFormat="false" ht="15" hidden="false" customHeight="false" outlineLevel="0" collapsed="false">
      <c r="I346" s="12"/>
      <c r="K346" s="12"/>
    </row>
    <row r="347" customFormat="false" ht="15" hidden="false" customHeight="false" outlineLevel="0" collapsed="false">
      <c r="I347" s="12"/>
      <c r="K347" s="12"/>
    </row>
    <row r="348" customFormat="false" ht="15" hidden="false" customHeight="false" outlineLevel="0" collapsed="false">
      <c r="I348" s="12"/>
      <c r="K348" s="12"/>
    </row>
    <row r="349" customFormat="false" ht="15" hidden="false" customHeight="false" outlineLevel="0" collapsed="false">
      <c r="I349" s="12"/>
      <c r="K349" s="12"/>
    </row>
    <row r="350" customFormat="false" ht="15" hidden="false" customHeight="false" outlineLevel="0" collapsed="false">
      <c r="I350" s="12"/>
      <c r="K350" s="12"/>
    </row>
    <row r="351" customFormat="false" ht="15" hidden="false" customHeight="false" outlineLevel="0" collapsed="false">
      <c r="I351" s="12"/>
      <c r="K351" s="12"/>
    </row>
    <row r="352" customFormat="false" ht="15" hidden="false" customHeight="false" outlineLevel="0" collapsed="false">
      <c r="I352" s="12"/>
      <c r="K352" s="12"/>
    </row>
    <row r="353" customFormat="false" ht="15" hidden="false" customHeight="false" outlineLevel="0" collapsed="false">
      <c r="I353" s="12"/>
      <c r="K353" s="12"/>
    </row>
    <row r="354" customFormat="false" ht="15" hidden="false" customHeight="false" outlineLevel="0" collapsed="false">
      <c r="I354" s="12"/>
      <c r="K354" s="12"/>
    </row>
    <row r="355" customFormat="false" ht="15" hidden="false" customHeight="false" outlineLevel="0" collapsed="false">
      <c r="I355" s="12"/>
      <c r="K355" s="12"/>
    </row>
    <row r="356" customFormat="false" ht="15" hidden="false" customHeight="false" outlineLevel="0" collapsed="false">
      <c r="I356" s="12"/>
      <c r="K356" s="12"/>
    </row>
    <row r="357" customFormat="false" ht="15" hidden="false" customHeight="false" outlineLevel="0" collapsed="false">
      <c r="I357" s="12"/>
      <c r="K357" s="12"/>
    </row>
    <row r="358" customFormat="false" ht="15" hidden="false" customHeight="false" outlineLevel="0" collapsed="false">
      <c r="I358" s="12"/>
      <c r="K358" s="12"/>
    </row>
    <row r="359" customFormat="false" ht="15" hidden="false" customHeight="false" outlineLevel="0" collapsed="false">
      <c r="I359" s="12"/>
      <c r="K359" s="12"/>
    </row>
    <row r="360" customFormat="false" ht="15" hidden="false" customHeight="false" outlineLevel="0" collapsed="false">
      <c r="I360" s="12"/>
      <c r="K360" s="12"/>
    </row>
    <row r="361" customFormat="false" ht="15" hidden="false" customHeight="false" outlineLevel="0" collapsed="false">
      <c r="I361" s="12"/>
      <c r="K361" s="12"/>
    </row>
    <row r="362" customFormat="false" ht="15" hidden="false" customHeight="false" outlineLevel="0" collapsed="false">
      <c r="I362" s="12"/>
      <c r="K362" s="12"/>
    </row>
    <row r="363" customFormat="false" ht="15" hidden="false" customHeight="false" outlineLevel="0" collapsed="false">
      <c r="I363" s="12"/>
      <c r="K363" s="12"/>
    </row>
    <row r="364" customFormat="false" ht="15" hidden="false" customHeight="false" outlineLevel="0" collapsed="false">
      <c r="I364" s="12"/>
      <c r="K364" s="12"/>
    </row>
    <row r="365" customFormat="false" ht="15" hidden="false" customHeight="false" outlineLevel="0" collapsed="false">
      <c r="I365" s="12"/>
      <c r="K365" s="12"/>
    </row>
    <row r="366" customFormat="false" ht="15" hidden="false" customHeight="false" outlineLevel="0" collapsed="false">
      <c r="I366" s="12"/>
      <c r="K366" s="12"/>
    </row>
    <row r="367" customFormat="false" ht="15" hidden="false" customHeight="false" outlineLevel="0" collapsed="false">
      <c r="I367" s="12"/>
      <c r="K367" s="12"/>
    </row>
    <row r="368" customFormat="false" ht="15" hidden="false" customHeight="false" outlineLevel="0" collapsed="false">
      <c r="I368" s="12"/>
      <c r="K368" s="12"/>
    </row>
    <row r="369" customFormat="false" ht="15" hidden="false" customHeight="false" outlineLevel="0" collapsed="false">
      <c r="I369" s="12"/>
      <c r="K369" s="12"/>
    </row>
    <row r="370" customFormat="false" ht="15" hidden="false" customHeight="false" outlineLevel="0" collapsed="false">
      <c r="I370" s="12"/>
      <c r="K370" s="12"/>
    </row>
    <row r="371" customFormat="false" ht="15" hidden="false" customHeight="false" outlineLevel="0" collapsed="false">
      <c r="I371" s="12"/>
      <c r="K371" s="12"/>
    </row>
    <row r="372" customFormat="false" ht="15" hidden="false" customHeight="false" outlineLevel="0" collapsed="false">
      <c r="I372" s="12"/>
      <c r="K372" s="12"/>
    </row>
    <row r="373" customFormat="false" ht="15" hidden="false" customHeight="false" outlineLevel="0" collapsed="false">
      <c r="I373" s="12"/>
      <c r="K373" s="12"/>
    </row>
    <row r="374" customFormat="false" ht="15" hidden="false" customHeight="false" outlineLevel="0" collapsed="false">
      <c r="I374" s="12"/>
      <c r="K374" s="12"/>
    </row>
    <row r="375" customFormat="false" ht="15" hidden="false" customHeight="false" outlineLevel="0" collapsed="false">
      <c r="I375" s="12"/>
      <c r="K375" s="12"/>
    </row>
    <row r="376" customFormat="false" ht="15" hidden="false" customHeight="false" outlineLevel="0" collapsed="false">
      <c r="I376" s="12"/>
      <c r="K376" s="12"/>
    </row>
    <row r="377" customFormat="false" ht="15" hidden="false" customHeight="false" outlineLevel="0" collapsed="false">
      <c r="I377" s="12"/>
      <c r="K377" s="12"/>
    </row>
    <row r="378" customFormat="false" ht="15" hidden="false" customHeight="false" outlineLevel="0" collapsed="false">
      <c r="I378" s="12"/>
      <c r="K378" s="12"/>
    </row>
    <row r="379" customFormat="false" ht="15" hidden="false" customHeight="false" outlineLevel="0" collapsed="false">
      <c r="I379" s="12"/>
      <c r="K379" s="12"/>
    </row>
    <row r="380" customFormat="false" ht="15" hidden="false" customHeight="false" outlineLevel="0" collapsed="false">
      <c r="I380" s="12"/>
      <c r="K380" s="12"/>
    </row>
    <row r="381" customFormat="false" ht="15" hidden="false" customHeight="false" outlineLevel="0" collapsed="false">
      <c r="I381" s="12"/>
      <c r="K381" s="12"/>
    </row>
    <row r="382" customFormat="false" ht="15" hidden="false" customHeight="false" outlineLevel="0" collapsed="false">
      <c r="I382" s="12"/>
      <c r="K382" s="12"/>
    </row>
    <row r="383" customFormat="false" ht="15" hidden="false" customHeight="false" outlineLevel="0" collapsed="false">
      <c r="I383" s="12"/>
      <c r="K383" s="12"/>
    </row>
    <row r="384" customFormat="false" ht="15" hidden="false" customHeight="false" outlineLevel="0" collapsed="false">
      <c r="I384" s="12"/>
      <c r="K384" s="12"/>
    </row>
    <row r="385" customFormat="false" ht="15" hidden="false" customHeight="false" outlineLevel="0" collapsed="false">
      <c r="I385" s="12"/>
      <c r="K385" s="12"/>
    </row>
    <row r="386" customFormat="false" ht="15" hidden="false" customHeight="false" outlineLevel="0" collapsed="false">
      <c r="I386" s="12"/>
      <c r="K386" s="12"/>
    </row>
    <row r="387" customFormat="false" ht="15" hidden="false" customHeight="false" outlineLevel="0" collapsed="false">
      <c r="I387" s="12"/>
      <c r="K387" s="12"/>
    </row>
    <row r="388" customFormat="false" ht="15" hidden="false" customHeight="false" outlineLevel="0" collapsed="false">
      <c r="I388" s="12"/>
      <c r="K388" s="12"/>
    </row>
    <row r="389" customFormat="false" ht="15" hidden="false" customHeight="false" outlineLevel="0" collapsed="false">
      <c r="I389" s="12"/>
      <c r="K389" s="12"/>
    </row>
    <row r="390" customFormat="false" ht="15" hidden="false" customHeight="false" outlineLevel="0" collapsed="false">
      <c r="I390" s="12"/>
      <c r="K390" s="12"/>
    </row>
    <row r="391" customFormat="false" ht="15" hidden="false" customHeight="false" outlineLevel="0" collapsed="false">
      <c r="I391" s="12"/>
      <c r="K391" s="12"/>
    </row>
    <row r="392" customFormat="false" ht="15" hidden="false" customHeight="false" outlineLevel="0" collapsed="false">
      <c r="I392" s="12"/>
      <c r="K392" s="12"/>
    </row>
    <row r="393" customFormat="false" ht="15" hidden="false" customHeight="false" outlineLevel="0" collapsed="false">
      <c r="I393" s="12"/>
      <c r="K393" s="12"/>
    </row>
    <row r="394" customFormat="false" ht="15" hidden="false" customHeight="false" outlineLevel="0" collapsed="false">
      <c r="I394" s="12"/>
      <c r="K394" s="12"/>
    </row>
    <row r="395" customFormat="false" ht="15" hidden="false" customHeight="false" outlineLevel="0" collapsed="false">
      <c r="I395" s="12"/>
      <c r="K395" s="12"/>
    </row>
    <row r="396" customFormat="false" ht="15" hidden="false" customHeight="false" outlineLevel="0" collapsed="false">
      <c r="I396" s="12"/>
      <c r="K396" s="12"/>
    </row>
    <row r="397" customFormat="false" ht="15" hidden="false" customHeight="false" outlineLevel="0" collapsed="false">
      <c r="I397" s="12"/>
      <c r="K397" s="12"/>
    </row>
    <row r="398" customFormat="false" ht="15" hidden="false" customHeight="false" outlineLevel="0" collapsed="false">
      <c r="I398" s="12"/>
      <c r="K398" s="12"/>
    </row>
    <row r="399" customFormat="false" ht="15" hidden="false" customHeight="false" outlineLevel="0" collapsed="false">
      <c r="I399" s="12"/>
      <c r="K399" s="12"/>
    </row>
    <row r="400" customFormat="false" ht="15" hidden="false" customHeight="false" outlineLevel="0" collapsed="false">
      <c r="I400" s="12"/>
      <c r="K400" s="12"/>
    </row>
    <row r="401" customFormat="false" ht="15" hidden="false" customHeight="false" outlineLevel="0" collapsed="false">
      <c r="I401" s="12"/>
      <c r="K401" s="12"/>
    </row>
    <row r="402" customFormat="false" ht="15" hidden="false" customHeight="false" outlineLevel="0" collapsed="false">
      <c r="I402" s="12"/>
      <c r="K402" s="12"/>
    </row>
    <row r="403" customFormat="false" ht="15" hidden="false" customHeight="false" outlineLevel="0" collapsed="false">
      <c r="I403" s="12"/>
      <c r="K403" s="12"/>
    </row>
    <row r="404" customFormat="false" ht="15" hidden="false" customHeight="false" outlineLevel="0" collapsed="false">
      <c r="I404" s="12"/>
      <c r="K404" s="12"/>
    </row>
    <row r="405" customFormat="false" ht="15" hidden="false" customHeight="false" outlineLevel="0" collapsed="false">
      <c r="I405" s="12"/>
      <c r="K405" s="12"/>
    </row>
    <row r="406" customFormat="false" ht="15" hidden="false" customHeight="false" outlineLevel="0" collapsed="false">
      <c r="I406" s="12"/>
      <c r="K406" s="12"/>
    </row>
    <row r="407" customFormat="false" ht="15" hidden="false" customHeight="false" outlineLevel="0" collapsed="false">
      <c r="I407" s="12"/>
      <c r="K407" s="12"/>
    </row>
    <row r="408" customFormat="false" ht="15" hidden="false" customHeight="false" outlineLevel="0" collapsed="false">
      <c r="I408" s="12"/>
      <c r="K408" s="12"/>
    </row>
    <row r="409" customFormat="false" ht="15" hidden="false" customHeight="false" outlineLevel="0" collapsed="false">
      <c r="I409" s="12"/>
      <c r="K409" s="12"/>
    </row>
    <row r="410" customFormat="false" ht="15" hidden="false" customHeight="false" outlineLevel="0" collapsed="false">
      <c r="I410" s="12"/>
      <c r="K410" s="12"/>
    </row>
    <row r="411" customFormat="false" ht="15" hidden="false" customHeight="false" outlineLevel="0" collapsed="false">
      <c r="I411" s="12"/>
      <c r="K411" s="12"/>
    </row>
    <row r="412" customFormat="false" ht="15" hidden="false" customHeight="false" outlineLevel="0" collapsed="false">
      <c r="I412" s="12"/>
      <c r="K412" s="12"/>
    </row>
    <row r="413" customFormat="false" ht="15" hidden="false" customHeight="false" outlineLevel="0" collapsed="false">
      <c r="I413" s="12"/>
      <c r="K413" s="12"/>
    </row>
    <row r="414" customFormat="false" ht="15" hidden="false" customHeight="false" outlineLevel="0" collapsed="false">
      <c r="I414" s="12"/>
      <c r="K414" s="12"/>
    </row>
    <row r="415" customFormat="false" ht="15" hidden="false" customHeight="false" outlineLevel="0" collapsed="false">
      <c r="I415" s="12"/>
      <c r="K415" s="12"/>
    </row>
    <row r="416" customFormat="false" ht="15" hidden="false" customHeight="false" outlineLevel="0" collapsed="false">
      <c r="I416" s="12"/>
      <c r="K416" s="12"/>
    </row>
    <row r="417" customFormat="false" ht="15" hidden="false" customHeight="false" outlineLevel="0" collapsed="false">
      <c r="I417" s="12"/>
      <c r="K417" s="12"/>
    </row>
    <row r="418" customFormat="false" ht="15" hidden="false" customHeight="false" outlineLevel="0" collapsed="false">
      <c r="I418" s="12"/>
      <c r="K418" s="12"/>
    </row>
    <row r="419" customFormat="false" ht="15" hidden="false" customHeight="false" outlineLevel="0" collapsed="false">
      <c r="I419" s="12"/>
      <c r="K419" s="12"/>
    </row>
    <row r="420" customFormat="false" ht="15" hidden="false" customHeight="false" outlineLevel="0" collapsed="false">
      <c r="I420" s="12"/>
      <c r="K420" s="12"/>
    </row>
    <row r="421" customFormat="false" ht="15" hidden="false" customHeight="false" outlineLevel="0" collapsed="false">
      <c r="I421" s="12"/>
      <c r="K421" s="12"/>
    </row>
    <row r="422" customFormat="false" ht="15" hidden="false" customHeight="false" outlineLevel="0" collapsed="false">
      <c r="I422" s="12"/>
      <c r="K422" s="12"/>
    </row>
    <row r="423" customFormat="false" ht="15" hidden="false" customHeight="false" outlineLevel="0" collapsed="false">
      <c r="I423" s="12"/>
      <c r="K423" s="12"/>
    </row>
    <row r="424" customFormat="false" ht="15" hidden="false" customHeight="false" outlineLevel="0" collapsed="false">
      <c r="I424" s="12"/>
      <c r="K424" s="12"/>
    </row>
    <row r="425" customFormat="false" ht="15" hidden="false" customHeight="false" outlineLevel="0" collapsed="false">
      <c r="I425" s="12"/>
      <c r="K425" s="12"/>
    </row>
    <row r="426" customFormat="false" ht="15" hidden="false" customHeight="false" outlineLevel="0" collapsed="false">
      <c r="I426" s="12"/>
      <c r="K426" s="12"/>
    </row>
    <row r="427" customFormat="false" ht="15" hidden="false" customHeight="false" outlineLevel="0" collapsed="false">
      <c r="I427" s="12"/>
      <c r="K427" s="12"/>
    </row>
    <row r="428" customFormat="false" ht="15" hidden="false" customHeight="false" outlineLevel="0" collapsed="false">
      <c r="I428" s="12"/>
      <c r="K428" s="12"/>
    </row>
    <row r="429" customFormat="false" ht="15" hidden="false" customHeight="false" outlineLevel="0" collapsed="false">
      <c r="I429" s="12"/>
      <c r="K429" s="12"/>
    </row>
    <row r="430" customFormat="false" ht="15" hidden="false" customHeight="false" outlineLevel="0" collapsed="false">
      <c r="I430" s="12"/>
      <c r="K430" s="12"/>
    </row>
    <row r="431" customFormat="false" ht="15" hidden="false" customHeight="false" outlineLevel="0" collapsed="false">
      <c r="I431" s="12"/>
      <c r="K431" s="12"/>
    </row>
    <row r="432" customFormat="false" ht="15" hidden="false" customHeight="false" outlineLevel="0" collapsed="false">
      <c r="I432" s="12"/>
      <c r="K432" s="12"/>
    </row>
    <row r="433" customFormat="false" ht="15" hidden="false" customHeight="false" outlineLevel="0" collapsed="false">
      <c r="I433" s="12"/>
      <c r="K433" s="12"/>
    </row>
    <row r="434" customFormat="false" ht="15" hidden="false" customHeight="false" outlineLevel="0" collapsed="false">
      <c r="I434" s="12"/>
      <c r="K434" s="12"/>
    </row>
    <row r="435" customFormat="false" ht="15" hidden="false" customHeight="false" outlineLevel="0" collapsed="false">
      <c r="I435" s="12"/>
      <c r="K435" s="12"/>
    </row>
    <row r="436" customFormat="false" ht="15" hidden="false" customHeight="false" outlineLevel="0" collapsed="false">
      <c r="I436" s="12"/>
      <c r="K436" s="12"/>
    </row>
    <row r="437" customFormat="false" ht="15" hidden="false" customHeight="false" outlineLevel="0" collapsed="false">
      <c r="I437" s="12"/>
      <c r="K437" s="12"/>
    </row>
    <row r="438" customFormat="false" ht="15" hidden="false" customHeight="false" outlineLevel="0" collapsed="false">
      <c r="I438" s="12"/>
      <c r="K438" s="12"/>
    </row>
    <row r="439" customFormat="false" ht="15" hidden="false" customHeight="false" outlineLevel="0" collapsed="false">
      <c r="I439" s="12"/>
      <c r="K439" s="12"/>
    </row>
    <row r="440" customFormat="false" ht="15" hidden="false" customHeight="false" outlineLevel="0" collapsed="false">
      <c r="I440" s="12"/>
      <c r="K440" s="12"/>
    </row>
    <row r="441" customFormat="false" ht="15" hidden="false" customHeight="false" outlineLevel="0" collapsed="false">
      <c r="I441" s="12"/>
      <c r="K441" s="12"/>
    </row>
    <row r="442" customFormat="false" ht="15" hidden="false" customHeight="false" outlineLevel="0" collapsed="false">
      <c r="I442" s="12"/>
      <c r="K442" s="12"/>
    </row>
    <row r="443" customFormat="false" ht="15" hidden="false" customHeight="false" outlineLevel="0" collapsed="false">
      <c r="I443" s="12"/>
      <c r="K443" s="12"/>
    </row>
    <row r="444" customFormat="false" ht="15" hidden="false" customHeight="false" outlineLevel="0" collapsed="false">
      <c r="I444" s="12"/>
      <c r="K444" s="12"/>
    </row>
    <row r="445" customFormat="false" ht="15" hidden="false" customHeight="false" outlineLevel="0" collapsed="false">
      <c r="I445" s="12"/>
      <c r="K445" s="12"/>
    </row>
    <row r="446" customFormat="false" ht="15" hidden="false" customHeight="false" outlineLevel="0" collapsed="false">
      <c r="I446" s="12"/>
      <c r="K446" s="12"/>
    </row>
    <row r="447" customFormat="false" ht="15" hidden="false" customHeight="false" outlineLevel="0" collapsed="false">
      <c r="I447" s="12"/>
      <c r="K447" s="12"/>
    </row>
    <row r="448" customFormat="false" ht="15" hidden="false" customHeight="false" outlineLevel="0" collapsed="false">
      <c r="I448" s="12"/>
      <c r="K448" s="12"/>
    </row>
    <row r="449" customFormat="false" ht="15" hidden="false" customHeight="false" outlineLevel="0" collapsed="false">
      <c r="I449" s="12"/>
      <c r="K449" s="12"/>
    </row>
    <row r="450" customFormat="false" ht="15" hidden="false" customHeight="false" outlineLevel="0" collapsed="false">
      <c r="I450" s="12"/>
      <c r="K450" s="12"/>
    </row>
    <row r="451" customFormat="false" ht="15" hidden="false" customHeight="false" outlineLevel="0" collapsed="false">
      <c r="I451" s="12"/>
      <c r="K451" s="12"/>
    </row>
    <row r="452" customFormat="false" ht="15" hidden="false" customHeight="false" outlineLevel="0" collapsed="false">
      <c r="I452" s="12"/>
      <c r="K452" s="12"/>
    </row>
    <row r="453" customFormat="false" ht="15" hidden="false" customHeight="false" outlineLevel="0" collapsed="false">
      <c r="I453" s="12"/>
      <c r="K453" s="12"/>
    </row>
    <row r="454" customFormat="false" ht="15" hidden="false" customHeight="false" outlineLevel="0" collapsed="false">
      <c r="I454" s="12"/>
      <c r="K454" s="12"/>
    </row>
    <row r="455" customFormat="false" ht="15" hidden="false" customHeight="false" outlineLevel="0" collapsed="false">
      <c r="I455" s="12"/>
      <c r="K455" s="12"/>
    </row>
    <row r="456" customFormat="false" ht="15" hidden="false" customHeight="false" outlineLevel="0" collapsed="false">
      <c r="I456" s="12"/>
      <c r="K456" s="12"/>
    </row>
    <row r="457" customFormat="false" ht="15" hidden="false" customHeight="false" outlineLevel="0" collapsed="false">
      <c r="I457" s="12"/>
      <c r="K457" s="12"/>
    </row>
    <row r="458" customFormat="false" ht="15" hidden="false" customHeight="false" outlineLevel="0" collapsed="false">
      <c r="I458" s="12"/>
      <c r="K458" s="12"/>
    </row>
    <row r="459" customFormat="false" ht="15" hidden="false" customHeight="false" outlineLevel="0" collapsed="false">
      <c r="I459" s="12"/>
      <c r="K459" s="12"/>
    </row>
    <row r="460" customFormat="false" ht="15" hidden="false" customHeight="false" outlineLevel="0" collapsed="false">
      <c r="I460" s="12"/>
      <c r="K460" s="12"/>
    </row>
    <row r="461" customFormat="false" ht="15" hidden="false" customHeight="false" outlineLevel="0" collapsed="false">
      <c r="I461" s="12"/>
      <c r="K461" s="12"/>
    </row>
    <row r="462" customFormat="false" ht="15" hidden="false" customHeight="false" outlineLevel="0" collapsed="false">
      <c r="I462" s="12"/>
      <c r="K462" s="12"/>
    </row>
    <row r="463" customFormat="false" ht="15" hidden="false" customHeight="false" outlineLevel="0" collapsed="false">
      <c r="I463" s="12"/>
      <c r="K463" s="12"/>
    </row>
    <row r="464" customFormat="false" ht="15" hidden="false" customHeight="false" outlineLevel="0" collapsed="false">
      <c r="I464" s="12"/>
      <c r="K464" s="12"/>
    </row>
    <row r="465" customFormat="false" ht="15" hidden="false" customHeight="false" outlineLevel="0" collapsed="false">
      <c r="I465" s="12"/>
      <c r="K465" s="12"/>
    </row>
    <row r="466" customFormat="false" ht="15" hidden="false" customHeight="false" outlineLevel="0" collapsed="false">
      <c r="I466" s="12"/>
      <c r="K466" s="12"/>
    </row>
    <row r="467" customFormat="false" ht="15" hidden="false" customHeight="false" outlineLevel="0" collapsed="false">
      <c r="I467" s="12"/>
      <c r="K467" s="12"/>
    </row>
    <row r="468" customFormat="false" ht="15" hidden="false" customHeight="false" outlineLevel="0" collapsed="false">
      <c r="I468" s="12"/>
      <c r="K468" s="12"/>
    </row>
    <row r="469" customFormat="false" ht="15" hidden="false" customHeight="false" outlineLevel="0" collapsed="false">
      <c r="I469" s="12"/>
      <c r="K469" s="12"/>
    </row>
    <row r="470" customFormat="false" ht="15" hidden="false" customHeight="false" outlineLevel="0" collapsed="false">
      <c r="I470" s="12"/>
      <c r="K470" s="12"/>
    </row>
    <row r="471" customFormat="false" ht="15" hidden="false" customHeight="false" outlineLevel="0" collapsed="false">
      <c r="I471" s="12"/>
      <c r="K471" s="12"/>
    </row>
    <row r="472" customFormat="false" ht="15" hidden="false" customHeight="false" outlineLevel="0" collapsed="false">
      <c r="I472" s="12"/>
      <c r="K472" s="12"/>
    </row>
    <row r="473" customFormat="false" ht="15" hidden="false" customHeight="false" outlineLevel="0" collapsed="false">
      <c r="I473" s="12"/>
      <c r="K473" s="12"/>
    </row>
    <row r="474" customFormat="false" ht="15" hidden="false" customHeight="false" outlineLevel="0" collapsed="false">
      <c r="I474" s="12"/>
      <c r="K474" s="12"/>
    </row>
    <row r="475" customFormat="false" ht="15" hidden="false" customHeight="false" outlineLevel="0" collapsed="false">
      <c r="I475" s="12"/>
      <c r="K475" s="12"/>
    </row>
    <row r="476" customFormat="false" ht="15" hidden="false" customHeight="false" outlineLevel="0" collapsed="false">
      <c r="I476" s="12"/>
      <c r="K476" s="12"/>
    </row>
    <row r="477" customFormat="false" ht="15" hidden="false" customHeight="false" outlineLevel="0" collapsed="false">
      <c r="I477" s="12"/>
      <c r="K477" s="12"/>
    </row>
    <row r="478" customFormat="false" ht="15" hidden="false" customHeight="false" outlineLevel="0" collapsed="false">
      <c r="I478" s="12"/>
      <c r="K478" s="12"/>
    </row>
    <row r="479" customFormat="false" ht="15" hidden="false" customHeight="false" outlineLevel="0" collapsed="false">
      <c r="I479" s="12"/>
      <c r="K479" s="12"/>
    </row>
    <row r="480" customFormat="false" ht="15" hidden="false" customHeight="false" outlineLevel="0" collapsed="false">
      <c r="I480" s="12"/>
      <c r="K480" s="12"/>
    </row>
    <row r="481" customFormat="false" ht="15" hidden="false" customHeight="false" outlineLevel="0" collapsed="false">
      <c r="I481" s="12"/>
      <c r="K481" s="12"/>
    </row>
    <row r="482" customFormat="false" ht="15" hidden="false" customHeight="false" outlineLevel="0" collapsed="false">
      <c r="I482" s="12"/>
      <c r="K482" s="12"/>
    </row>
    <row r="483" customFormat="false" ht="15" hidden="false" customHeight="false" outlineLevel="0" collapsed="false">
      <c r="I483" s="12"/>
      <c r="K483" s="12"/>
    </row>
    <row r="484" customFormat="false" ht="15" hidden="false" customHeight="false" outlineLevel="0" collapsed="false">
      <c r="I484" s="12"/>
      <c r="K484" s="12"/>
    </row>
    <row r="485" customFormat="false" ht="15" hidden="false" customHeight="false" outlineLevel="0" collapsed="false">
      <c r="I485" s="12"/>
      <c r="K485" s="12"/>
    </row>
    <row r="486" customFormat="false" ht="15" hidden="false" customHeight="false" outlineLevel="0" collapsed="false">
      <c r="I486" s="12"/>
      <c r="K486" s="12"/>
    </row>
    <row r="487" customFormat="false" ht="15" hidden="false" customHeight="false" outlineLevel="0" collapsed="false">
      <c r="I487" s="12"/>
      <c r="K487" s="12"/>
    </row>
    <row r="488" customFormat="false" ht="15" hidden="false" customHeight="false" outlineLevel="0" collapsed="false">
      <c r="I488" s="12"/>
      <c r="K488" s="12"/>
    </row>
    <row r="489" customFormat="false" ht="15" hidden="false" customHeight="false" outlineLevel="0" collapsed="false">
      <c r="I489" s="12"/>
      <c r="K489" s="12"/>
    </row>
    <row r="490" customFormat="false" ht="15" hidden="false" customHeight="false" outlineLevel="0" collapsed="false">
      <c r="I490" s="12"/>
      <c r="K490" s="12"/>
    </row>
    <row r="491" customFormat="false" ht="15" hidden="false" customHeight="false" outlineLevel="0" collapsed="false">
      <c r="I491" s="12"/>
      <c r="K491" s="12"/>
    </row>
    <row r="492" customFormat="false" ht="15" hidden="false" customHeight="false" outlineLevel="0" collapsed="false">
      <c r="I492" s="12"/>
      <c r="K492" s="12"/>
    </row>
    <row r="493" customFormat="false" ht="15" hidden="false" customHeight="false" outlineLevel="0" collapsed="false">
      <c r="I493" s="12"/>
      <c r="K493" s="12"/>
    </row>
    <row r="494" customFormat="false" ht="15" hidden="false" customHeight="false" outlineLevel="0" collapsed="false">
      <c r="I494" s="12"/>
      <c r="K494" s="12"/>
    </row>
    <row r="495" customFormat="false" ht="15" hidden="false" customHeight="false" outlineLevel="0" collapsed="false">
      <c r="I495" s="12"/>
      <c r="K495" s="12"/>
    </row>
    <row r="496" customFormat="false" ht="15" hidden="false" customHeight="false" outlineLevel="0" collapsed="false">
      <c r="I496" s="12"/>
      <c r="K496" s="12"/>
    </row>
    <row r="497" customFormat="false" ht="15" hidden="false" customHeight="false" outlineLevel="0" collapsed="false">
      <c r="I497" s="12"/>
      <c r="K497" s="12"/>
    </row>
    <row r="498" customFormat="false" ht="15" hidden="false" customHeight="false" outlineLevel="0" collapsed="false">
      <c r="I498" s="12"/>
      <c r="K498" s="12"/>
    </row>
    <row r="499" customFormat="false" ht="15" hidden="false" customHeight="false" outlineLevel="0" collapsed="false">
      <c r="I499" s="12"/>
      <c r="K499" s="12"/>
    </row>
    <row r="500" customFormat="false" ht="15" hidden="false" customHeight="false" outlineLevel="0" collapsed="false">
      <c r="I500" s="12"/>
      <c r="K500" s="12"/>
    </row>
    <row r="501" customFormat="false" ht="15" hidden="false" customHeight="false" outlineLevel="0" collapsed="false">
      <c r="I501" s="12"/>
      <c r="K501" s="12"/>
    </row>
    <row r="502" customFormat="false" ht="15" hidden="false" customHeight="false" outlineLevel="0" collapsed="false">
      <c r="I502" s="12"/>
      <c r="K502" s="12"/>
    </row>
    <row r="503" customFormat="false" ht="15" hidden="false" customHeight="false" outlineLevel="0" collapsed="false">
      <c r="I503" s="12"/>
      <c r="K503" s="12"/>
    </row>
    <row r="504" customFormat="false" ht="15" hidden="false" customHeight="false" outlineLevel="0" collapsed="false">
      <c r="I504" s="12"/>
      <c r="K504" s="12"/>
    </row>
    <row r="505" customFormat="false" ht="15" hidden="false" customHeight="false" outlineLevel="0" collapsed="false">
      <c r="I505" s="12"/>
      <c r="K505" s="12"/>
    </row>
    <row r="506" customFormat="false" ht="15" hidden="false" customHeight="false" outlineLevel="0" collapsed="false">
      <c r="I506" s="12"/>
      <c r="K506" s="12"/>
    </row>
    <row r="507" customFormat="false" ht="15" hidden="false" customHeight="false" outlineLevel="0" collapsed="false">
      <c r="I507" s="12"/>
      <c r="K507" s="12"/>
    </row>
    <row r="508" customFormat="false" ht="15" hidden="false" customHeight="false" outlineLevel="0" collapsed="false">
      <c r="I508" s="12"/>
      <c r="K508" s="12"/>
    </row>
    <row r="509" customFormat="false" ht="15" hidden="false" customHeight="false" outlineLevel="0" collapsed="false">
      <c r="I509" s="12"/>
      <c r="K509" s="12"/>
    </row>
    <row r="510" customFormat="false" ht="15" hidden="false" customHeight="false" outlineLevel="0" collapsed="false">
      <c r="I510" s="12"/>
      <c r="K510" s="12"/>
    </row>
    <row r="511" customFormat="false" ht="15" hidden="false" customHeight="false" outlineLevel="0" collapsed="false">
      <c r="I511" s="12"/>
      <c r="K511" s="12"/>
    </row>
    <row r="512" customFormat="false" ht="15" hidden="false" customHeight="false" outlineLevel="0" collapsed="false">
      <c r="I512" s="12"/>
      <c r="K512" s="12"/>
    </row>
    <row r="513" customFormat="false" ht="15" hidden="false" customHeight="false" outlineLevel="0" collapsed="false">
      <c r="I513" s="12"/>
      <c r="K513" s="12"/>
    </row>
    <row r="514" customFormat="false" ht="15" hidden="false" customHeight="false" outlineLevel="0" collapsed="false">
      <c r="I514" s="12"/>
      <c r="K514" s="12"/>
    </row>
    <row r="515" customFormat="false" ht="15" hidden="false" customHeight="false" outlineLevel="0" collapsed="false">
      <c r="I515" s="12"/>
      <c r="K515" s="12"/>
    </row>
    <row r="516" customFormat="false" ht="15" hidden="false" customHeight="false" outlineLevel="0" collapsed="false">
      <c r="I516" s="12"/>
      <c r="K516" s="12"/>
    </row>
    <row r="517" customFormat="false" ht="15" hidden="false" customHeight="false" outlineLevel="0" collapsed="false">
      <c r="I517" s="12"/>
      <c r="K517" s="12"/>
    </row>
    <row r="518" customFormat="false" ht="15" hidden="false" customHeight="false" outlineLevel="0" collapsed="false">
      <c r="I518" s="12"/>
      <c r="K518" s="12"/>
    </row>
    <row r="519" customFormat="false" ht="15" hidden="false" customHeight="false" outlineLevel="0" collapsed="false">
      <c r="I519" s="12"/>
      <c r="K519" s="12"/>
    </row>
    <row r="520" customFormat="false" ht="15" hidden="false" customHeight="false" outlineLevel="0" collapsed="false">
      <c r="I520" s="12"/>
      <c r="K520" s="12"/>
    </row>
    <row r="521" customFormat="false" ht="15" hidden="false" customHeight="false" outlineLevel="0" collapsed="false">
      <c r="I521" s="12"/>
      <c r="K521" s="12"/>
    </row>
    <row r="522" customFormat="false" ht="15" hidden="false" customHeight="false" outlineLevel="0" collapsed="false">
      <c r="I522" s="12"/>
      <c r="K522" s="12"/>
    </row>
    <row r="523" customFormat="false" ht="15" hidden="false" customHeight="false" outlineLevel="0" collapsed="false">
      <c r="I523" s="12"/>
      <c r="K523" s="12"/>
    </row>
    <row r="524" customFormat="false" ht="15" hidden="false" customHeight="false" outlineLevel="0" collapsed="false">
      <c r="I524" s="12"/>
      <c r="K524" s="12"/>
    </row>
    <row r="525" customFormat="false" ht="15" hidden="false" customHeight="false" outlineLevel="0" collapsed="false">
      <c r="I525" s="12"/>
      <c r="K525" s="12"/>
    </row>
    <row r="526" customFormat="false" ht="15" hidden="false" customHeight="false" outlineLevel="0" collapsed="false">
      <c r="I526" s="12"/>
      <c r="K526" s="12"/>
    </row>
    <row r="527" customFormat="false" ht="15" hidden="false" customHeight="false" outlineLevel="0" collapsed="false">
      <c r="I527" s="12"/>
      <c r="K527" s="12"/>
    </row>
    <row r="528" customFormat="false" ht="15" hidden="false" customHeight="false" outlineLevel="0" collapsed="false">
      <c r="I528" s="12"/>
      <c r="K528" s="12"/>
    </row>
    <row r="529" customFormat="false" ht="15" hidden="false" customHeight="false" outlineLevel="0" collapsed="false">
      <c r="I529" s="12"/>
      <c r="K529" s="12"/>
    </row>
    <row r="530" customFormat="false" ht="15" hidden="false" customHeight="false" outlineLevel="0" collapsed="false">
      <c r="I530" s="12"/>
      <c r="K530" s="12"/>
    </row>
    <row r="531" customFormat="false" ht="15" hidden="false" customHeight="false" outlineLevel="0" collapsed="false">
      <c r="I531" s="12"/>
      <c r="K531" s="12"/>
    </row>
    <row r="532" customFormat="false" ht="15" hidden="false" customHeight="false" outlineLevel="0" collapsed="false">
      <c r="I532" s="12"/>
      <c r="K532" s="12"/>
    </row>
    <row r="533" customFormat="false" ht="15" hidden="false" customHeight="false" outlineLevel="0" collapsed="false">
      <c r="I533" s="12"/>
      <c r="K533" s="12"/>
    </row>
    <row r="534" customFormat="false" ht="15" hidden="false" customHeight="false" outlineLevel="0" collapsed="false">
      <c r="I534" s="12"/>
      <c r="K534" s="12"/>
    </row>
    <row r="535" customFormat="false" ht="15" hidden="false" customHeight="false" outlineLevel="0" collapsed="false">
      <c r="I535" s="12"/>
      <c r="K535" s="12"/>
    </row>
    <row r="536" customFormat="false" ht="15" hidden="false" customHeight="false" outlineLevel="0" collapsed="false">
      <c r="I536" s="12"/>
      <c r="K536" s="12"/>
    </row>
    <row r="537" customFormat="false" ht="15" hidden="false" customHeight="false" outlineLevel="0" collapsed="false">
      <c r="I537" s="12"/>
      <c r="K537" s="12"/>
    </row>
    <row r="538" customFormat="false" ht="15" hidden="false" customHeight="false" outlineLevel="0" collapsed="false">
      <c r="I538" s="12"/>
      <c r="K538" s="12"/>
    </row>
    <row r="539" customFormat="false" ht="15" hidden="false" customHeight="false" outlineLevel="0" collapsed="false">
      <c r="I539" s="12"/>
      <c r="K539" s="12"/>
    </row>
    <row r="540" customFormat="false" ht="15" hidden="false" customHeight="false" outlineLevel="0" collapsed="false">
      <c r="I540" s="12"/>
      <c r="K540" s="12"/>
    </row>
    <row r="541" customFormat="false" ht="15" hidden="false" customHeight="false" outlineLevel="0" collapsed="false">
      <c r="I541" s="12"/>
      <c r="K541" s="12"/>
    </row>
    <row r="542" customFormat="false" ht="15" hidden="false" customHeight="false" outlineLevel="0" collapsed="false">
      <c r="I542" s="12"/>
      <c r="K542" s="12"/>
    </row>
    <row r="543" customFormat="false" ht="15" hidden="false" customHeight="false" outlineLevel="0" collapsed="false">
      <c r="I543" s="12"/>
      <c r="K543" s="12"/>
    </row>
    <row r="544" customFormat="false" ht="15" hidden="false" customHeight="false" outlineLevel="0" collapsed="false">
      <c r="I544" s="12"/>
      <c r="K544" s="12"/>
    </row>
    <row r="545" customFormat="false" ht="15" hidden="false" customHeight="false" outlineLevel="0" collapsed="false">
      <c r="I545" s="12"/>
      <c r="K545" s="12"/>
    </row>
    <row r="546" customFormat="false" ht="15" hidden="false" customHeight="false" outlineLevel="0" collapsed="false">
      <c r="I546" s="12"/>
      <c r="K546" s="12"/>
    </row>
    <row r="547" customFormat="false" ht="15" hidden="false" customHeight="false" outlineLevel="0" collapsed="false">
      <c r="I547" s="12"/>
      <c r="K547" s="12"/>
    </row>
    <row r="548" customFormat="false" ht="15" hidden="false" customHeight="false" outlineLevel="0" collapsed="false">
      <c r="I548" s="12"/>
      <c r="K548" s="12"/>
    </row>
    <row r="549" customFormat="false" ht="15" hidden="false" customHeight="false" outlineLevel="0" collapsed="false">
      <c r="I549" s="12"/>
      <c r="K549" s="12"/>
    </row>
    <row r="550" customFormat="false" ht="15" hidden="false" customHeight="false" outlineLevel="0" collapsed="false">
      <c r="I550" s="12"/>
      <c r="K550" s="12"/>
    </row>
    <row r="551" customFormat="false" ht="15" hidden="false" customHeight="false" outlineLevel="0" collapsed="false">
      <c r="I551" s="12"/>
      <c r="K551" s="12"/>
    </row>
    <row r="552" customFormat="false" ht="15" hidden="false" customHeight="false" outlineLevel="0" collapsed="false">
      <c r="I552" s="12"/>
      <c r="K552" s="12"/>
    </row>
    <row r="553" customFormat="false" ht="15" hidden="false" customHeight="false" outlineLevel="0" collapsed="false">
      <c r="I553" s="12"/>
      <c r="K553" s="12"/>
    </row>
    <row r="554" customFormat="false" ht="15" hidden="false" customHeight="false" outlineLevel="0" collapsed="false">
      <c r="I554" s="12"/>
      <c r="K554" s="12"/>
    </row>
    <row r="555" customFormat="false" ht="15" hidden="false" customHeight="false" outlineLevel="0" collapsed="false">
      <c r="I555" s="12"/>
      <c r="K555" s="12"/>
    </row>
    <row r="556" customFormat="false" ht="15" hidden="false" customHeight="false" outlineLevel="0" collapsed="false">
      <c r="I556" s="12"/>
      <c r="K556" s="12"/>
    </row>
    <row r="557" customFormat="false" ht="15" hidden="false" customHeight="false" outlineLevel="0" collapsed="false">
      <c r="I557" s="12"/>
      <c r="K557" s="12"/>
    </row>
    <row r="558" customFormat="false" ht="15" hidden="false" customHeight="false" outlineLevel="0" collapsed="false">
      <c r="I558" s="12"/>
      <c r="K558" s="12"/>
    </row>
    <row r="559" customFormat="false" ht="15" hidden="false" customHeight="false" outlineLevel="0" collapsed="false">
      <c r="I559" s="12"/>
      <c r="K559" s="12"/>
    </row>
    <row r="560" customFormat="false" ht="15" hidden="false" customHeight="false" outlineLevel="0" collapsed="false">
      <c r="I560" s="12"/>
      <c r="K560" s="12"/>
    </row>
    <row r="561" customFormat="false" ht="15" hidden="false" customHeight="false" outlineLevel="0" collapsed="false">
      <c r="I561" s="12"/>
      <c r="K561" s="12"/>
    </row>
    <row r="562" customFormat="false" ht="15" hidden="false" customHeight="false" outlineLevel="0" collapsed="false">
      <c r="I562" s="12"/>
      <c r="K562" s="12"/>
    </row>
    <row r="563" customFormat="false" ht="15" hidden="false" customHeight="false" outlineLevel="0" collapsed="false">
      <c r="I563" s="12"/>
      <c r="K563" s="12"/>
    </row>
    <row r="564" customFormat="false" ht="15" hidden="false" customHeight="false" outlineLevel="0" collapsed="false">
      <c r="I564" s="12"/>
      <c r="K564" s="12"/>
    </row>
    <row r="565" customFormat="false" ht="15" hidden="false" customHeight="false" outlineLevel="0" collapsed="false">
      <c r="I565" s="12"/>
      <c r="K565" s="12"/>
    </row>
    <row r="566" customFormat="false" ht="15" hidden="false" customHeight="false" outlineLevel="0" collapsed="false">
      <c r="I566" s="12"/>
      <c r="K566" s="12"/>
    </row>
    <row r="567" customFormat="false" ht="15" hidden="false" customHeight="false" outlineLevel="0" collapsed="false">
      <c r="I567" s="12"/>
      <c r="K567" s="12"/>
    </row>
    <row r="568" customFormat="false" ht="15" hidden="false" customHeight="false" outlineLevel="0" collapsed="false">
      <c r="I568" s="12"/>
      <c r="K568" s="12"/>
    </row>
    <row r="569" customFormat="false" ht="15" hidden="false" customHeight="false" outlineLevel="0" collapsed="false">
      <c r="I569" s="12"/>
      <c r="K569" s="12"/>
    </row>
    <row r="570" customFormat="false" ht="15" hidden="false" customHeight="false" outlineLevel="0" collapsed="false">
      <c r="I570" s="12"/>
      <c r="K570" s="12"/>
    </row>
    <row r="571" customFormat="false" ht="15" hidden="false" customHeight="false" outlineLevel="0" collapsed="false">
      <c r="I571" s="12"/>
      <c r="K571" s="12"/>
    </row>
    <row r="572" customFormat="false" ht="15" hidden="false" customHeight="false" outlineLevel="0" collapsed="false">
      <c r="I572" s="12"/>
      <c r="K572" s="12"/>
    </row>
    <row r="573" customFormat="false" ht="15" hidden="false" customHeight="false" outlineLevel="0" collapsed="false">
      <c r="I573" s="12"/>
      <c r="K573" s="12"/>
    </row>
    <row r="574" customFormat="false" ht="15" hidden="false" customHeight="false" outlineLevel="0" collapsed="false">
      <c r="I574" s="12"/>
      <c r="K574" s="12"/>
    </row>
    <row r="575" customFormat="false" ht="15" hidden="false" customHeight="false" outlineLevel="0" collapsed="false">
      <c r="I575" s="12"/>
      <c r="K575" s="12"/>
    </row>
    <row r="576" customFormat="false" ht="15" hidden="false" customHeight="false" outlineLevel="0" collapsed="false">
      <c r="I576" s="12"/>
      <c r="K576" s="12"/>
    </row>
    <row r="577" customFormat="false" ht="15" hidden="false" customHeight="false" outlineLevel="0" collapsed="false">
      <c r="I577" s="12"/>
      <c r="K577" s="12"/>
    </row>
    <row r="578" customFormat="false" ht="15" hidden="false" customHeight="false" outlineLevel="0" collapsed="false">
      <c r="I578" s="12"/>
      <c r="K578" s="12"/>
    </row>
    <row r="579" customFormat="false" ht="15" hidden="false" customHeight="false" outlineLevel="0" collapsed="false">
      <c r="I579" s="12"/>
      <c r="K579" s="12"/>
    </row>
    <row r="580" customFormat="false" ht="15" hidden="false" customHeight="false" outlineLevel="0" collapsed="false">
      <c r="I580" s="12"/>
      <c r="K580" s="12"/>
    </row>
    <row r="581" customFormat="false" ht="15" hidden="false" customHeight="false" outlineLevel="0" collapsed="false">
      <c r="I581" s="12"/>
      <c r="K581" s="12"/>
    </row>
    <row r="582" customFormat="false" ht="15" hidden="false" customHeight="false" outlineLevel="0" collapsed="false">
      <c r="I582" s="12"/>
      <c r="K582" s="12"/>
    </row>
    <row r="583" customFormat="false" ht="15" hidden="false" customHeight="false" outlineLevel="0" collapsed="false">
      <c r="I583" s="12"/>
      <c r="K583" s="12"/>
    </row>
    <row r="584" customFormat="false" ht="15" hidden="false" customHeight="false" outlineLevel="0" collapsed="false">
      <c r="I584" s="12"/>
      <c r="K584" s="12"/>
    </row>
    <row r="585" customFormat="false" ht="15" hidden="false" customHeight="false" outlineLevel="0" collapsed="false">
      <c r="I585" s="12"/>
      <c r="K585" s="12"/>
    </row>
    <row r="586" customFormat="false" ht="15" hidden="false" customHeight="false" outlineLevel="0" collapsed="false">
      <c r="I586" s="12"/>
      <c r="K586" s="12"/>
    </row>
    <row r="587" customFormat="false" ht="15" hidden="false" customHeight="false" outlineLevel="0" collapsed="false">
      <c r="I587" s="12"/>
      <c r="K587" s="12"/>
    </row>
    <row r="588" customFormat="false" ht="15" hidden="false" customHeight="false" outlineLevel="0" collapsed="false">
      <c r="I588" s="12"/>
      <c r="K588" s="12"/>
    </row>
    <row r="589" customFormat="false" ht="15" hidden="false" customHeight="false" outlineLevel="0" collapsed="false">
      <c r="I589" s="12"/>
      <c r="K589" s="12"/>
    </row>
    <row r="590" customFormat="false" ht="15" hidden="false" customHeight="false" outlineLevel="0" collapsed="false">
      <c r="I590" s="12"/>
      <c r="K590" s="12"/>
    </row>
    <row r="591" customFormat="false" ht="15" hidden="false" customHeight="false" outlineLevel="0" collapsed="false">
      <c r="I591" s="12"/>
      <c r="K591" s="12"/>
    </row>
    <row r="592" customFormat="false" ht="15" hidden="false" customHeight="false" outlineLevel="0" collapsed="false">
      <c r="I592" s="12"/>
      <c r="K592" s="12"/>
    </row>
    <row r="593" customFormat="false" ht="15" hidden="false" customHeight="false" outlineLevel="0" collapsed="false">
      <c r="I593" s="12"/>
      <c r="K593" s="12"/>
    </row>
    <row r="594" customFormat="false" ht="15" hidden="false" customHeight="false" outlineLevel="0" collapsed="false">
      <c r="I594" s="12"/>
      <c r="K594" s="12"/>
    </row>
    <row r="595" customFormat="false" ht="15" hidden="false" customHeight="false" outlineLevel="0" collapsed="false">
      <c r="I595" s="12"/>
      <c r="K595" s="12"/>
    </row>
    <row r="596" customFormat="false" ht="15" hidden="false" customHeight="false" outlineLevel="0" collapsed="false">
      <c r="I596" s="12"/>
      <c r="K596" s="12"/>
    </row>
    <row r="597" customFormat="false" ht="15" hidden="false" customHeight="false" outlineLevel="0" collapsed="false">
      <c r="I597" s="12"/>
      <c r="K597" s="12"/>
    </row>
    <row r="598" customFormat="false" ht="15" hidden="false" customHeight="false" outlineLevel="0" collapsed="false">
      <c r="I598" s="12"/>
      <c r="K598" s="12"/>
    </row>
    <row r="599" customFormat="false" ht="15" hidden="false" customHeight="false" outlineLevel="0" collapsed="false">
      <c r="I599" s="12"/>
      <c r="K599" s="12"/>
    </row>
    <row r="600" customFormat="false" ht="15" hidden="false" customHeight="false" outlineLevel="0" collapsed="false">
      <c r="I600" s="12"/>
      <c r="K600" s="12"/>
    </row>
    <row r="601" customFormat="false" ht="15" hidden="false" customHeight="false" outlineLevel="0" collapsed="false">
      <c r="I601" s="12"/>
      <c r="K601" s="12"/>
    </row>
    <row r="602" customFormat="false" ht="15" hidden="false" customHeight="false" outlineLevel="0" collapsed="false">
      <c r="I602" s="12"/>
      <c r="K602" s="12"/>
    </row>
    <row r="603" customFormat="false" ht="15" hidden="false" customHeight="false" outlineLevel="0" collapsed="false">
      <c r="I603" s="12"/>
      <c r="K603" s="12"/>
    </row>
    <row r="604" customFormat="false" ht="15" hidden="false" customHeight="false" outlineLevel="0" collapsed="false">
      <c r="I604" s="12"/>
      <c r="K604" s="12"/>
    </row>
    <row r="605" customFormat="false" ht="15" hidden="false" customHeight="false" outlineLevel="0" collapsed="false">
      <c r="I605" s="12"/>
      <c r="K605" s="12"/>
    </row>
    <row r="606" customFormat="false" ht="15" hidden="false" customHeight="false" outlineLevel="0" collapsed="false">
      <c r="I606" s="12"/>
      <c r="K606" s="12"/>
    </row>
    <row r="607" customFormat="false" ht="15" hidden="false" customHeight="false" outlineLevel="0" collapsed="false">
      <c r="I607" s="12"/>
      <c r="K607" s="12"/>
    </row>
    <row r="608" customFormat="false" ht="15" hidden="false" customHeight="false" outlineLevel="0" collapsed="false">
      <c r="I608" s="12"/>
      <c r="K608" s="12"/>
    </row>
    <row r="609" customFormat="false" ht="15" hidden="false" customHeight="false" outlineLevel="0" collapsed="false">
      <c r="I609" s="12"/>
      <c r="K609" s="12"/>
    </row>
    <row r="610" customFormat="false" ht="15" hidden="false" customHeight="false" outlineLevel="0" collapsed="false">
      <c r="I610" s="12"/>
      <c r="K610" s="12"/>
    </row>
    <row r="611" customFormat="false" ht="15" hidden="false" customHeight="false" outlineLevel="0" collapsed="false">
      <c r="I611" s="12"/>
      <c r="K611" s="12"/>
    </row>
    <row r="612" customFormat="false" ht="15" hidden="false" customHeight="false" outlineLevel="0" collapsed="false">
      <c r="I612" s="12"/>
    </row>
    <row r="613" customFormat="false" ht="15" hidden="false" customHeight="false" outlineLevel="0" collapsed="false">
      <c r="I613" s="12"/>
    </row>
    <row r="614" customFormat="false" ht="15" hidden="false" customHeight="false" outlineLevel="0" collapsed="false">
      <c r="I614" s="12"/>
    </row>
    <row r="615" customFormat="false" ht="15" hidden="false" customHeight="false" outlineLevel="0" collapsed="false">
      <c r="I615" s="12"/>
    </row>
    <row r="616" customFormat="false" ht="15" hidden="false" customHeight="false" outlineLevel="0" collapsed="false">
      <c r="I616" s="12"/>
    </row>
    <row r="617" customFormat="false" ht="15" hidden="false" customHeight="false" outlineLevel="0" collapsed="false">
      <c r="I617" s="12"/>
    </row>
    <row r="618" customFormat="false" ht="15" hidden="false" customHeight="false" outlineLevel="0" collapsed="false">
      <c r="I618" s="12"/>
    </row>
    <row r="619" customFormat="false" ht="15" hidden="false" customHeight="false" outlineLevel="0" collapsed="false">
      <c r="I619" s="12"/>
    </row>
    <row r="620" customFormat="false" ht="15" hidden="false" customHeight="false" outlineLevel="0" collapsed="false">
      <c r="I620" s="12"/>
    </row>
    <row r="621" customFormat="false" ht="15" hidden="false" customHeight="false" outlineLevel="0" collapsed="false">
      <c r="I621" s="12"/>
    </row>
    <row r="622" customFormat="false" ht="15" hidden="false" customHeight="false" outlineLevel="0" collapsed="false">
      <c r="I622" s="12"/>
    </row>
    <row r="623" customFormat="false" ht="15" hidden="false" customHeight="false" outlineLevel="0" collapsed="false">
      <c r="I623" s="12"/>
    </row>
    <row r="624" customFormat="false" ht="15" hidden="false" customHeight="false" outlineLevel="0" collapsed="false">
      <c r="I624" s="12"/>
    </row>
    <row r="625" customFormat="false" ht="15" hidden="false" customHeight="false" outlineLevel="0" collapsed="false">
      <c r="I625" s="12"/>
    </row>
    <row r="626" customFormat="false" ht="15" hidden="false" customHeight="false" outlineLevel="0" collapsed="false">
      <c r="I626" s="12"/>
    </row>
    <row r="627" customFormat="false" ht="15" hidden="false" customHeight="false" outlineLevel="0" collapsed="false">
      <c r="I627" s="12"/>
    </row>
    <row r="628" customFormat="false" ht="15" hidden="false" customHeight="false" outlineLevel="0" collapsed="false">
      <c r="I628" s="12"/>
    </row>
    <row r="629" customFormat="false" ht="15" hidden="false" customHeight="false" outlineLevel="0" collapsed="false">
      <c r="I629" s="12"/>
    </row>
    <row r="630" customFormat="false" ht="15" hidden="false" customHeight="false" outlineLevel="0" collapsed="false">
      <c r="I630" s="12"/>
    </row>
    <row r="631" customFormat="false" ht="15" hidden="false" customHeight="false" outlineLevel="0" collapsed="false">
      <c r="I631" s="12"/>
    </row>
    <row r="632" customFormat="false" ht="15" hidden="false" customHeight="false" outlineLevel="0" collapsed="false">
      <c r="I632" s="12"/>
    </row>
    <row r="633" customFormat="false" ht="15" hidden="false" customHeight="false" outlineLevel="0" collapsed="false">
      <c r="I633" s="12"/>
    </row>
    <row r="634" customFormat="false" ht="15" hidden="false" customHeight="false" outlineLevel="0" collapsed="false">
      <c r="I634" s="12"/>
    </row>
    <row r="635" customFormat="false" ht="15" hidden="false" customHeight="false" outlineLevel="0" collapsed="false">
      <c r="I635" s="12"/>
    </row>
    <row r="636" customFormat="false" ht="15" hidden="false" customHeight="false" outlineLevel="0" collapsed="false">
      <c r="I636" s="12"/>
    </row>
    <row r="637" customFormat="false" ht="15" hidden="false" customHeight="false" outlineLevel="0" collapsed="false">
      <c r="I637" s="12"/>
    </row>
    <row r="638" customFormat="false" ht="15" hidden="false" customHeight="false" outlineLevel="0" collapsed="false">
      <c r="I638" s="12"/>
    </row>
    <row r="639" customFormat="false" ht="15" hidden="false" customHeight="false" outlineLevel="0" collapsed="false">
      <c r="I639" s="12"/>
    </row>
    <row r="640" customFormat="false" ht="15" hidden="false" customHeight="false" outlineLevel="0" collapsed="false">
      <c r="I640" s="12"/>
    </row>
    <row r="641" customFormat="false" ht="15" hidden="false" customHeight="false" outlineLevel="0" collapsed="false">
      <c r="I641" s="12"/>
    </row>
    <row r="642" customFormat="false" ht="15" hidden="false" customHeight="false" outlineLevel="0" collapsed="false">
      <c r="I642" s="12"/>
    </row>
    <row r="643" customFormat="false" ht="15" hidden="false" customHeight="false" outlineLevel="0" collapsed="false">
      <c r="I643" s="12"/>
    </row>
    <row r="644" customFormat="false" ht="15" hidden="false" customHeight="false" outlineLevel="0" collapsed="false">
      <c r="I644" s="12"/>
    </row>
    <row r="645" customFormat="false" ht="15" hidden="false" customHeight="false" outlineLevel="0" collapsed="false">
      <c r="I645" s="12"/>
    </row>
    <row r="646" customFormat="false" ht="15" hidden="false" customHeight="false" outlineLevel="0" collapsed="false">
      <c r="I646" s="12"/>
    </row>
    <row r="647" customFormat="false" ht="15" hidden="false" customHeight="false" outlineLevel="0" collapsed="false">
      <c r="I647" s="12"/>
    </row>
    <row r="648" customFormat="false" ht="15" hidden="false" customHeight="false" outlineLevel="0" collapsed="false">
      <c r="I648" s="12"/>
    </row>
    <row r="649" customFormat="false" ht="15" hidden="false" customHeight="false" outlineLevel="0" collapsed="false">
      <c r="I649" s="12"/>
    </row>
    <row r="650" customFormat="false" ht="15" hidden="false" customHeight="false" outlineLevel="0" collapsed="false">
      <c r="I650" s="12"/>
    </row>
    <row r="651" customFormat="false" ht="15" hidden="false" customHeight="false" outlineLevel="0" collapsed="false">
      <c r="I651" s="12"/>
    </row>
    <row r="652" customFormat="false" ht="15" hidden="false" customHeight="false" outlineLevel="0" collapsed="false">
      <c r="I652" s="12"/>
    </row>
    <row r="653" customFormat="false" ht="15" hidden="false" customHeight="false" outlineLevel="0" collapsed="false">
      <c r="I653" s="12"/>
    </row>
    <row r="654" customFormat="false" ht="15" hidden="false" customHeight="false" outlineLevel="0" collapsed="false">
      <c r="I654" s="12"/>
    </row>
    <row r="655" customFormat="false" ht="15" hidden="false" customHeight="false" outlineLevel="0" collapsed="false">
      <c r="I655" s="12"/>
    </row>
    <row r="656" customFormat="false" ht="15" hidden="false" customHeight="false" outlineLevel="0" collapsed="false">
      <c r="I656" s="12"/>
    </row>
    <row r="657" customFormat="false" ht="15" hidden="false" customHeight="false" outlineLevel="0" collapsed="false">
      <c r="I657" s="12"/>
    </row>
    <row r="658" customFormat="false" ht="15" hidden="false" customHeight="false" outlineLevel="0" collapsed="false">
      <c r="I658" s="12"/>
    </row>
    <row r="659" customFormat="false" ht="15" hidden="false" customHeight="false" outlineLevel="0" collapsed="false">
      <c r="I659" s="12"/>
    </row>
    <row r="660" customFormat="false" ht="15" hidden="false" customHeight="false" outlineLevel="0" collapsed="false">
      <c r="I660" s="12"/>
    </row>
    <row r="661" customFormat="false" ht="15" hidden="false" customHeight="false" outlineLevel="0" collapsed="false">
      <c r="I661" s="12"/>
    </row>
    <row r="662" customFormat="false" ht="15" hidden="false" customHeight="false" outlineLevel="0" collapsed="false">
      <c r="I662" s="12"/>
    </row>
    <row r="663" customFormat="false" ht="15" hidden="false" customHeight="false" outlineLevel="0" collapsed="false">
      <c r="I663" s="12"/>
    </row>
    <row r="664" customFormat="false" ht="15" hidden="false" customHeight="false" outlineLevel="0" collapsed="false">
      <c r="I664" s="12"/>
    </row>
    <row r="665" customFormat="false" ht="15" hidden="false" customHeight="false" outlineLevel="0" collapsed="false">
      <c r="I665" s="12"/>
    </row>
    <row r="666" customFormat="false" ht="15" hidden="false" customHeight="false" outlineLevel="0" collapsed="false">
      <c r="I666" s="12"/>
    </row>
    <row r="667" customFormat="false" ht="15" hidden="false" customHeight="false" outlineLevel="0" collapsed="false">
      <c r="I667" s="12"/>
    </row>
    <row r="668" customFormat="false" ht="15" hidden="false" customHeight="false" outlineLevel="0" collapsed="false">
      <c r="I668" s="12"/>
    </row>
    <row r="669" customFormat="false" ht="15" hidden="false" customHeight="false" outlineLevel="0" collapsed="false">
      <c r="I669" s="12"/>
    </row>
    <row r="670" customFormat="false" ht="15" hidden="false" customHeight="false" outlineLevel="0" collapsed="false">
      <c r="I670" s="12"/>
    </row>
    <row r="671" customFormat="false" ht="15" hidden="false" customHeight="false" outlineLevel="0" collapsed="false">
      <c r="I671" s="12"/>
    </row>
    <row r="672" customFormat="false" ht="15" hidden="false" customHeight="false" outlineLevel="0" collapsed="false">
      <c r="I672" s="12"/>
    </row>
    <row r="673" customFormat="false" ht="15" hidden="false" customHeight="false" outlineLevel="0" collapsed="false">
      <c r="I673" s="12"/>
    </row>
    <row r="674" customFormat="false" ht="15" hidden="false" customHeight="false" outlineLevel="0" collapsed="false">
      <c r="I674" s="12"/>
    </row>
    <row r="675" customFormat="false" ht="15" hidden="false" customHeight="false" outlineLevel="0" collapsed="false">
      <c r="I675" s="12"/>
    </row>
    <row r="676" customFormat="false" ht="15" hidden="false" customHeight="false" outlineLevel="0" collapsed="false">
      <c r="I676" s="12"/>
    </row>
    <row r="677" customFormat="false" ht="15" hidden="false" customHeight="false" outlineLevel="0" collapsed="false">
      <c r="I677" s="12"/>
    </row>
    <row r="678" customFormat="false" ht="15" hidden="false" customHeight="false" outlineLevel="0" collapsed="false">
      <c r="I678" s="12"/>
    </row>
    <row r="679" customFormat="false" ht="15" hidden="false" customHeight="false" outlineLevel="0" collapsed="false">
      <c r="I679" s="12"/>
    </row>
    <row r="680" customFormat="false" ht="15" hidden="false" customHeight="false" outlineLevel="0" collapsed="false">
      <c r="I680" s="12"/>
    </row>
    <row r="681" customFormat="false" ht="15" hidden="false" customHeight="false" outlineLevel="0" collapsed="false">
      <c r="I681" s="12"/>
    </row>
    <row r="682" customFormat="false" ht="15" hidden="false" customHeight="false" outlineLevel="0" collapsed="false">
      <c r="I682" s="12"/>
    </row>
    <row r="683" customFormat="false" ht="15" hidden="false" customHeight="false" outlineLevel="0" collapsed="false">
      <c r="I683" s="12"/>
    </row>
    <row r="684" customFormat="false" ht="15" hidden="false" customHeight="false" outlineLevel="0" collapsed="false">
      <c r="I684" s="12"/>
    </row>
    <row r="685" customFormat="false" ht="15" hidden="false" customHeight="false" outlineLevel="0" collapsed="false">
      <c r="I685" s="12"/>
    </row>
    <row r="686" customFormat="false" ht="15" hidden="false" customHeight="false" outlineLevel="0" collapsed="false">
      <c r="I686" s="12"/>
    </row>
    <row r="687" customFormat="false" ht="15" hidden="false" customHeight="false" outlineLevel="0" collapsed="false">
      <c r="I687" s="12"/>
    </row>
    <row r="688" customFormat="false" ht="15" hidden="false" customHeight="false" outlineLevel="0" collapsed="false">
      <c r="I688" s="12"/>
    </row>
    <row r="689" customFormat="false" ht="15" hidden="false" customHeight="false" outlineLevel="0" collapsed="false">
      <c r="I689" s="12"/>
    </row>
    <row r="690" customFormat="false" ht="15" hidden="false" customHeight="false" outlineLevel="0" collapsed="false">
      <c r="I690" s="12"/>
    </row>
    <row r="691" customFormat="false" ht="15" hidden="false" customHeight="false" outlineLevel="0" collapsed="false">
      <c r="I691" s="12"/>
    </row>
    <row r="692" customFormat="false" ht="15" hidden="false" customHeight="false" outlineLevel="0" collapsed="false">
      <c r="I692" s="12"/>
    </row>
    <row r="693" customFormat="false" ht="15" hidden="false" customHeight="false" outlineLevel="0" collapsed="false">
      <c r="I693" s="12"/>
    </row>
    <row r="694" customFormat="false" ht="15" hidden="false" customHeight="false" outlineLevel="0" collapsed="false">
      <c r="I694" s="12"/>
    </row>
    <row r="695" customFormat="false" ht="15" hidden="false" customHeight="false" outlineLevel="0" collapsed="false">
      <c r="I695" s="12"/>
    </row>
    <row r="696" customFormat="false" ht="15" hidden="false" customHeight="false" outlineLevel="0" collapsed="false">
      <c r="I696" s="12"/>
    </row>
    <row r="697" customFormat="false" ht="15" hidden="false" customHeight="false" outlineLevel="0" collapsed="false">
      <c r="I697" s="12"/>
    </row>
    <row r="698" customFormat="false" ht="15" hidden="false" customHeight="false" outlineLevel="0" collapsed="false">
      <c r="I698" s="12"/>
    </row>
    <row r="699" customFormat="false" ht="15" hidden="false" customHeight="false" outlineLevel="0" collapsed="false">
      <c r="I699" s="12"/>
    </row>
    <row r="700" customFormat="false" ht="15" hidden="false" customHeight="false" outlineLevel="0" collapsed="false">
      <c r="I700" s="12"/>
    </row>
    <row r="701" customFormat="false" ht="15" hidden="false" customHeight="false" outlineLevel="0" collapsed="false">
      <c r="I701" s="12"/>
    </row>
    <row r="702" customFormat="false" ht="15" hidden="false" customHeight="false" outlineLevel="0" collapsed="false">
      <c r="I702" s="12"/>
    </row>
    <row r="703" customFormat="false" ht="15" hidden="false" customHeight="false" outlineLevel="0" collapsed="false">
      <c r="I703" s="12"/>
    </row>
    <row r="704" customFormat="false" ht="15" hidden="false" customHeight="false" outlineLevel="0" collapsed="false">
      <c r="I704" s="12"/>
    </row>
    <row r="705" customFormat="false" ht="15" hidden="false" customHeight="false" outlineLevel="0" collapsed="false">
      <c r="I705" s="12"/>
    </row>
    <row r="706" customFormat="false" ht="15" hidden="false" customHeight="false" outlineLevel="0" collapsed="false">
      <c r="I706" s="12"/>
    </row>
    <row r="707" customFormat="false" ht="15" hidden="false" customHeight="false" outlineLevel="0" collapsed="false">
      <c r="I707" s="12"/>
    </row>
    <row r="708" customFormat="false" ht="15" hidden="false" customHeight="false" outlineLevel="0" collapsed="false">
      <c r="I708" s="12"/>
    </row>
    <row r="709" customFormat="false" ht="15" hidden="false" customHeight="false" outlineLevel="0" collapsed="false">
      <c r="I709" s="12"/>
    </row>
    <row r="710" customFormat="false" ht="15" hidden="false" customHeight="false" outlineLevel="0" collapsed="false">
      <c r="I710" s="12"/>
    </row>
    <row r="711" customFormat="false" ht="15" hidden="false" customHeight="false" outlineLevel="0" collapsed="false">
      <c r="I711" s="12"/>
    </row>
    <row r="712" customFormat="false" ht="15" hidden="false" customHeight="false" outlineLevel="0" collapsed="false">
      <c r="I712" s="12"/>
    </row>
    <row r="713" customFormat="false" ht="15" hidden="false" customHeight="false" outlineLevel="0" collapsed="false">
      <c r="I713" s="12"/>
    </row>
    <row r="714" customFormat="false" ht="15" hidden="false" customHeight="false" outlineLevel="0" collapsed="false">
      <c r="I714" s="12"/>
    </row>
    <row r="715" customFormat="false" ht="15" hidden="false" customHeight="false" outlineLevel="0" collapsed="false">
      <c r="I715" s="12"/>
    </row>
    <row r="716" customFormat="false" ht="15" hidden="false" customHeight="false" outlineLevel="0" collapsed="false">
      <c r="I716" s="12"/>
    </row>
    <row r="717" customFormat="false" ht="15" hidden="false" customHeight="false" outlineLevel="0" collapsed="false">
      <c r="I717" s="12"/>
    </row>
    <row r="718" customFormat="false" ht="15" hidden="false" customHeight="false" outlineLevel="0" collapsed="false">
      <c r="I718" s="12"/>
    </row>
    <row r="719" customFormat="false" ht="15" hidden="false" customHeight="false" outlineLevel="0" collapsed="false">
      <c r="I719" s="12"/>
    </row>
    <row r="720" customFormat="false" ht="15" hidden="false" customHeight="false" outlineLevel="0" collapsed="false">
      <c r="I720" s="12"/>
    </row>
    <row r="721" customFormat="false" ht="15" hidden="false" customHeight="false" outlineLevel="0" collapsed="false">
      <c r="I721" s="12"/>
    </row>
    <row r="722" customFormat="false" ht="15" hidden="false" customHeight="false" outlineLevel="0" collapsed="false">
      <c r="I722" s="12"/>
    </row>
    <row r="723" customFormat="false" ht="15" hidden="false" customHeight="false" outlineLevel="0" collapsed="false">
      <c r="I723" s="12"/>
    </row>
    <row r="724" customFormat="false" ht="15" hidden="false" customHeight="false" outlineLevel="0" collapsed="false">
      <c r="I724" s="12"/>
    </row>
    <row r="725" customFormat="false" ht="15" hidden="false" customHeight="false" outlineLevel="0" collapsed="false">
      <c r="I725" s="12"/>
    </row>
    <row r="726" customFormat="false" ht="15" hidden="false" customHeight="false" outlineLevel="0" collapsed="false">
      <c r="I726" s="12"/>
    </row>
    <row r="727" customFormat="false" ht="15" hidden="false" customHeight="false" outlineLevel="0" collapsed="false">
      <c r="I727" s="12"/>
    </row>
    <row r="728" customFormat="false" ht="15" hidden="false" customHeight="false" outlineLevel="0" collapsed="false">
      <c r="I728" s="12"/>
    </row>
    <row r="729" customFormat="false" ht="15" hidden="false" customHeight="false" outlineLevel="0" collapsed="false">
      <c r="I729" s="12"/>
    </row>
    <row r="730" customFormat="false" ht="15" hidden="false" customHeight="false" outlineLevel="0" collapsed="false">
      <c r="I730" s="12"/>
    </row>
    <row r="731" customFormat="false" ht="15" hidden="false" customHeight="false" outlineLevel="0" collapsed="false">
      <c r="I731" s="12"/>
    </row>
    <row r="732" customFormat="false" ht="15" hidden="false" customHeight="false" outlineLevel="0" collapsed="false">
      <c r="I732" s="12"/>
    </row>
    <row r="733" customFormat="false" ht="15" hidden="false" customHeight="false" outlineLevel="0" collapsed="false">
      <c r="I733" s="12"/>
    </row>
    <row r="734" customFormat="false" ht="15" hidden="false" customHeight="false" outlineLevel="0" collapsed="false">
      <c r="I734" s="12"/>
    </row>
    <row r="735" customFormat="false" ht="15" hidden="false" customHeight="false" outlineLevel="0" collapsed="false">
      <c r="I735" s="12"/>
    </row>
    <row r="736" customFormat="false" ht="15" hidden="false" customHeight="false" outlineLevel="0" collapsed="false">
      <c r="I736" s="12"/>
    </row>
    <row r="737" customFormat="false" ht="15" hidden="false" customHeight="false" outlineLevel="0" collapsed="false">
      <c r="I737" s="12"/>
    </row>
    <row r="738" customFormat="false" ht="15" hidden="false" customHeight="false" outlineLevel="0" collapsed="false">
      <c r="I738" s="12"/>
    </row>
    <row r="739" customFormat="false" ht="15" hidden="false" customHeight="false" outlineLevel="0" collapsed="false">
      <c r="I739" s="12"/>
    </row>
    <row r="740" customFormat="false" ht="15" hidden="false" customHeight="false" outlineLevel="0" collapsed="false">
      <c r="I740" s="12"/>
    </row>
    <row r="741" customFormat="false" ht="15" hidden="false" customHeight="false" outlineLevel="0" collapsed="false">
      <c r="I741" s="12"/>
    </row>
    <row r="742" customFormat="false" ht="15" hidden="false" customHeight="false" outlineLevel="0" collapsed="false">
      <c r="I742" s="12"/>
    </row>
    <row r="743" customFormat="false" ht="15" hidden="false" customHeight="false" outlineLevel="0" collapsed="false">
      <c r="I743" s="12"/>
    </row>
    <row r="744" customFormat="false" ht="15" hidden="false" customHeight="false" outlineLevel="0" collapsed="false">
      <c r="I744" s="12"/>
    </row>
    <row r="745" customFormat="false" ht="15" hidden="false" customHeight="false" outlineLevel="0" collapsed="false">
      <c r="I745" s="12"/>
    </row>
    <row r="746" customFormat="false" ht="15" hidden="false" customHeight="false" outlineLevel="0" collapsed="false">
      <c r="I746" s="12"/>
    </row>
    <row r="747" customFormat="false" ht="15" hidden="false" customHeight="false" outlineLevel="0" collapsed="false">
      <c r="I747" s="12"/>
    </row>
    <row r="748" customFormat="false" ht="15" hidden="false" customHeight="false" outlineLevel="0" collapsed="false">
      <c r="I748" s="12"/>
    </row>
    <row r="749" customFormat="false" ht="15" hidden="false" customHeight="false" outlineLevel="0" collapsed="false">
      <c r="I749" s="12"/>
    </row>
    <row r="750" customFormat="false" ht="15" hidden="false" customHeight="false" outlineLevel="0" collapsed="false">
      <c r="I750" s="12"/>
    </row>
    <row r="751" customFormat="false" ht="15" hidden="false" customHeight="false" outlineLevel="0" collapsed="false">
      <c r="I751" s="12"/>
    </row>
    <row r="752" customFormat="false" ht="15" hidden="false" customHeight="false" outlineLevel="0" collapsed="false">
      <c r="I752" s="12"/>
    </row>
    <row r="753" customFormat="false" ht="15" hidden="false" customHeight="false" outlineLevel="0" collapsed="false">
      <c r="I753" s="12"/>
    </row>
    <row r="754" customFormat="false" ht="15" hidden="false" customHeight="false" outlineLevel="0" collapsed="false">
      <c r="I754" s="12"/>
    </row>
    <row r="755" customFormat="false" ht="15" hidden="false" customHeight="false" outlineLevel="0" collapsed="false">
      <c r="I755" s="12"/>
    </row>
    <row r="756" customFormat="false" ht="15" hidden="false" customHeight="false" outlineLevel="0" collapsed="false">
      <c r="I756" s="12"/>
    </row>
    <row r="757" customFormat="false" ht="15" hidden="false" customHeight="false" outlineLevel="0" collapsed="false">
      <c r="I757" s="12"/>
    </row>
    <row r="758" customFormat="false" ht="15" hidden="false" customHeight="false" outlineLevel="0" collapsed="false">
      <c r="I758" s="12"/>
    </row>
    <row r="759" customFormat="false" ht="15" hidden="false" customHeight="false" outlineLevel="0" collapsed="false">
      <c r="I759" s="12"/>
    </row>
    <row r="760" customFormat="false" ht="15" hidden="false" customHeight="false" outlineLevel="0" collapsed="false">
      <c r="I760" s="12"/>
    </row>
    <row r="761" customFormat="false" ht="15" hidden="false" customHeight="false" outlineLevel="0" collapsed="false">
      <c r="I761" s="12"/>
    </row>
    <row r="762" customFormat="false" ht="15" hidden="false" customHeight="false" outlineLevel="0" collapsed="false">
      <c r="I762" s="12"/>
    </row>
    <row r="763" customFormat="false" ht="15" hidden="false" customHeight="false" outlineLevel="0" collapsed="false">
      <c r="I763" s="12"/>
    </row>
    <row r="764" customFormat="false" ht="15" hidden="false" customHeight="false" outlineLevel="0" collapsed="false">
      <c r="I764" s="12"/>
    </row>
    <row r="765" customFormat="false" ht="15" hidden="false" customHeight="false" outlineLevel="0" collapsed="false">
      <c r="I765" s="12"/>
    </row>
    <row r="766" customFormat="false" ht="15" hidden="false" customHeight="false" outlineLevel="0" collapsed="false">
      <c r="I766" s="12"/>
    </row>
    <row r="767" customFormat="false" ht="15" hidden="false" customHeight="false" outlineLevel="0" collapsed="false">
      <c r="I767" s="12"/>
    </row>
    <row r="768" customFormat="false" ht="15" hidden="false" customHeight="false" outlineLevel="0" collapsed="false">
      <c r="I768" s="12"/>
    </row>
    <row r="769" customFormat="false" ht="15" hidden="false" customHeight="false" outlineLevel="0" collapsed="false">
      <c r="I769" s="12"/>
    </row>
    <row r="770" customFormat="false" ht="15" hidden="false" customHeight="false" outlineLevel="0" collapsed="false">
      <c r="I770" s="12"/>
    </row>
    <row r="771" customFormat="false" ht="15" hidden="false" customHeight="false" outlineLevel="0" collapsed="false">
      <c r="I771" s="12"/>
    </row>
    <row r="772" customFormat="false" ht="15" hidden="false" customHeight="false" outlineLevel="0" collapsed="false">
      <c r="I772" s="12"/>
    </row>
    <row r="773" customFormat="false" ht="15" hidden="false" customHeight="false" outlineLevel="0" collapsed="false">
      <c r="I773" s="12"/>
    </row>
    <row r="774" customFormat="false" ht="15" hidden="false" customHeight="false" outlineLevel="0" collapsed="false">
      <c r="I774" s="12"/>
    </row>
    <row r="775" customFormat="false" ht="15" hidden="false" customHeight="false" outlineLevel="0" collapsed="false">
      <c r="I775" s="12"/>
    </row>
    <row r="776" customFormat="false" ht="15" hidden="false" customHeight="false" outlineLevel="0" collapsed="false">
      <c r="I776" s="12"/>
    </row>
    <row r="777" customFormat="false" ht="15" hidden="false" customHeight="false" outlineLevel="0" collapsed="false">
      <c r="I777" s="12"/>
    </row>
    <row r="778" customFormat="false" ht="15" hidden="false" customHeight="false" outlineLevel="0" collapsed="false">
      <c r="I778" s="12"/>
    </row>
    <row r="779" customFormat="false" ht="15" hidden="false" customHeight="false" outlineLevel="0" collapsed="false">
      <c r="I779" s="12"/>
    </row>
    <row r="780" customFormat="false" ht="15" hidden="false" customHeight="false" outlineLevel="0" collapsed="false">
      <c r="I780" s="12"/>
    </row>
    <row r="781" customFormat="false" ht="15" hidden="false" customHeight="false" outlineLevel="0" collapsed="false">
      <c r="I781" s="12"/>
    </row>
    <row r="782" customFormat="false" ht="15" hidden="false" customHeight="false" outlineLevel="0" collapsed="false">
      <c r="I782" s="12"/>
    </row>
    <row r="783" customFormat="false" ht="15" hidden="false" customHeight="false" outlineLevel="0" collapsed="false">
      <c r="I783" s="12"/>
    </row>
    <row r="784" customFormat="false" ht="15" hidden="false" customHeight="false" outlineLevel="0" collapsed="false">
      <c r="I784" s="12"/>
    </row>
    <row r="785" customFormat="false" ht="15" hidden="false" customHeight="false" outlineLevel="0" collapsed="false">
      <c r="I785" s="12"/>
    </row>
    <row r="786" customFormat="false" ht="15" hidden="false" customHeight="false" outlineLevel="0" collapsed="false">
      <c r="I786" s="12"/>
    </row>
    <row r="787" customFormat="false" ht="15" hidden="false" customHeight="false" outlineLevel="0" collapsed="false">
      <c r="I787" s="12"/>
    </row>
    <row r="788" customFormat="false" ht="15" hidden="false" customHeight="false" outlineLevel="0" collapsed="false">
      <c r="I788" s="12"/>
    </row>
    <row r="789" customFormat="false" ht="15" hidden="false" customHeight="false" outlineLevel="0" collapsed="false">
      <c r="I789" s="12"/>
    </row>
    <row r="790" customFormat="false" ht="15" hidden="false" customHeight="false" outlineLevel="0" collapsed="false">
      <c r="I790" s="12"/>
    </row>
    <row r="791" customFormat="false" ht="15" hidden="false" customHeight="false" outlineLevel="0" collapsed="false">
      <c r="I791" s="12"/>
    </row>
    <row r="792" customFormat="false" ht="15" hidden="false" customHeight="false" outlineLevel="0" collapsed="false">
      <c r="I792" s="12"/>
    </row>
    <row r="793" customFormat="false" ht="15" hidden="false" customHeight="false" outlineLevel="0" collapsed="false">
      <c r="I793" s="12"/>
    </row>
    <row r="794" customFormat="false" ht="15" hidden="false" customHeight="false" outlineLevel="0" collapsed="false">
      <c r="I794" s="12"/>
    </row>
    <row r="795" customFormat="false" ht="15" hidden="false" customHeight="false" outlineLevel="0" collapsed="false">
      <c r="I795" s="12"/>
    </row>
    <row r="796" customFormat="false" ht="15" hidden="false" customHeight="false" outlineLevel="0" collapsed="false">
      <c r="I796" s="12"/>
    </row>
    <row r="797" customFormat="false" ht="15" hidden="false" customHeight="false" outlineLevel="0" collapsed="false">
      <c r="I797" s="12"/>
    </row>
    <row r="798" customFormat="false" ht="15" hidden="false" customHeight="false" outlineLevel="0" collapsed="false">
      <c r="I798" s="12"/>
    </row>
    <row r="799" customFormat="false" ht="15" hidden="false" customHeight="false" outlineLevel="0" collapsed="false">
      <c r="I799" s="12"/>
    </row>
    <row r="800" customFormat="false" ht="15" hidden="false" customHeight="false" outlineLevel="0" collapsed="false">
      <c r="I800" s="12"/>
    </row>
    <row r="801" customFormat="false" ht="15" hidden="false" customHeight="false" outlineLevel="0" collapsed="false">
      <c r="I801" s="12"/>
    </row>
    <row r="802" customFormat="false" ht="15" hidden="false" customHeight="false" outlineLevel="0" collapsed="false">
      <c r="I802" s="12"/>
    </row>
    <row r="803" customFormat="false" ht="15" hidden="false" customHeight="false" outlineLevel="0" collapsed="false">
      <c r="I803" s="12"/>
    </row>
    <row r="804" customFormat="false" ht="15" hidden="false" customHeight="false" outlineLevel="0" collapsed="false">
      <c r="I804" s="12"/>
    </row>
    <row r="805" customFormat="false" ht="15" hidden="false" customHeight="false" outlineLevel="0" collapsed="false">
      <c r="I805" s="12"/>
    </row>
    <row r="806" customFormat="false" ht="15" hidden="false" customHeight="false" outlineLevel="0" collapsed="false">
      <c r="I806" s="12"/>
    </row>
    <row r="807" customFormat="false" ht="15" hidden="false" customHeight="false" outlineLevel="0" collapsed="false">
      <c r="I807" s="12"/>
    </row>
    <row r="808" customFormat="false" ht="15" hidden="false" customHeight="false" outlineLevel="0" collapsed="false">
      <c r="I808" s="12"/>
    </row>
    <row r="809" customFormat="false" ht="15" hidden="false" customHeight="false" outlineLevel="0" collapsed="false">
      <c r="I809" s="12"/>
    </row>
    <row r="810" customFormat="false" ht="15" hidden="false" customHeight="false" outlineLevel="0" collapsed="false">
      <c r="I810" s="12"/>
    </row>
    <row r="811" customFormat="false" ht="15" hidden="false" customHeight="false" outlineLevel="0" collapsed="false">
      <c r="I811" s="12"/>
    </row>
    <row r="812" customFormat="false" ht="15" hidden="false" customHeight="false" outlineLevel="0" collapsed="false">
      <c r="I812" s="12"/>
    </row>
    <row r="813" customFormat="false" ht="15" hidden="false" customHeight="false" outlineLevel="0" collapsed="false">
      <c r="I813" s="12"/>
    </row>
    <row r="814" customFormat="false" ht="15" hidden="false" customHeight="false" outlineLevel="0" collapsed="false">
      <c r="I814" s="12"/>
    </row>
    <row r="815" customFormat="false" ht="15" hidden="false" customHeight="false" outlineLevel="0" collapsed="false">
      <c r="I815" s="12"/>
    </row>
    <row r="816" customFormat="false" ht="15" hidden="false" customHeight="false" outlineLevel="0" collapsed="false">
      <c r="I816" s="12"/>
    </row>
    <row r="817" customFormat="false" ht="15" hidden="false" customHeight="false" outlineLevel="0" collapsed="false">
      <c r="I817" s="12"/>
    </row>
    <row r="818" customFormat="false" ht="15" hidden="false" customHeight="false" outlineLevel="0" collapsed="false">
      <c r="I818" s="12"/>
    </row>
    <row r="819" customFormat="false" ht="15" hidden="false" customHeight="false" outlineLevel="0" collapsed="false">
      <c r="I819" s="12"/>
    </row>
    <row r="820" customFormat="false" ht="15" hidden="false" customHeight="false" outlineLevel="0" collapsed="false">
      <c r="I820" s="12"/>
    </row>
    <row r="821" customFormat="false" ht="15" hidden="false" customHeight="false" outlineLevel="0" collapsed="false">
      <c r="I821" s="12"/>
    </row>
    <row r="822" customFormat="false" ht="15" hidden="false" customHeight="false" outlineLevel="0" collapsed="false">
      <c r="I822" s="12"/>
    </row>
    <row r="823" customFormat="false" ht="15" hidden="false" customHeight="false" outlineLevel="0" collapsed="false">
      <c r="I823" s="12"/>
    </row>
    <row r="824" customFormat="false" ht="15" hidden="false" customHeight="false" outlineLevel="0" collapsed="false">
      <c r="I824" s="12"/>
    </row>
    <row r="825" customFormat="false" ht="15" hidden="false" customHeight="false" outlineLevel="0" collapsed="false">
      <c r="I825" s="12"/>
    </row>
    <row r="826" customFormat="false" ht="15" hidden="false" customHeight="false" outlineLevel="0" collapsed="false">
      <c r="I826" s="12"/>
    </row>
    <row r="827" customFormat="false" ht="15" hidden="false" customHeight="false" outlineLevel="0" collapsed="false">
      <c r="I827" s="12"/>
    </row>
    <row r="828" customFormat="false" ht="15" hidden="false" customHeight="false" outlineLevel="0" collapsed="false">
      <c r="I828" s="12"/>
    </row>
    <row r="829" customFormat="false" ht="15" hidden="false" customHeight="false" outlineLevel="0" collapsed="false">
      <c r="I829" s="12"/>
    </row>
    <row r="830" customFormat="false" ht="15" hidden="false" customHeight="false" outlineLevel="0" collapsed="false">
      <c r="I830" s="12"/>
    </row>
    <row r="831" customFormat="false" ht="15" hidden="false" customHeight="false" outlineLevel="0" collapsed="false">
      <c r="I831" s="12"/>
    </row>
    <row r="832" customFormat="false" ht="15" hidden="false" customHeight="false" outlineLevel="0" collapsed="false">
      <c r="I832" s="12"/>
    </row>
    <row r="833" customFormat="false" ht="15" hidden="false" customHeight="false" outlineLevel="0" collapsed="false">
      <c r="I833" s="12"/>
    </row>
    <row r="834" customFormat="false" ht="15" hidden="false" customHeight="false" outlineLevel="0" collapsed="false">
      <c r="I834" s="12"/>
    </row>
    <row r="835" customFormat="false" ht="15" hidden="false" customHeight="false" outlineLevel="0" collapsed="false">
      <c r="I835" s="12"/>
    </row>
    <row r="836" customFormat="false" ht="15" hidden="false" customHeight="false" outlineLevel="0" collapsed="false">
      <c r="I836" s="12"/>
    </row>
    <row r="837" customFormat="false" ht="15" hidden="false" customHeight="false" outlineLevel="0" collapsed="false">
      <c r="I837" s="12"/>
    </row>
    <row r="838" customFormat="false" ht="15" hidden="false" customHeight="false" outlineLevel="0" collapsed="false">
      <c r="I838" s="12"/>
    </row>
    <row r="839" customFormat="false" ht="15" hidden="false" customHeight="false" outlineLevel="0" collapsed="false">
      <c r="I839" s="12"/>
    </row>
    <row r="840" customFormat="false" ht="15" hidden="false" customHeight="false" outlineLevel="0" collapsed="false">
      <c r="I840" s="12"/>
    </row>
    <row r="841" customFormat="false" ht="15" hidden="false" customHeight="false" outlineLevel="0" collapsed="false">
      <c r="I841" s="12"/>
    </row>
    <row r="842" customFormat="false" ht="15" hidden="false" customHeight="false" outlineLevel="0" collapsed="false">
      <c r="I842" s="12"/>
    </row>
    <row r="843" customFormat="false" ht="15" hidden="false" customHeight="false" outlineLevel="0" collapsed="false">
      <c r="I843" s="12"/>
    </row>
    <row r="844" customFormat="false" ht="15" hidden="false" customHeight="false" outlineLevel="0" collapsed="false">
      <c r="I844" s="12"/>
    </row>
    <row r="845" customFormat="false" ht="15" hidden="false" customHeight="false" outlineLevel="0" collapsed="false">
      <c r="I845" s="12"/>
    </row>
    <row r="846" customFormat="false" ht="15" hidden="false" customHeight="false" outlineLevel="0" collapsed="false">
      <c r="I846" s="12"/>
    </row>
    <row r="847" customFormat="false" ht="15" hidden="false" customHeight="false" outlineLevel="0" collapsed="false">
      <c r="I847" s="12"/>
    </row>
    <row r="848" customFormat="false" ht="15" hidden="false" customHeight="false" outlineLevel="0" collapsed="false">
      <c r="I848" s="12"/>
    </row>
    <row r="849" customFormat="false" ht="15" hidden="false" customHeight="false" outlineLevel="0" collapsed="false">
      <c r="I849" s="12"/>
    </row>
    <row r="850" customFormat="false" ht="15" hidden="false" customHeight="false" outlineLevel="0" collapsed="false">
      <c r="I850" s="12"/>
    </row>
    <row r="851" customFormat="false" ht="15" hidden="false" customHeight="false" outlineLevel="0" collapsed="false">
      <c r="I851" s="12"/>
    </row>
    <row r="852" customFormat="false" ht="15" hidden="false" customHeight="false" outlineLevel="0" collapsed="false">
      <c r="I852" s="12"/>
    </row>
    <row r="853" customFormat="false" ht="15" hidden="false" customHeight="false" outlineLevel="0" collapsed="false">
      <c r="I853" s="12"/>
    </row>
    <row r="854" customFormat="false" ht="15" hidden="false" customHeight="false" outlineLevel="0" collapsed="false">
      <c r="I854" s="12"/>
    </row>
    <row r="855" customFormat="false" ht="15" hidden="false" customHeight="false" outlineLevel="0" collapsed="false">
      <c r="I855" s="12"/>
    </row>
    <row r="856" customFormat="false" ht="15" hidden="false" customHeight="false" outlineLevel="0" collapsed="false">
      <c r="I856" s="12"/>
    </row>
    <row r="857" customFormat="false" ht="15" hidden="false" customHeight="false" outlineLevel="0" collapsed="false">
      <c r="I857" s="12"/>
    </row>
    <row r="858" customFormat="false" ht="15" hidden="false" customHeight="false" outlineLevel="0" collapsed="false">
      <c r="I858" s="12"/>
    </row>
    <row r="859" customFormat="false" ht="15" hidden="false" customHeight="false" outlineLevel="0" collapsed="false">
      <c r="I859" s="12"/>
    </row>
    <row r="860" customFormat="false" ht="15" hidden="false" customHeight="false" outlineLevel="0" collapsed="false">
      <c r="I860" s="12"/>
    </row>
    <row r="861" customFormat="false" ht="15" hidden="false" customHeight="false" outlineLevel="0" collapsed="false">
      <c r="I861" s="12"/>
    </row>
    <row r="862" customFormat="false" ht="15" hidden="false" customHeight="false" outlineLevel="0" collapsed="false">
      <c r="I862" s="12"/>
    </row>
    <row r="863" customFormat="false" ht="15" hidden="false" customHeight="false" outlineLevel="0" collapsed="false">
      <c r="I863" s="12"/>
    </row>
    <row r="864" customFormat="false" ht="15" hidden="false" customHeight="false" outlineLevel="0" collapsed="false">
      <c r="I864" s="12"/>
    </row>
    <row r="865" customFormat="false" ht="15" hidden="false" customHeight="false" outlineLevel="0" collapsed="false">
      <c r="I865" s="12"/>
    </row>
    <row r="866" customFormat="false" ht="15" hidden="false" customHeight="false" outlineLevel="0" collapsed="false">
      <c r="I866" s="12"/>
    </row>
    <row r="867" customFormat="false" ht="15" hidden="false" customHeight="false" outlineLevel="0" collapsed="false">
      <c r="I867" s="12"/>
    </row>
    <row r="868" customFormat="false" ht="15" hidden="false" customHeight="false" outlineLevel="0" collapsed="false">
      <c r="I868" s="12"/>
    </row>
    <row r="869" customFormat="false" ht="15" hidden="false" customHeight="false" outlineLevel="0" collapsed="false">
      <c r="I869" s="12"/>
    </row>
    <row r="870" customFormat="false" ht="15" hidden="false" customHeight="false" outlineLevel="0" collapsed="false">
      <c r="I870" s="12"/>
    </row>
    <row r="871" customFormat="false" ht="15" hidden="false" customHeight="false" outlineLevel="0" collapsed="false">
      <c r="I871" s="12"/>
    </row>
    <row r="872" customFormat="false" ht="15" hidden="false" customHeight="false" outlineLevel="0" collapsed="false">
      <c r="I872" s="12"/>
    </row>
    <row r="873" customFormat="false" ht="15" hidden="false" customHeight="false" outlineLevel="0" collapsed="false">
      <c r="I873" s="12"/>
    </row>
    <row r="874" customFormat="false" ht="15" hidden="false" customHeight="false" outlineLevel="0" collapsed="false">
      <c r="I874" s="12"/>
    </row>
    <row r="875" customFormat="false" ht="15" hidden="false" customHeight="false" outlineLevel="0" collapsed="false">
      <c r="I875" s="12"/>
    </row>
    <row r="876" customFormat="false" ht="15" hidden="false" customHeight="false" outlineLevel="0" collapsed="false">
      <c r="I876" s="12"/>
    </row>
    <row r="877" customFormat="false" ht="15" hidden="false" customHeight="false" outlineLevel="0" collapsed="false">
      <c r="I877" s="12"/>
    </row>
    <row r="878" customFormat="false" ht="15" hidden="false" customHeight="false" outlineLevel="0" collapsed="false">
      <c r="I878" s="12"/>
    </row>
    <row r="879" customFormat="false" ht="15" hidden="false" customHeight="false" outlineLevel="0" collapsed="false">
      <c r="I879" s="12"/>
    </row>
    <row r="880" customFormat="false" ht="15" hidden="false" customHeight="false" outlineLevel="0" collapsed="false">
      <c r="I880" s="12"/>
    </row>
    <row r="881" customFormat="false" ht="15" hidden="false" customHeight="false" outlineLevel="0" collapsed="false">
      <c r="I881" s="12"/>
    </row>
    <row r="882" customFormat="false" ht="15" hidden="false" customHeight="false" outlineLevel="0" collapsed="false">
      <c r="I882" s="12"/>
    </row>
    <row r="883" customFormat="false" ht="15" hidden="false" customHeight="false" outlineLevel="0" collapsed="false">
      <c r="I883" s="12"/>
    </row>
    <row r="884" customFormat="false" ht="15" hidden="false" customHeight="false" outlineLevel="0" collapsed="false">
      <c r="I884" s="12"/>
    </row>
    <row r="885" customFormat="false" ht="15" hidden="false" customHeight="false" outlineLevel="0" collapsed="false">
      <c r="I885" s="12"/>
    </row>
    <row r="886" customFormat="false" ht="15" hidden="false" customHeight="false" outlineLevel="0" collapsed="false">
      <c r="I886" s="12"/>
    </row>
    <row r="887" customFormat="false" ht="15" hidden="false" customHeight="false" outlineLevel="0" collapsed="false">
      <c r="I887" s="12"/>
    </row>
    <row r="888" customFormat="false" ht="15" hidden="false" customHeight="false" outlineLevel="0" collapsed="false">
      <c r="I888" s="12"/>
    </row>
    <row r="889" customFormat="false" ht="15" hidden="false" customHeight="false" outlineLevel="0" collapsed="false">
      <c r="I889" s="12"/>
    </row>
    <row r="890" customFormat="false" ht="15" hidden="false" customHeight="false" outlineLevel="0" collapsed="false">
      <c r="I890" s="12"/>
    </row>
    <row r="891" customFormat="false" ht="15" hidden="false" customHeight="false" outlineLevel="0" collapsed="false">
      <c r="I891" s="12"/>
    </row>
    <row r="892" customFormat="false" ht="15" hidden="false" customHeight="false" outlineLevel="0" collapsed="false">
      <c r="I892" s="12"/>
    </row>
    <row r="893" customFormat="false" ht="15" hidden="false" customHeight="false" outlineLevel="0" collapsed="false">
      <c r="I893" s="12"/>
    </row>
    <row r="894" customFormat="false" ht="15" hidden="false" customHeight="false" outlineLevel="0" collapsed="false">
      <c r="I894" s="12"/>
    </row>
    <row r="895" customFormat="false" ht="15" hidden="false" customHeight="false" outlineLevel="0" collapsed="false">
      <c r="I895" s="12"/>
    </row>
    <row r="896" customFormat="false" ht="15" hidden="false" customHeight="false" outlineLevel="0" collapsed="false">
      <c r="I896" s="12"/>
    </row>
    <row r="897" customFormat="false" ht="15" hidden="false" customHeight="false" outlineLevel="0" collapsed="false">
      <c r="I897" s="12"/>
    </row>
    <row r="898" customFormat="false" ht="15" hidden="false" customHeight="false" outlineLevel="0" collapsed="false">
      <c r="I898" s="12"/>
    </row>
    <row r="899" customFormat="false" ht="15" hidden="false" customHeight="false" outlineLevel="0" collapsed="false">
      <c r="I899" s="12"/>
    </row>
    <row r="900" customFormat="false" ht="15" hidden="false" customHeight="false" outlineLevel="0" collapsed="false">
      <c r="I900" s="12"/>
    </row>
    <row r="901" customFormat="false" ht="15" hidden="false" customHeight="false" outlineLevel="0" collapsed="false">
      <c r="I901" s="12"/>
    </row>
    <row r="902" customFormat="false" ht="15" hidden="false" customHeight="false" outlineLevel="0" collapsed="false">
      <c r="I902" s="12"/>
    </row>
    <row r="903" customFormat="false" ht="15" hidden="false" customHeight="false" outlineLevel="0" collapsed="false">
      <c r="I903" s="12"/>
    </row>
    <row r="904" customFormat="false" ht="15" hidden="false" customHeight="false" outlineLevel="0" collapsed="false">
      <c r="I904" s="12"/>
    </row>
    <row r="905" customFormat="false" ht="15" hidden="false" customHeight="false" outlineLevel="0" collapsed="false">
      <c r="I905" s="12"/>
    </row>
    <row r="906" customFormat="false" ht="15" hidden="false" customHeight="false" outlineLevel="0" collapsed="false">
      <c r="I906" s="12"/>
    </row>
    <row r="907" customFormat="false" ht="15" hidden="false" customHeight="false" outlineLevel="0" collapsed="false">
      <c r="I907" s="12"/>
    </row>
    <row r="908" customFormat="false" ht="15" hidden="false" customHeight="false" outlineLevel="0" collapsed="false">
      <c r="I908" s="12"/>
    </row>
    <row r="909" customFormat="false" ht="15" hidden="false" customHeight="false" outlineLevel="0" collapsed="false">
      <c r="I909" s="12"/>
    </row>
    <row r="910" customFormat="false" ht="15" hidden="false" customHeight="false" outlineLevel="0" collapsed="false">
      <c r="I910" s="12"/>
    </row>
    <row r="911" customFormat="false" ht="15" hidden="false" customHeight="false" outlineLevel="0" collapsed="false">
      <c r="I911" s="12"/>
    </row>
    <row r="912" customFormat="false" ht="15" hidden="false" customHeight="false" outlineLevel="0" collapsed="false">
      <c r="I912" s="12"/>
    </row>
    <row r="913" customFormat="false" ht="15" hidden="false" customHeight="false" outlineLevel="0" collapsed="false">
      <c r="I913" s="12"/>
    </row>
    <row r="914" customFormat="false" ht="15" hidden="false" customHeight="false" outlineLevel="0" collapsed="false">
      <c r="I914" s="12"/>
    </row>
    <row r="915" customFormat="false" ht="15" hidden="false" customHeight="false" outlineLevel="0" collapsed="false">
      <c r="I915" s="12"/>
    </row>
    <row r="916" customFormat="false" ht="15" hidden="false" customHeight="false" outlineLevel="0" collapsed="false">
      <c r="I916" s="12"/>
    </row>
    <row r="917" customFormat="false" ht="15" hidden="false" customHeight="false" outlineLevel="0" collapsed="false">
      <c r="I917" s="12"/>
    </row>
    <row r="918" customFormat="false" ht="15" hidden="false" customHeight="false" outlineLevel="0" collapsed="false">
      <c r="I918" s="12"/>
    </row>
    <row r="919" customFormat="false" ht="15" hidden="false" customHeight="false" outlineLevel="0" collapsed="false">
      <c r="I919" s="12"/>
    </row>
    <row r="920" customFormat="false" ht="15" hidden="false" customHeight="false" outlineLevel="0" collapsed="false">
      <c r="I920" s="12"/>
    </row>
    <row r="921" customFormat="false" ht="15" hidden="false" customHeight="false" outlineLevel="0" collapsed="false">
      <c r="I921" s="12"/>
    </row>
    <row r="922" customFormat="false" ht="15" hidden="false" customHeight="false" outlineLevel="0" collapsed="false">
      <c r="I922" s="12"/>
    </row>
    <row r="923" customFormat="false" ht="15" hidden="false" customHeight="false" outlineLevel="0" collapsed="false">
      <c r="I923" s="12"/>
    </row>
    <row r="924" customFormat="false" ht="15" hidden="false" customHeight="false" outlineLevel="0" collapsed="false">
      <c r="I924" s="12"/>
    </row>
    <row r="925" customFormat="false" ht="15" hidden="false" customHeight="false" outlineLevel="0" collapsed="false">
      <c r="I925" s="12"/>
    </row>
    <row r="926" customFormat="false" ht="15" hidden="false" customHeight="false" outlineLevel="0" collapsed="false">
      <c r="I926" s="12"/>
    </row>
    <row r="927" customFormat="false" ht="15" hidden="false" customHeight="false" outlineLevel="0" collapsed="false">
      <c r="I927" s="12"/>
    </row>
    <row r="928" customFormat="false" ht="15" hidden="false" customHeight="false" outlineLevel="0" collapsed="false">
      <c r="I928" s="12"/>
    </row>
    <row r="929" customFormat="false" ht="15" hidden="false" customHeight="false" outlineLevel="0" collapsed="false">
      <c r="I929" s="12"/>
    </row>
    <row r="930" customFormat="false" ht="15" hidden="false" customHeight="false" outlineLevel="0" collapsed="false">
      <c r="I930" s="12"/>
    </row>
    <row r="931" customFormat="false" ht="15" hidden="false" customHeight="false" outlineLevel="0" collapsed="false">
      <c r="I931" s="12"/>
    </row>
    <row r="932" customFormat="false" ht="15" hidden="false" customHeight="false" outlineLevel="0" collapsed="false">
      <c r="I932" s="12"/>
    </row>
    <row r="933" customFormat="false" ht="15" hidden="false" customHeight="false" outlineLevel="0" collapsed="false">
      <c r="I933" s="12"/>
    </row>
    <row r="934" customFormat="false" ht="15" hidden="false" customHeight="false" outlineLevel="0" collapsed="false">
      <c r="I934" s="12"/>
    </row>
    <row r="935" customFormat="false" ht="15" hidden="false" customHeight="false" outlineLevel="0" collapsed="false">
      <c r="I935" s="12"/>
    </row>
    <row r="936" customFormat="false" ht="15" hidden="false" customHeight="false" outlineLevel="0" collapsed="false">
      <c r="I936" s="12"/>
    </row>
    <row r="937" customFormat="false" ht="15" hidden="false" customHeight="false" outlineLevel="0" collapsed="false">
      <c r="I937" s="12"/>
    </row>
    <row r="938" customFormat="false" ht="15" hidden="false" customHeight="false" outlineLevel="0" collapsed="false">
      <c r="I938" s="12"/>
    </row>
    <row r="939" customFormat="false" ht="15" hidden="false" customHeight="false" outlineLevel="0" collapsed="false">
      <c r="I939" s="12"/>
    </row>
    <row r="940" customFormat="false" ht="15" hidden="false" customHeight="false" outlineLevel="0" collapsed="false">
      <c r="I940" s="12"/>
    </row>
    <row r="941" customFormat="false" ht="15" hidden="false" customHeight="false" outlineLevel="0" collapsed="false">
      <c r="I941" s="12"/>
    </row>
    <row r="942" customFormat="false" ht="15" hidden="false" customHeight="false" outlineLevel="0" collapsed="false">
      <c r="I942" s="12"/>
    </row>
    <row r="943" customFormat="false" ht="15" hidden="false" customHeight="false" outlineLevel="0" collapsed="false">
      <c r="I943" s="12"/>
    </row>
    <row r="944" customFormat="false" ht="15" hidden="false" customHeight="false" outlineLevel="0" collapsed="false">
      <c r="I944" s="12"/>
    </row>
    <row r="945" customFormat="false" ht="15" hidden="false" customHeight="false" outlineLevel="0" collapsed="false">
      <c r="I945" s="12"/>
    </row>
    <row r="946" customFormat="false" ht="15" hidden="false" customHeight="false" outlineLevel="0" collapsed="false">
      <c r="I946" s="12"/>
    </row>
    <row r="947" customFormat="false" ht="15" hidden="false" customHeight="false" outlineLevel="0" collapsed="false">
      <c r="I947" s="12"/>
    </row>
    <row r="948" customFormat="false" ht="15" hidden="false" customHeight="false" outlineLevel="0" collapsed="false">
      <c r="I948" s="12"/>
    </row>
    <row r="949" customFormat="false" ht="15" hidden="false" customHeight="false" outlineLevel="0" collapsed="false">
      <c r="I949" s="12"/>
    </row>
    <row r="950" customFormat="false" ht="15" hidden="false" customHeight="false" outlineLevel="0" collapsed="false">
      <c r="I950" s="12"/>
    </row>
    <row r="951" customFormat="false" ht="15" hidden="false" customHeight="false" outlineLevel="0" collapsed="false">
      <c r="I951" s="12"/>
    </row>
    <row r="952" customFormat="false" ht="15" hidden="false" customHeight="false" outlineLevel="0" collapsed="false">
      <c r="I952" s="12"/>
    </row>
    <row r="953" customFormat="false" ht="15" hidden="false" customHeight="false" outlineLevel="0" collapsed="false">
      <c r="I953" s="12"/>
    </row>
    <row r="954" customFormat="false" ht="15" hidden="false" customHeight="false" outlineLevel="0" collapsed="false">
      <c r="I954" s="12"/>
    </row>
    <row r="955" customFormat="false" ht="15" hidden="false" customHeight="false" outlineLevel="0" collapsed="false">
      <c r="I955" s="12"/>
    </row>
    <row r="956" customFormat="false" ht="15" hidden="false" customHeight="false" outlineLevel="0" collapsed="false">
      <c r="I956" s="12"/>
    </row>
    <row r="957" customFormat="false" ht="15" hidden="false" customHeight="false" outlineLevel="0" collapsed="false">
      <c r="I957" s="12"/>
    </row>
    <row r="958" customFormat="false" ht="15" hidden="false" customHeight="false" outlineLevel="0" collapsed="false">
      <c r="I958" s="12"/>
    </row>
    <row r="959" customFormat="false" ht="15" hidden="false" customHeight="false" outlineLevel="0" collapsed="false">
      <c r="I959" s="12"/>
    </row>
    <row r="960" customFormat="false" ht="15" hidden="false" customHeight="false" outlineLevel="0" collapsed="false">
      <c r="I960" s="12"/>
    </row>
    <row r="961" customFormat="false" ht="15" hidden="false" customHeight="false" outlineLevel="0" collapsed="false">
      <c r="I961" s="12"/>
    </row>
    <row r="962" customFormat="false" ht="15" hidden="false" customHeight="false" outlineLevel="0" collapsed="false">
      <c r="I962" s="12"/>
    </row>
    <row r="963" customFormat="false" ht="15" hidden="false" customHeight="false" outlineLevel="0" collapsed="false">
      <c r="I963" s="12"/>
    </row>
    <row r="964" customFormat="false" ht="15" hidden="false" customHeight="false" outlineLevel="0" collapsed="false">
      <c r="I964" s="12"/>
    </row>
    <row r="965" customFormat="false" ht="15" hidden="false" customHeight="false" outlineLevel="0" collapsed="false">
      <c r="I965" s="12"/>
    </row>
    <row r="966" customFormat="false" ht="15" hidden="false" customHeight="false" outlineLevel="0" collapsed="false">
      <c r="I966" s="12"/>
    </row>
    <row r="967" customFormat="false" ht="15" hidden="false" customHeight="false" outlineLevel="0" collapsed="false">
      <c r="I967" s="12"/>
    </row>
    <row r="968" customFormat="false" ht="15" hidden="false" customHeight="false" outlineLevel="0" collapsed="false">
      <c r="I968" s="12"/>
    </row>
    <row r="969" customFormat="false" ht="15" hidden="false" customHeight="false" outlineLevel="0" collapsed="false">
      <c r="I969" s="12"/>
    </row>
    <row r="970" customFormat="false" ht="15" hidden="false" customHeight="false" outlineLevel="0" collapsed="false">
      <c r="I970" s="12"/>
    </row>
    <row r="971" customFormat="false" ht="15" hidden="false" customHeight="false" outlineLevel="0" collapsed="false">
      <c r="I971" s="12"/>
    </row>
    <row r="972" customFormat="false" ht="15" hidden="false" customHeight="false" outlineLevel="0" collapsed="false">
      <c r="I972" s="12"/>
    </row>
    <row r="973" customFormat="false" ht="15" hidden="false" customHeight="false" outlineLevel="0" collapsed="false">
      <c r="I973" s="12"/>
    </row>
    <row r="974" customFormat="false" ht="15" hidden="false" customHeight="false" outlineLevel="0" collapsed="false">
      <c r="I974" s="12"/>
    </row>
    <row r="975" customFormat="false" ht="15" hidden="false" customHeight="false" outlineLevel="0" collapsed="false">
      <c r="I975" s="12"/>
    </row>
    <row r="976" customFormat="false" ht="15" hidden="false" customHeight="false" outlineLevel="0" collapsed="false">
      <c r="I976" s="12"/>
    </row>
    <row r="977" customFormat="false" ht="15" hidden="false" customHeight="false" outlineLevel="0" collapsed="false">
      <c r="I977" s="12"/>
    </row>
    <row r="978" customFormat="false" ht="15" hidden="false" customHeight="false" outlineLevel="0" collapsed="false">
      <c r="I978" s="12"/>
    </row>
    <row r="979" customFormat="false" ht="15" hidden="false" customHeight="false" outlineLevel="0" collapsed="false">
      <c r="I979" s="12"/>
    </row>
    <row r="980" customFormat="false" ht="15" hidden="false" customHeight="false" outlineLevel="0" collapsed="false">
      <c r="I980" s="12"/>
    </row>
    <row r="981" customFormat="false" ht="15" hidden="false" customHeight="false" outlineLevel="0" collapsed="false">
      <c r="I981" s="12"/>
    </row>
    <row r="982" customFormat="false" ht="15" hidden="false" customHeight="false" outlineLevel="0" collapsed="false">
      <c r="I982" s="12"/>
    </row>
    <row r="983" customFormat="false" ht="15" hidden="false" customHeight="false" outlineLevel="0" collapsed="false">
      <c r="I983" s="12"/>
    </row>
    <row r="984" customFormat="false" ht="15" hidden="false" customHeight="false" outlineLevel="0" collapsed="false">
      <c r="I984" s="12"/>
    </row>
    <row r="985" customFormat="false" ht="15" hidden="false" customHeight="false" outlineLevel="0" collapsed="false">
      <c r="I985" s="12"/>
    </row>
    <row r="986" customFormat="false" ht="15" hidden="false" customHeight="false" outlineLevel="0" collapsed="false">
      <c r="I986" s="12"/>
    </row>
    <row r="987" customFormat="false" ht="15" hidden="false" customHeight="false" outlineLevel="0" collapsed="false">
      <c r="I987" s="12"/>
    </row>
    <row r="988" customFormat="false" ht="15" hidden="false" customHeight="false" outlineLevel="0" collapsed="false">
      <c r="I988" s="12"/>
    </row>
    <row r="989" customFormat="false" ht="15" hidden="false" customHeight="false" outlineLevel="0" collapsed="false">
      <c r="I989" s="12"/>
    </row>
    <row r="990" customFormat="false" ht="15" hidden="false" customHeight="false" outlineLevel="0" collapsed="false">
      <c r="I990" s="12"/>
    </row>
    <row r="991" customFormat="false" ht="15" hidden="false" customHeight="false" outlineLevel="0" collapsed="false">
      <c r="I991" s="12"/>
    </row>
    <row r="992" customFormat="false" ht="15" hidden="false" customHeight="false" outlineLevel="0" collapsed="false">
      <c r="I992" s="12"/>
    </row>
    <row r="993" customFormat="false" ht="15" hidden="false" customHeight="false" outlineLevel="0" collapsed="false">
      <c r="I993" s="12"/>
    </row>
    <row r="994" customFormat="false" ht="15" hidden="false" customHeight="false" outlineLevel="0" collapsed="false">
      <c r="I994" s="12"/>
    </row>
    <row r="995" customFormat="false" ht="15" hidden="false" customHeight="false" outlineLevel="0" collapsed="false">
      <c r="I995" s="12"/>
    </row>
    <row r="996" customFormat="false" ht="15" hidden="false" customHeight="false" outlineLevel="0" collapsed="false">
      <c r="I996" s="12"/>
    </row>
    <row r="997" customFormat="false" ht="15" hidden="false" customHeight="false" outlineLevel="0" collapsed="false">
      <c r="I997" s="12"/>
    </row>
    <row r="998" customFormat="false" ht="15" hidden="false" customHeight="false" outlineLevel="0" collapsed="false">
      <c r="I998" s="12"/>
    </row>
    <row r="999" customFormat="false" ht="15" hidden="false" customHeight="false" outlineLevel="0" collapsed="false">
      <c r="I999" s="12"/>
    </row>
    <row r="1000" customFormat="false" ht="15" hidden="false" customHeight="false" outlineLevel="0" collapsed="false">
      <c r="I1000" s="12"/>
    </row>
    <row r="1001" customFormat="false" ht="15" hidden="false" customHeight="false" outlineLevel="0" collapsed="false">
      <c r="I1001" s="12"/>
    </row>
    <row r="1002" customFormat="false" ht="15" hidden="false" customHeight="false" outlineLevel="0" collapsed="false">
      <c r="I1002" s="12"/>
    </row>
    <row r="1003" customFormat="false" ht="15" hidden="false" customHeight="false" outlineLevel="0" collapsed="false">
      <c r="I1003" s="12"/>
    </row>
    <row r="1004" customFormat="false" ht="15" hidden="false" customHeight="false" outlineLevel="0" collapsed="false">
      <c r="I1004" s="12"/>
    </row>
    <row r="1005" customFormat="false" ht="15" hidden="false" customHeight="false" outlineLevel="0" collapsed="false">
      <c r="I1005" s="12"/>
    </row>
    <row r="1006" customFormat="false" ht="15" hidden="false" customHeight="false" outlineLevel="0" collapsed="false">
      <c r="I1006" s="12"/>
    </row>
    <row r="1007" customFormat="false" ht="15" hidden="false" customHeight="false" outlineLevel="0" collapsed="false">
      <c r="I1007" s="12"/>
    </row>
    <row r="1008" customFormat="false" ht="15" hidden="false" customHeight="false" outlineLevel="0" collapsed="false">
      <c r="I1008" s="12"/>
    </row>
    <row r="1009" customFormat="false" ht="15" hidden="false" customHeight="false" outlineLevel="0" collapsed="false">
      <c r="I1009" s="12"/>
    </row>
    <row r="1010" customFormat="false" ht="15" hidden="false" customHeight="false" outlineLevel="0" collapsed="false">
      <c r="I1010" s="12"/>
    </row>
    <row r="1011" customFormat="false" ht="15" hidden="false" customHeight="false" outlineLevel="0" collapsed="false">
      <c r="I1011" s="12"/>
    </row>
    <row r="1012" customFormat="false" ht="15" hidden="false" customHeight="false" outlineLevel="0" collapsed="false">
      <c r="I1012" s="12"/>
    </row>
    <row r="1013" customFormat="false" ht="15" hidden="false" customHeight="false" outlineLevel="0" collapsed="false">
      <c r="I1013" s="12"/>
    </row>
    <row r="1014" customFormat="false" ht="15" hidden="false" customHeight="false" outlineLevel="0" collapsed="false">
      <c r="I1014" s="12"/>
    </row>
    <row r="1015" customFormat="false" ht="15" hidden="false" customHeight="false" outlineLevel="0" collapsed="false">
      <c r="I1015" s="12"/>
    </row>
    <row r="1016" customFormat="false" ht="15" hidden="false" customHeight="false" outlineLevel="0" collapsed="false">
      <c r="I1016" s="12"/>
    </row>
    <row r="1017" customFormat="false" ht="15" hidden="false" customHeight="false" outlineLevel="0" collapsed="false">
      <c r="I1017" s="12"/>
    </row>
    <row r="1018" customFormat="false" ht="15" hidden="false" customHeight="false" outlineLevel="0" collapsed="false">
      <c r="I1018" s="12"/>
    </row>
    <row r="1019" customFormat="false" ht="15" hidden="false" customHeight="false" outlineLevel="0" collapsed="false">
      <c r="I1019" s="12"/>
    </row>
    <row r="1020" customFormat="false" ht="15" hidden="false" customHeight="false" outlineLevel="0" collapsed="false">
      <c r="I1020" s="12"/>
    </row>
    <row r="1021" customFormat="false" ht="15" hidden="false" customHeight="false" outlineLevel="0" collapsed="false">
      <c r="I1021" s="12"/>
    </row>
    <row r="1022" customFormat="false" ht="15" hidden="false" customHeight="false" outlineLevel="0" collapsed="false">
      <c r="I1022" s="12"/>
    </row>
    <row r="1023" customFormat="false" ht="15" hidden="false" customHeight="false" outlineLevel="0" collapsed="false">
      <c r="I1023" s="12"/>
    </row>
    <row r="1024" customFormat="false" ht="15" hidden="false" customHeight="false" outlineLevel="0" collapsed="false">
      <c r="I1024" s="12"/>
    </row>
    <row r="1025" customFormat="false" ht="15" hidden="false" customHeight="false" outlineLevel="0" collapsed="false">
      <c r="I1025" s="12"/>
    </row>
    <row r="1026" customFormat="false" ht="15" hidden="false" customHeight="false" outlineLevel="0" collapsed="false">
      <c r="I1026" s="12"/>
    </row>
    <row r="1027" customFormat="false" ht="15" hidden="false" customHeight="false" outlineLevel="0" collapsed="false">
      <c r="I1027" s="12"/>
    </row>
    <row r="1028" customFormat="false" ht="15" hidden="false" customHeight="false" outlineLevel="0" collapsed="false">
      <c r="I1028" s="12"/>
    </row>
    <row r="1029" customFormat="false" ht="15" hidden="false" customHeight="false" outlineLevel="0" collapsed="false">
      <c r="I1029" s="12"/>
    </row>
    <row r="1030" customFormat="false" ht="15" hidden="false" customHeight="false" outlineLevel="0" collapsed="false">
      <c r="I1030" s="12"/>
    </row>
    <row r="1031" customFormat="false" ht="15" hidden="false" customHeight="false" outlineLevel="0" collapsed="false">
      <c r="I1031" s="12"/>
    </row>
    <row r="1032" customFormat="false" ht="15" hidden="false" customHeight="false" outlineLevel="0" collapsed="false">
      <c r="I1032" s="12"/>
    </row>
    <row r="1033" customFormat="false" ht="15" hidden="false" customHeight="false" outlineLevel="0" collapsed="false">
      <c r="I1033" s="12"/>
    </row>
    <row r="1034" customFormat="false" ht="15" hidden="false" customHeight="false" outlineLevel="0" collapsed="false">
      <c r="I1034" s="12"/>
    </row>
    <row r="1035" customFormat="false" ht="15" hidden="false" customHeight="false" outlineLevel="0" collapsed="false">
      <c r="I1035" s="12"/>
    </row>
    <row r="1036" customFormat="false" ht="15" hidden="false" customHeight="false" outlineLevel="0" collapsed="false">
      <c r="I1036" s="12"/>
    </row>
    <row r="1037" customFormat="false" ht="15" hidden="false" customHeight="false" outlineLevel="0" collapsed="false">
      <c r="I1037" s="12"/>
    </row>
    <row r="1038" customFormat="false" ht="15" hidden="false" customHeight="false" outlineLevel="0" collapsed="false">
      <c r="I1038" s="12"/>
    </row>
    <row r="1039" customFormat="false" ht="15" hidden="false" customHeight="false" outlineLevel="0" collapsed="false">
      <c r="I1039" s="12"/>
    </row>
    <row r="1040" customFormat="false" ht="15" hidden="false" customHeight="false" outlineLevel="0" collapsed="false">
      <c r="I1040" s="12"/>
    </row>
    <row r="1041" customFormat="false" ht="15" hidden="false" customHeight="false" outlineLevel="0" collapsed="false">
      <c r="I1041" s="12"/>
    </row>
    <row r="1042" customFormat="false" ht="15" hidden="false" customHeight="false" outlineLevel="0" collapsed="false">
      <c r="I1042" s="12"/>
    </row>
    <row r="1043" customFormat="false" ht="15" hidden="false" customHeight="false" outlineLevel="0" collapsed="false">
      <c r="I1043" s="12"/>
    </row>
    <row r="1044" customFormat="false" ht="15" hidden="false" customHeight="false" outlineLevel="0" collapsed="false">
      <c r="I1044" s="12"/>
    </row>
    <row r="1045" customFormat="false" ht="15" hidden="false" customHeight="false" outlineLevel="0" collapsed="false">
      <c r="I1045" s="12"/>
    </row>
    <row r="1046" customFormat="false" ht="15" hidden="false" customHeight="false" outlineLevel="0" collapsed="false">
      <c r="I1046" s="12"/>
    </row>
    <row r="1047" customFormat="false" ht="15" hidden="false" customHeight="false" outlineLevel="0" collapsed="false">
      <c r="I1047" s="12"/>
    </row>
    <row r="1048" customFormat="false" ht="15" hidden="false" customHeight="false" outlineLevel="0" collapsed="false">
      <c r="I1048" s="12"/>
    </row>
    <row r="1049" customFormat="false" ht="15" hidden="false" customHeight="false" outlineLevel="0" collapsed="false">
      <c r="I1049" s="12"/>
    </row>
    <row r="1050" customFormat="false" ht="15" hidden="false" customHeight="false" outlineLevel="0" collapsed="false">
      <c r="I1050" s="12"/>
    </row>
    <row r="1051" customFormat="false" ht="15" hidden="false" customHeight="false" outlineLevel="0" collapsed="false">
      <c r="I1051" s="12"/>
    </row>
    <row r="1052" customFormat="false" ht="15" hidden="false" customHeight="false" outlineLevel="0" collapsed="false">
      <c r="I1052" s="12"/>
    </row>
    <row r="1053" customFormat="false" ht="15" hidden="false" customHeight="false" outlineLevel="0" collapsed="false">
      <c r="I1053" s="12"/>
    </row>
    <row r="1054" customFormat="false" ht="15" hidden="false" customHeight="false" outlineLevel="0" collapsed="false">
      <c r="I1054" s="12"/>
    </row>
    <row r="1055" customFormat="false" ht="15" hidden="false" customHeight="false" outlineLevel="0" collapsed="false">
      <c r="I1055" s="12"/>
    </row>
    <row r="1056" customFormat="false" ht="15" hidden="false" customHeight="false" outlineLevel="0" collapsed="false">
      <c r="I1056" s="12"/>
    </row>
    <row r="1057" customFormat="false" ht="15" hidden="false" customHeight="false" outlineLevel="0" collapsed="false">
      <c r="I1057" s="12"/>
    </row>
    <row r="1058" customFormat="false" ht="15" hidden="false" customHeight="false" outlineLevel="0" collapsed="false">
      <c r="I1058" s="12"/>
    </row>
    <row r="1059" customFormat="false" ht="15" hidden="false" customHeight="false" outlineLevel="0" collapsed="false">
      <c r="I1059" s="12"/>
    </row>
    <row r="1060" customFormat="false" ht="15" hidden="false" customHeight="false" outlineLevel="0" collapsed="false">
      <c r="I1060" s="12"/>
    </row>
    <row r="1061" customFormat="false" ht="15" hidden="false" customHeight="false" outlineLevel="0" collapsed="false">
      <c r="I1061" s="12"/>
    </row>
    <row r="1062" customFormat="false" ht="15" hidden="false" customHeight="false" outlineLevel="0" collapsed="false">
      <c r="I1062" s="12"/>
    </row>
    <row r="1063" customFormat="false" ht="15" hidden="false" customHeight="false" outlineLevel="0" collapsed="false">
      <c r="I1063" s="12"/>
    </row>
    <row r="1064" customFormat="false" ht="15" hidden="false" customHeight="false" outlineLevel="0" collapsed="false">
      <c r="I1064" s="12"/>
    </row>
    <row r="1065" customFormat="false" ht="15" hidden="false" customHeight="false" outlineLevel="0" collapsed="false">
      <c r="I1065" s="12"/>
    </row>
    <row r="1066" customFormat="false" ht="15" hidden="false" customHeight="false" outlineLevel="0" collapsed="false">
      <c r="I1066" s="12"/>
    </row>
    <row r="1067" customFormat="false" ht="15" hidden="false" customHeight="false" outlineLevel="0" collapsed="false">
      <c r="I1067" s="12"/>
    </row>
    <row r="1068" customFormat="false" ht="15" hidden="false" customHeight="false" outlineLevel="0" collapsed="false">
      <c r="I1068" s="12"/>
    </row>
    <row r="1069" customFormat="false" ht="15" hidden="false" customHeight="false" outlineLevel="0" collapsed="false">
      <c r="I1069" s="12"/>
    </row>
    <row r="1070" customFormat="false" ht="15" hidden="false" customHeight="false" outlineLevel="0" collapsed="false">
      <c r="I1070" s="12"/>
    </row>
    <row r="1071" customFormat="false" ht="15" hidden="false" customHeight="false" outlineLevel="0" collapsed="false">
      <c r="I1071" s="12"/>
    </row>
    <row r="1072" customFormat="false" ht="15" hidden="false" customHeight="false" outlineLevel="0" collapsed="false">
      <c r="I1072" s="12"/>
    </row>
    <row r="1073" customFormat="false" ht="15" hidden="false" customHeight="false" outlineLevel="0" collapsed="false">
      <c r="I1073" s="12"/>
    </row>
    <row r="1074" customFormat="false" ht="15" hidden="false" customHeight="false" outlineLevel="0" collapsed="false">
      <c r="I1074" s="12"/>
    </row>
    <row r="1075" customFormat="false" ht="15" hidden="false" customHeight="false" outlineLevel="0" collapsed="false">
      <c r="I1075" s="12"/>
    </row>
    <row r="1076" customFormat="false" ht="15" hidden="false" customHeight="false" outlineLevel="0" collapsed="false">
      <c r="I1076" s="12"/>
    </row>
    <row r="1077" customFormat="false" ht="15" hidden="false" customHeight="false" outlineLevel="0" collapsed="false">
      <c r="I1077" s="12"/>
    </row>
    <row r="1078" customFormat="false" ht="15" hidden="false" customHeight="false" outlineLevel="0" collapsed="false">
      <c r="I1078" s="12"/>
    </row>
    <row r="1079" customFormat="false" ht="15" hidden="false" customHeight="false" outlineLevel="0" collapsed="false">
      <c r="I1079" s="12"/>
    </row>
    <row r="1080" customFormat="false" ht="15" hidden="false" customHeight="false" outlineLevel="0" collapsed="false">
      <c r="I1080" s="12"/>
    </row>
    <row r="1081" customFormat="false" ht="15" hidden="false" customHeight="false" outlineLevel="0" collapsed="false">
      <c r="I1081" s="12"/>
    </row>
    <row r="1082" customFormat="false" ht="15" hidden="false" customHeight="false" outlineLevel="0" collapsed="false">
      <c r="I1082" s="12"/>
    </row>
    <row r="1083" customFormat="false" ht="15" hidden="false" customHeight="false" outlineLevel="0" collapsed="false">
      <c r="I1083" s="12"/>
    </row>
    <row r="1084" customFormat="false" ht="15" hidden="false" customHeight="false" outlineLevel="0" collapsed="false">
      <c r="I1084" s="12"/>
    </row>
    <row r="1085" customFormat="false" ht="15" hidden="false" customHeight="false" outlineLevel="0" collapsed="false">
      <c r="I1085" s="12"/>
    </row>
    <row r="1086" customFormat="false" ht="15" hidden="false" customHeight="false" outlineLevel="0" collapsed="false">
      <c r="I1086" s="12"/>
    </row>
    <row r="1087" customFormat="false" ht="15" hidden="false" customHeight="false" outlineLevel="0" collapsed="false">
      <c r="I1087" s="12"/>
    </row>
    <row r="1088" customFormat="false" ht="15" hidden="false" customHeight="false" outlineLevel="0" collapsed="false">
      <c r="I1088" s="12"/>
    </row>
    <row r="1089" customFormat="false" ht="15" hidden="false" customHeight="false" outlineLevel="0" collapsed="false">
      <c r="I1089" s="12"/>
    </row>
    <row r="1090" customFormat="false" ht="15" hidden="false" customHeight="false" outlineLevel="0" collapsed="false">
      <c r="I1090" s="12"/>
    </row>
  </sheetData>
  <mergeCells count="3">
    <mergeCell ref="L8:O8"/>
    <mergeCell ref="G12:I12"/>
    <mergeCell ref="L12:O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2013-09-08T15:29:15Z</dcterms:created>
  <dc:creator>AirBlaze_W</dc:creator>
  <dc:description/>
  <dc:language>en-US</dc:language>
  <cp:lastModifiedBy>AirBlaze_W</cp:lastModifiedBy>
  <dcterms:modified xsi:type="dcterms:W3CDTF">2013-10-11T14:59:57Z</dcterms:modified>
  <cp:revision>0</cp:revision>
  <dc:subject/>
  <dc:title/>
</cp:coreProperties>
</file>