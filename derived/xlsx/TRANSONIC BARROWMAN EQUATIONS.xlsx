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<sst xmlns="http://schemas.openxmlformats.org/spreadsheetml/2006/main" count="48" uniqueCount="48">
  <si>
    <r>
      <rPr>
        <b val="true"/>
        <sz val="10"/>
        <rFont val="Arial"/>
        <family val="0"/>
      </rPr>
      <t xml:space="preserve">Body of Revolution  </t>
    </r>
    <r>
      <rPr>
        <b val="true"/>
        <sz val="10"/>
        <rFont val="Times New Roman"/>
        <family val="1"/>
      </rPr>
      <t xml:space="preserve">→</t>
    </r>
  </si>
  <si>
    <t xml:space="preserve">Flight Mach Number</t>
  </si>
  <si>
    <t xml:space="preserve">Boat Tail Half Angle, deg</t>
  </si>
  <si>
    <t xml:space="preserve">Aerodynamic Reference  Area, in^2</t>
  </si>
  <si>
    <t xml:space="preserve">Aerodynamic Reference Length, in</t>
  </si>
  <si>
    <t xml:space="preserve">Body Segment No.</t>
  </si>
  <si>
    <t xml:space="preserve">Body Station, x, in</t>
  </si>
  <si>
    <t xml:space="preserve">Body Radius, r, in</t>
  </si>
  <si>
    <t xml:space="preserve">Body Cross Section Area, in^2</t>
  </si>
  <si>
    <r>
      <rPr>
        <sz val="10"/>
        <rFont val="Arial"/>
        <family val="2"/>
      </rPr>
      <t xml:space="preserve">Segment</t>
    </r>
    <r>
      <rPr>
        <sz val="11"/>
        <rFont val="Arial"/>
        <family val="0"/>
      </rPr>
      <t xml:space="preserve"> C</t>
    </r>
    <r>
      <rPr>
        <vertAlign val="subscript"/>
        <sz val="11"/>
        <rFont val="Arial"/>
        <family val="0"/>
      </rPr>
      <t xml:space="preserve">N</t>
    </r>
    <r>
      <rPr>
        <vertAlign val="subscript"/>
        <sz val="11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, per rad</t>
    </r>
  </si>
  <si>
    <t xml:space="preserve">Segment Volume, in^3</t>
  </si>
  <si>
    <t xml:space="preserve">Segment Center of Pressure, in</t>
  </si>
  <si>
    <r>
      <rPr>
        <sz val="10"/>
        <rFont val="Arial"/>
        <family val="2"/>
      </rPr>
      <t xml:space="preserve">Vehicle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sz val="10"/>
        <rFont val="Arial"/>
        <family val="2"/>
      </rPr>
      <t xml:space="preserve">, rad</t>
    </r>
    <r>
      <rPr>
        <vertAlign val="superscript"/>
        <sz val="12"/>
        <rFont val="Arial"/>
        <family val="2"/>
      </rPr>
      <t xml:space="preserve">-1</t>
    </r>
  </si>
  <si>
    <t xml:space="preserve">Vehicle Center of Pressure, in</t>
  </si>
  <si>
    <t xml:space="preserve">4=2*MAX(H6:H11)</t>
  </si>
  <si>
    <t xml:space="preserve">Code</t>
  </si>
  <si>
    <t xml:space="preserve">Input data</t>
  </si>
  <si>
    <t xml:space="preserve">Output data</t>
  </si>
  <si>
    <t xml:space="preserve">γ</t>
  </si>
  <si>
    <r>
      <rPr>
        <sz val="10"/>
        <rFont val="Arial"/>
        <family val="0"/>
      </rPr>
      <t xml:space="preserve">C</t>
    </r>
    <r>
      <rPr>
        <vertAlign val="subscript"/>
        <sz val="12"/>
        <rFont val="Arial"/>
        <family val="2"/>
      </rPr>
      <t xml:space="preserve">PT</t>
    </r>
  </si>
  <si>
    <t xml:space="preserve">Theta T, rad</t>
  </si>
  <si>
    <t xml:space="preserve">R hemis, in</t>
  </si>
  <si>
    <r>
      <rPr>
        <b val="true"/>
        <sz val="10"/>
        <rFont val="Arial"/>
        <family val="0"/>
      </rPr>
      <t xml:space="preserve">First Stage     </t>
    </r>
    <r>
      <rPr>
        <b val="true"/>
        <sz val="10"/>
        <rFont val="Times New Roman"/>
        <family val="1"/>
      </rPr>
      <t xml:space="preserve">→</t>
    </r>
  </si>
  <si>
    <t xml:space="preserve">Number of Fin Panels</t>
  </si>
  <si>
    <t xml:space="preserve">Tip Chord LE Body Station, in</t>
  </si>
  <si>
    <t xml:space="preserve">Root Chord LE Body Station, in</t>
  </si>
  <si>
    <t xml:space="preserve">Root Chord, in</t>
  </si>
  <si>
    <t xml:space="preserve">Tip Chord, in</t>
  </si>
  <si>
    <t xml:space="preserve">Maximum Exposed Semi-Span, in</t>
  </si>
  <si>
    <t xml:space="preserve">tan(half boat tail angle)</t>
  </si>
  <si>
    <r>
      <rPr>
        <sz val="10"/>
        <rFont val="Arial"/>
        <family val="0"/>
      </rPr>
      <t xml:space="preserve">Single Panel Area, in</t>
    </r>
    <r>
      <rPr>
        <vertAlign val="superscript"/>
        <sz val="10"/>
        <rFont val="Arial"/>
        <family val="2"/>
      </rPr>
      <t xml:space="preserve">2</t>
    </r>
  </si>
  <si>
    <t xml:space="preserve">Quarter Chord Exposed Semispan, in</t>
  </si>
  <si>
    <t xml:space="preserve">Aspect Ratio</t>
  </si>
  <si>
    <t xml:space="preserve">Quarter Chord Sweep Angle, rad</t>
  </si>
  <si>
    <t xml:space="preserve">Beta * Aspect Ratio</t>
  </si>
  <si>
    <t xml:space="preserve">Body  Radius at One Quarter Root Chord, in</t>
  </si>
  <si>
    <t xml:space="preserve">Maximum Semispan from Body CL, in</t>
  </si>
  <si>
    <r>
      <rPr>
        <sz val="10"/>
        <rFont val="Arial"/>
        <family val="0"/>
      </rPr>
      <t xml:space="preserve">Single Panel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, rad</t>
    </r>
    <r>
      <rPr>
        <vertAlign val="superscript"/>
        <sz val="12"/>
        <rFont val="Arial"/>
        <family val="2"/>
      </rPr>
      <t xml:space="preserve">-1</t>
    </r>
  </si>
  <si>
    <r>
      <rPr>
        <sz val="10"/>
        <rFont val="Arial"/>
        <family val="0"/>
      </rPr>
      <t xml:space="preserve">Naked Tail Ass'y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, rad</t>
    </r>
    <r>
      <rPr>
        <vertAlign val="superscript"/>
        <sz val="12"/>
        <rFont val="Arial"/>
        <family val="2"/>
      </rPr>
      <t xml:space="preserve">-1</t>
    </r>
  </si>
  <si>
    <t xml:space="preserve">Fin Center of Pressure, in</t>
  </si>
  <si>
    <r>
      <rPr>
        <sz val="10"/>
        <rFont val="Arial"/>
        <family val="0"/>
      </rPr>
      <t xml:space="preserve">Body-Tail Lift Interference, K</t>
    </r>
    <r>
      <rPr>
        <vertAlign val="subscript"/>
        <sz val="12"/>
        <rFont val="Arial"/>
        <family val="2"/>
      </rPr>
      <t xml:space="preserve">W(B)</t>
    </r>
  </si>
  <si>
    <r>
      <rPr>
        <sz val="10"/>
        <rFont val="Arial"/>
        <family val="0"/>
      </rPr>
      <t xml:space="preserve">Tail + K</t>
    </r>
    <r>
      <rPr>
        <vertAlign val="subscript"/>
        <sz val="12"/>
        <rFont val="Arial"/>
        <family val="2"/>
      </rPr>
      <t xml:space="preserve">(W)B</t>
    </r>
    <r>
      <rPr>
        <sz val="10"/>
        <rFont val="Arial"/>
        <family val="0"/>
      </rPr>
      <t xml:space="preserve"> 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, rad</t>
    </r>
    <r>
      <rPr>
        <vertAlign val="superscript"/>
        <sz val="12"/>
        <rFont val="Arial"/>
        <family val="2"/>
      </rPr>
      <t xml:space="preserve">-1</t>
    </r>
  </si>
  <si>
    <r>
      <rPr>
        <sz val="10"/>
        <rFont val="Arial"/>
        <family val="0"/>
      </rPr>
      <t xml:space="preserve">Tail-Body Lift Interference, K</t>
    </r>
    <r>
      <rPr>
        <vertAlign val="subscript"/>
        <sz val="12"/>
        <rFont val="Arial"/>
        <family val="2"/>
      </rPr>
      <t xml:space="preserve">B(W)</t>
    </r>
  </si>
  <si>
    <r>
      <rPr>
        <sz val="10"/>
        <rFont val="Arial"/>
        <family val="0"/>
      </rPr>
      <t xml:space="preserve">CP</t>
    </r>
    <r>
      <rPr>
        <vertAlign val="subscript"/>
        <sz val="12"/>
        <rFont val="Arial"/>
        <family val="2"/>
      </rPr>
      <t xml:space="preserve">B(W)</t>
    </r>
  </si>
  <si>
    <r>
      <rPr>
        <sz val="10"/>
        <rFont val="Arial"/>
        <family val="0"/>
      </rPr>
      <t xml:space="preserve">Tail Assembly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, rad</t>
    </r>
    <r>
      <rPr>
        <vertAlign val="superscript"/>
        <sz val="12"/>
        <rFont val="Arial"/>
        <family val="2"/>
      </rPr>
      <t xml:space="preserve">-1</t>
    </r>
  </si>
  <si>
    <t xml:space="preserve">Tail Assembly Center of Pressure, in</t>
  </si>
  <si>
    <r>
      <rPr>
        <sz val="10"/>
        <rFont val="Arial"/>
        <family val="0"/>
      </rPr>
      <t xml:space="preserve">Tail-Body Lift Interference, k</t>
    </r>
    <r>
      <rPr>
        <vertAlign val="subscript"/>
        <sz val="12"/>
        <rFont val="Arial"/>
        <family val="2"/>
      </rPr>
      <t xml:space="preserve">W(B)</t>
    </r>
  </si>
  <si>
    <r>
      <rPr>
        <sz val="10"/>
        <rFont val="Arial"/>
        <family val="0"/>
      </rPr>
      <t xml:space="preserve">Single Panel C</t>
    </r>
    <r>
      <rPr>
        <vertAlign val="subscript"/>
        <sz val="12"/>
        <rFont val="Arial"/>
        <family val="0"/>
      </rPr>
      <t xml:space="preserve">N</t>
    </r>
    <r>
      <rPr>
        <vertAlign val="subscript"/>
        <sz val="12"/>
        <rFont val="Symbol"/>
        <family val="1"/>
        <charset val="2"/>
      </rPr>
      <t xml:space="preserve">d</t>
    </r>
    <r>
      <rPr>
        <sz val="10"/>
        <rFont val="Arial"/>
        <family val="0"/>
      </rPr>
      <t xml:space="preserve">, rad</t>
    </r>
    <r>
      <rPr>
        <vertAlign val="superscript"/>
        <sz val="12"/>
        <rFont val="Arial"/>
        <family val="2"/>
      </rPr>
      <t xml:space="preserve">-1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</si>
</sst>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b val="true"/>
      <sz val="10"/>
      <name val="Arial"/>
      <family val="0"/>
    </font>
    <font>
      <b val="true"/>
      <sz val="10"/>
      <name val="Times New Roman"/>
      <family val="1"/>
    </font>
    <font>
      <sz val="10"/>
      <name val="Arial"/>
      <family val="2"/>
    </font>
    <font>
      <sz val="11"/>
      <name val="Arial"/>
      <family val="0"/>
    </font>
    <font>
      <vertAlign val="subscript"/>
      <sz val="11"/>
      <name val="Arial"/>
      <family val="0"/>
    </font>
    <font>
      <vertAlign val="subscript"/>
      <sz val="11"/>
      <name val="Symbol"/>
      <family val="1"/>
      <charset val="2"/>
    </font>
    <font>
      <vertAlign val="subscript"/>
      <sz val="12"/>
      <name val="Arial"/>
      <family val="2"/>
    </font>
    <font>
      <vertAlign val="subscript"/>
      <sz val="12"/>
      <name val="Symbol"/>
      <family val="1"/>
      <charset val="2"/>
    </font>
    <font>
      <vertAlign val="superscript"/>
      <sz val="12"/>
      <name val="Arial"/>
      <family val="2"/>
    </font>
    <font>
      <b val="true"/>
      <u val="single"/>
      <sz val="10"/>
      <name val="Arial"/>
      <family val="2"/>
    </font>
    <font>
      <vertAlign val="superscript"/>
      <sz val="10"/>
      <name val="Arial"/>
      <family val="2"/>
    </font>
    <font>
      <vertAlign val="subscript"/>
      <sz val="12"/>
      <name val="Arial"/>
      <family val="0"/>
    </font>
  </fonts>
  <fills count="27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9999FF"/>
        <bgColor rgb="FFCC99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/>
      <top/>
      <bottom style="thin">
        <color rgb="FFC0C0C0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11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7" borderId="0" applyFont="true" applyBorder="false" applyAlignment="false" applyProtection="false"/>
    <xf numFmtId="164" fontId="5" fillId="18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9" borderId="0" applyFont="true" applyBorder="false" applyAlignment="false" applyProtection="false"/>
    <xf numFmtId="164" fontId="6" fillId="3" borderId="0" applyFont="true" applyBorder="false" applyAlignment="false" applyProtection="false"/>
    <xf numFmtId="164" fontId="7" fillId="20" borderId="1" applyFont="true" applyBorder="true" applyAlignment="false" applyProtection="false"/>
    <xf numFmtId="164" fontId="8" fillId="21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7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7" fillId="20" borderId="8" applyFont="true" applyBorder="true" applyAlignment="false" applyProtection="false"/>
    <xf numFmtId="164" fontId="18" fillId="0" borderId="0" applyFont="true" applyBorder="false" applyAlignment="false" applyProtection="false"/>
    <xf numFmtId="164" fontId="19" fillId="0" borderId="9" applyFont="true" applyBorder="true" applyAlignment="false" applyProtection="false"/>
    <xf numFmtId="164" fontId="20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5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5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te 1" xfId="56"/>
    <cellStyle name="Output" xfId="57"/>
    <cellStyle name="Title" xfId="58"/>
    <cellStyle name="Total" xfId="59"/>
    <cellStyle name="Warning Text" xfId="6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AB2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.41"/>
    <col collapsed="false" customWidth="true" hidden="false" outlineLevel="0" max="3" min="3" style="0" width="10.71"/>
    <col collapsed="false" customWidth="true" hidden="false" outlineLevel="0" max="5" min="4" style="0" width="11.56"/>
    <col collapsed="false" customWidth="true" hidden="false" outlineLevel="0" max="7" min="7" style="0" width="9.85"/>
    <col collapsed="false" customWidth="true" hidden="false" outlineLevel="0" max="8" min="8" style="0" width="10.28"/>
    <col collapsed="false" customWidth="true" hidden="false" outlineLevel="0" max="9" min="9" style="0" width="10.41"/>
    <col collapsed="false" customWidth="true" hidden="false" outlineLevel="0" max="10" min="10" style="0" width="9.99"/>
    <col collapsed="false" customWidth="true" hidden="false" outlineLevel="0" max="12" min="12" style="0" width="11.42"/>
    <col collapsed="false" customWidth="true" hidden="false" outlineLevel="0" max="13" min="13" style="0" width="12.14"/>
    <col collapsed="false" customWidth="true" hidden="false" outlineLevel="0" max="14" min="14" style="0" width="11.99"/>
    <col collapsed="false" customWidth="true" hidden="false" outlineLevel="0" max="16" min="15" style="0" width="11.85"/>
    <col collapsed="false" customWidth="true" hidden="false" outlineLevel="0" max="19" min="19" style="0" width="11.56"/>
    <col collapsed="false" customWidth="true" hidden="false" outlineLevel="0" max="22" min="22" style="0" width="11.42"/>
    <col collapsed="false" customWidth="true" hidden="false" outlineLevel="0" max="27" min="27" style="0" width="10.99"/>
    <col collapsed="false" customWidth="true" hidden="false" outlineLevel="0" max="28" min="28" style="0" width="11.28"/>
  </cols>
  <sheetData>
    <row r="5" customFormat="false" ht="45.75" hidden="false" customHeight="true" outlineLevel="0" collapsed="false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3" t="s">
        <v>9</v>
      </c>
      <c r="K5" s="3" t="s">
        <v>10</v>
      </c>
      <c r="L5" s="3" t="s">
        <v>11</v>
      </c>
      <c r="M5" s="4"/>
      <c r="N5" s="3" t="s">
        <v>12</v>
      </c>
      <c r="O5" s="5"/>
      <c r="P5" s="3" t="s">
        <v>13</v>
      </c>
    </row>
    <row r="6" customFormat="false" ht="12.75" hidden="false" customHeight="false" outlineLevel="0" collapsed="false">
      <c r="B6" s="6" t="n">
        <v>1</v>
      </c>
      <c r="C6" s="0" t="n">
        <f aca="false">180*ATAN((H10-H11)/(G11-G10))/PI()</f>
        <v>0</v>
      </c>
      <c r="D6" s="0" t="n">
        <f aca="false">PI()*MAX(H6:H11)^2</f>
        <v>28.2743338823081</v>
      </c>
      <c r="E6" s="0" t="s">
        <v>14</v>
      </c>
      <c r="F6" s="7" t="n">
        <v>0</v>
      </c>
      <c r="G6" s="7" t="n">
        <v>0</v>
      </c>
      <c r="H6" s="7" t="n">
        <v>1</v>
      </c>
      <c r="I6" s="0" t="n">
        <f aca="false">PI()*H6^2/2</f>
        <v>1.5707963267949</v>
      </c>
      <c r="J6" s="0" t="n">
        <f aca="false">PI()*H21^2*G19*(SIN(H19))^4/(2*$D$6)</f>
        <v>0.0708628509146434</v>
      </c>
      <c r="L6" s="0" t="n">
        <f aca="false">H21*(1-(4/5)*COS(H19)+(4/15)*COS(H19)*((SIN(H19))^2+2)/(SIN(H19)^4)-(8/15)/(SIN(H19))^4)</f>
        <v>0.466613925887445</v>
      </c>
      <c r="M6" s="0" t="n">
        <f aca="false">J6*L6</f>
        <v>0.0330655930648585</v>
      </c>
      <c r="N6" s="8" t="n">
        <f aca="false">J17+X26</f>
        <v>21.5201405309616</v>
      </c>
      <c r="O6" s="9" t="n">
        <f aca="false">M17+X26*Y26</f>
        <v>1980.76829843857</v>
      </c>
      <c r="P6" s="10" t="n">
        <f aca="false">O6/N6</f>
        <v>92.0425354838549</v>
      </c>
    </row>
    <row r="7" customFormat="false" ht="12.75" hidden="false" customHeight="false" outlineLevel="0" collapsed="false">
      <c r="F7" s="7" t="n">
        <v>1</v>
      </c>
      <c r="G7" s="7" t="n">
        <v>6.12</v>
      </c>
      <c r="H7" s="7" t="n">
        <v>1.049</v>
      </c>
      <c r="I7" s="0" t="n">
        <f aca="false">PI()*H7^2</f>
        <v>3.45701169760286</v>
      </c>
      <c r="J7" s="0" t="n">
        <f aca="false">2*(I7-I6)/$D$6</f>
        <v>0.133422444444444</v>
      </c>
      <c r="K7" s="0" t="n">
        <f aca="false">I7*(G7-G6)*(I6/I7+H6/H7+1)/3</f>
        <v>16.9796109847474</v>
      </c>
      <c r="L7" s="0" t="n">
        <f aca="false">IF((I6=I7),0,(G7*I7-G6*I6-K7)/(I7-I6))</f>
        <v>2.21464667780367</v>
      </c>
      <c r="M7" s="0" t="n">
        <f aca="false">J7*L7</f>
        <v>0.295483573333333</v>
      </c>
    </row>
    <row r="8" customFormat="false" ht="12.75" hidden="false" customHeight="false" outlineLevel="0" collapsed="false">
      <c r="F8" s="7" t="n">
        <v>2</v>
      </c>
      <c r="G8" s="7" t="n">
        <v>16.2</v>
      </c>
      <c r="H8" s="7" t="n">
        <v>2</v>
      </c>
      <c r="I8" s="0" t="n">
        <f aca="false">PI()*H8^2</f>
        <v>12.5663706143592</v>
      </c>
      <c r="J8" s="0" t="n">
        <f aca="false">2*(I8-I7)/$D$6</f>
        <v>0.644355333333333</v>
      </c>
      <c r="K8" s="0" t="n">
        <f aca="false">I8*(G8-G7)*(I7/I8+H7/H8+1)/3</f>
        <v>75.9845308292899</v>
      </c>
      <c r="L8" s="0" t="n">
        <f aca="false">IF((I7=I8),0,(G8*I8-G7*I7-K8)/(I8-I7))</f>
        <v>11.6840013119055</v>
      </c>
      <c r="M8" s="0" t="n">
        <f aca="false">J8*L8</f>
        <v>7.52864856</v>
      </c>
    </row>
    <row r="9" customFormat="false" ht="12.75" hidden="false" customHeight="false" outlineLevel="0" collapsed="false">
      <c r="F9" s="7" t="n">
        <v>3</v>
      </c>
      <c r="G9" s="7" t="n">
        <v>23.76</v>
      </c>
      <c r="H9" s="7" t="n">
        <v>2.51</v>
      </c>
      <c r="I9" s="0" t="n">
        <f aca="false">PI()*H9^2</f>
        <v>19.7923478768811</v>
      </c>
      <c r="J9" s="0" t="n">
        <f aca="false">2*(I9-I8)/$D$6</f>
        <v>0.511133333333333</v>
      </c>
      <c r="K9" s="0" t="n">
        <f aca="false">I9*(G9-G8)*(I8/I9+H8/H9+1)/3</f>
        <v>121.286374302898</v>
      </c>
      <c r="L9" s="0" t="n">
        <f aca="false">IF((I8=I9),0,(G9*I9-G8*I8-K9)/(I9-I8))</f>
        <v>20.1224833702883</v>
      </c>
      <c r="M9" s="0" t="n">
        <f aca="false">J9*L9</f>
        <v>10.285272</v>
      </c>
    </row>
    <row r="10" customFormat="false" ht="12.75" hidden="false" customHeight="false" outlineLevel="0" collapsed="false">
      <c r="F10" s="7" t="n">
        <v>4</v>
      </c>
      <c r="G10" s="7" t="n">
        <v>36</v>
      </c>
      <c r="H10" s="7" t="n">
        <v>3</v>
      </c>
      <c r="I10" s="0" t="n">
        <f aca="false">PI()*H10^2</f>
        <v>28.2743338823081</v>
      </c>
      <c r="J10" s="0" t="n">
        <f aca="false">2*(I10-I9)/$D$6</f>
        <v>0.599977777777778</v>
      </c>
      <c r="K10" s="0" t="n">
        <f aca="false">I10*(G10-G9)*(I9/I10+H9/H10+1)/3</f>
        <v>292.629327718139</v>
      </c>
      <c r="L10" s="0" t="n">
        <f aca="false">IF((I9=I10),0,(G10*I10-G9*I9-K10)/(I10-I9))</f>
        <v>30.0614156079855</v>
      </c>
      <c r="M10" s="0" t="n">
        <f aca="false">J10*L10</f>
        <v>18.0361813333333</v>
      </c>
    </row>
    <row r="11" customFormat="false" ht="12.75" hidden="false" customHeight="false" outlineLevel="0" collapsed="false">
      <c r="F11" s="7" t="n">
        <v>5</v>
      </c>
      <c r="G11" s="7" t="n">
        <v>96</v>
      </c>
      <c r="H11" s="7" t="n">
        <v>3</v>
      </c>
      <c r="I11" s="0" t="n">
        <f aca="false">PI()*H11^2</f>
        <v>28.2743338823081</v>
      </c>
      <c r="J11" s="0" t="n">
        <f aca="false">2*(I11-I10)/$D$6</f>
        <v>0</v>
      </c>
      <c r="K11" s="0" t="n">
        <f aca="false">I11*(G11-G10)*(I10/I11+H10/H11+1)/3</f>
        <v>1696.46003293849</v>
      </c>
      <c r="L11" s="0" t="n">
        <f aca="false">IF((I10=I11),0,(G11*I11-G10*I10-K11)/(I11-I10))</f>
        <v>0</v>
      </c>
      <c r="M11" s="0" t="n">
        <f aca="false">J11*L11</f>
        <v>0</v>
      </c>
    </row>
    <row r="12" customFormat="false" ht="12.75" hidden="false" customHeight="false" outlineLevel="0" collapsed="false">
      <c r="F12" s="7" t="n">
        <v>6</v>
      </c>
      <c r="G12" s="7" t="n">
        <v>97</v>
      </c>
      <c r="H12" s="7" t="n">
        <v>3</v>
      </c>
      <c r="I12" s="0" t="n">
        <f aca="false">PI()*H12^2</f>
        <v>28.2743338823081</v>
      </c>
      <c r="J12" s="0" t="n">
        <f aca="false">2*(I12-I11)/$D$6</f>
        <v>0</v>
      </c>
      <c r="K12" s="0" t="n">
        <f aca="false">I12*(G12-G11)*(I11/I12+H11/H12+1)/3</f>
        <v>28.2743338823081</v>
      </c>
      <c r="L12" s="0" t="n">
        <f aca="false">IF((I11=I12),0,(G12*I12-G11*I11-K12)/(I12-I11))</f>
        <v>0</v>
      </c>
      <c r="M12" s="0" t="n">
        <f aca="false">J12*L12</f>
        <v>0</v>
      </c>
    </row>
    <row r="13" customFormat="false" ht="12.75" hidden="false" customHeight="false" outlineLevel="0" collapsed="false">
      <c r="F13" s="7" t="n">
        <v>7</v>
      </c>
      <c r="G13" s="7" t="n">
        <v>98</v>
      </c>
      <c r="H13" s="7" t="n">
        <v>3</v>
      </c>
      <c r="I13" s="0" t="n">
        <f aca="false">PI()*H13^2</f>
        <v>28.2743338823081</v>
      </c>
      <c r="J13" s="0" t="n">
        <f aca="false">2*(I13-I12)/$D$6</f>
        <v>0</v>
      </c>
      <c r="K13" s="0" t="n">
        <f aca="false">I13*(G13-G12)*(I12/I13+H12/H13+1)/3</f>
        <v>28.2743338823081</v>
      </c>
      <c r="L13" s="0" t="n">
        <f aca="false">IF((I12=I13),0,(G13*I13-G12*I12-K13)/(I13-I12))</f>
        <v>0</v>
      </c>
      <c r="M13" s="0" t="n">
        <f aca="false">J13*L13</f>
        <v>0</v>
      </c>
    </row>
    <row r="14" customFormat="false" ht="12.75" hidden="false" customHeight="false" outlineLevel="0" collapsed="false">
      <c r="F14" s="7" t="n">
        <v>8</v>
      </c>
      <c r="G14" s="7" t="n">
        <v>99</v>
      </c>
      <c r="H14" s="7" t="n">
        <v>3</v>
      </c>
      <c r="I14" s="0" t="n">
        <f aca="false">PI()*H14^2</f>
        <v>28.2743338823081</v>
      </c>
      <c r="J14" s="0" t="n">
        <f aca="false">2*(I14-I13)/$D$6</f>
        <v>0</v>
      </c>
      <c r="K14" s="0" t="n">
        <f aca="false">I14*(G14-G13)*(I13/I14+H13/H14+1)/3</f>
        <v>28.2743338823081</v>
      </c>
      <c r="L14" s="0" t="n">
        <f aca="false">IF((I13=I14),0,(G14*I14-G13*I13-K14)/(I14-I13))</f>
        <v>0</v>
      </c>
      <c r="M14" s="0" t="n">
        <f aca="false">J14*L14</f>
        <v>0</v>
      </c>
    </row>
    <row r="15" customFormat="false" ht="12.75" hidden="false" customHeight="false" outlineLevel="0" collapsed="false">
      <c r="C15" s="11" t="s">
        <v>15</v>
      </c>
      <c r="F15" s="7" t="n">
        <v>9</v>
      </c>
      <c r="G15" s="7" t="n">
        <v>100</v>
      </c>
      <c r="H15" s="7" t="n">
        <v>3</v>
      </c>
      <c r="I15" s="0" t="n">
        <f aca="false">PI()*H15^2</f>
        <v>28.2743338823081</v>
      </c>
      <c r="J15" s="0" t="n">
        <f aca="false">2*(I15-I14)/$D$6</f>
        <v>0</v>
      </c>
      <c r="K15" s="0" t="n">
        <f aca="false">I15*(G15-G14)*(I14/I15+H14/H15+1)/3</f>
        <v>28.2743338823081</v>
      </c>
      <c r="L15" s="0" t="n">
        <f aca="false">IF((I14=I15),0,(G15*I15-G14*I14-K15)/(I15-I14))</f>
        <v>0</v>
      </c>
      <c r="M15" s="0" t="n">
        <f aca="false">J15*L15</f>
        <v>0</v>
      </c>
    </row>
    <row r="16" customFormat="false" ht="12.75" hidden="false" customHeight="false" outlineLevel="0" collapsed="false">
      <c r="C16" s="0" t="s">
        <v>16</v>
      </c>
      <c r="D16" s="7"/>
      <c r="F16" s="7" t="n">
        <v>10</v>
      </c>
      <c r="G16" s="7" t="n">
        <v>101</v>
      </c>
      <c r="H16" s="7" t="n">
        <v>3</v>
      </c>
      <c r="I16" s="0" t="n">
        <f aca="false">PI()*H16^2</f>
        <v>28.2743338823081</v>
      </c>
      <c r="J16" s="0" t="n">
        <f aca="false">2*(I16-I15)/$D$6</f>
        <v>0</v>
      </c>
      <c r="K16" s="0" t="n">
        <f aca="false">I16*(G16-G15)*(I15/I16+H15/H16+1)/3</f>
        <v>28.2743338823081</v>
      </c>
      <c r="L16" s="0" t="n">
        <f aca="false">IF((I15=I16),0,(G16*I16-G15*I15-K16)/(I16-I15))</f>
        <v>0</v>
      </c>
      <c r="M16" s="0" t="n">
        <f aca="false">J16*L16</f>
        <v>0</v>
      </c>
    </row>
    <row r="17" customFormat="false" ht="12.75" hidden="false" customHeight="false" outlineLevel="0" collapsed="false">
      <c r="C17" s="0" t="s">
        <v>17</v>
      </c>
      <c r="D17" s="10"/>
      <c r="J17" s="0" t="n">
        <f aca="false">SUM(J6:J16)</f>
        <v>1.95975173980353</v>
      </c>
      <c r="M17" s="0" t="n">
        <f aca="false">SUM(M6:M16)</f>
        <v>36.1786510597315</v>
      </c>
    </row>
    <row r="18" customFormat="false" ht="15" hidden="false" customHeight="true" outlineLevel="0" collapsed="false">
      <c r="F18" s="12" t="s">
        <v>18</v>
      </c>
      <c r="G18" s="13" t="s">
        <v>19</v>
      </c>
      <c r="H18" s="13" t="s">
        <v>20</v>
      </c>
    </row>
    <row r="19" customFormat="false" ht="12.75" hidden="false" customHeight="false" outlineLevel="0" collapsed="false">
      <c r="F19" s="7" t="n">
        <v>1.4</v>
      </c>
      <c r="G19" s="0" t="n">
        <f aca="false">2*(((F19+1)/2)^(F19/(F19-1))-1)/F19</f>
        <v>1.27561308391122</v>
      </c>
      <c r="H19" s="0" t="n">
        <f aca="false">PI()/2-ATAN((H7-H6)/(G7-G6))</f>
        <v>1.56278996192591</v>
      </c>
    </row>
    <row r="20" customFormat="false" ht="12.75" hidden="false" customHeight="false" outlineLevel="0" collapsed="false">
      <c r="H20" s="13" t="s">
        <v>21</v>
      </c>
    </row>
    <row r="21" customFormat="false" ht="12.75" hidden="false" customHeight="false" outlineLevel="0" collapsed="false">
      <c r="H21" s="0" t="n">
        <f aca="false">H6/SIN(H19)</f>
        <v>1.00003205179528</v>
      </c>
    </row>
    <row r="25" customFormat="false" ht="62.25" hidden="false" customHeight="true" outlineLevel="0" collapsed="false">
      <c r="A25" s="14" t="s">
        <v>22</v>
      </c>
      <c r="B25" s="2" t="s">
        <v>23</v>
      </c>
      <c r="C25" s="2" t="s">
        <v>24</v>
      </c>
      <c r="D25" s="2" t="s">
        <v>25</v>
      </c>
      <c r="E25" s="2" t="s">
        <v>26</v>
      </c>
      <c r="F25" s="2" t="s">
        <v>27</v>
      </c>
      <c r="G25" s="2" t="s">
        <v>28</v>
      </c>
      <c r="H25" s="2" t="s">
        <v>29</v>
      </c>
      <c r="I25" s="2" t="s">
        <v>30</v>
      </c>
      <c r="J25" s="2" t="s">
        <v>31</v>
      </c>
      <c r="K25" s="2" t="s">
        <v>32</v>
      </c>
      <c r="L25" s="2" t="s">
        <v>33</v>
      </c>
      <c r="M25" s="2" t="s">
        <v>34</v>
      </c>
      <c r="N25" s="2" t="s">
        <v>35</v>
      </c>
      <c r="O25" s="2" t="s">
        <v>36</v>
      </c>
      <c r="P25" s="2" t="s">
        <v>37</v>
      </c>
      <c r="Q25" s="2" t="s">
        <v>38</v>
      </c>
      <c r="R25" s="2" t="s">
        <v>39</v>
      </c>
      <c r="S25" s="2" t="s">
        <v>40</v>
      </c>
      <c r="T25" s="2" t="s">
        <v>41</v>
      </c>
      <c r="U25" s="15"/>
      <c r="V25" s="2" t="s">
        <v>42</v>
      </c>
      <c r="W25" s="2" t="s">
        <v>43</v>
      </c>
      <c r="X25" s="2" t="s">
        <v>44</v>
      </c>
      <c r="Y25" s="2" t="s">
        <v>45</v>
      </c>
      <c r="AA25" s="2" t="s">
        <v>46</v>
      </c>
      <c r="AB25" s="2" t="s">
        <v>47</v>
      </c>
    </row>
    <row r="26" customFormat="false" ht="12.75" hidden="false" customHeight="false" outlineLevel="0" collapsed="false">
      <c r="B26" s="7" t="n">
        <v>4</v>
      </c>
      <c r="C26" s="7" t="n">
        <v>105.64</v>
      </c>
      <c r="D26" s="7" t="n">
        <v>88</v>
      </c>
      <c r="E26" s="7" t="n">
        <v>20</v>
      </c>
      <c r="F26" s="7" t="n">
        <v>1.5</v>
      </c>
      <c r="G26" s="7" t="n">
        <v>10</v>
      </c>
      <c r="H26" s="0" t="n">
        <f aca="false">(H15-H16)/(G16-G15)</f>
        <v>0</v>
      </c>
      <c r="I26" s="0" t="n">
        <f aca="false">G26*(E26+F26)/2</f>
        <v>107.5</v>
      </c>
      <c r="J26" s="0" t="n">
        <f aca="false">G26-3*E26*H26/4</f>
        <v>10</v>
      </c>
      <c r="K26" s="0" t="n">
        <f aca="false">2*J26^2/I26</f>
        <v>1.86046511627907</v>
      </c>
      <c r="L26" s="0" t="n">
        <f aca="false">ATAN((C26+F26/4-D26-E26/4)/G26)</f>
        <v>0.915657917383077</v>
      </c>
      <c r="M26" s="0" t="n">
        <f aca="false">B9*K26</f>
        <v>0</v>
      </c>
      <c r="N26" s="7" t="n">
        <f aca="false">H11-E26*H26/4</f>
        <v>3</v>
      </c>
      <c r="O26" s="16" t="n">
        <f aca="false">N26+J26</f>
        <v>13</v>
      </c>
      <c r="P26" s="10" t="n">
        <f aca="false">PI()*G26/(E26-F26)</f>
        <v>1.69815819112962</v>
      </c>
      <c r="Q26" s="0" t="n">
        <f aca="false">B26*P26/2</f>
        <v>3.39631638225924</v>
      </c>
      <c r="R26" s="10" t="n">
        <f aca="false">D26+2*(E26-F26)/3</f>
        <v>100.333333333333</v>
      </c>
      <c r="S26" s="0" t="n">
        <f aca="false">2*((1+(N26/O26)^4)*(ATAN((O26/N26-N26/O26)/2)/2+PI()/4)-((N26/O26)^2)*((O26/N26-N26/O26)+2*ATAN(N26/O26)))/(PI()*(1-N26/O26)^2)</f>
        <v>1.18904201012708</v>
      </c>
      <c r="T26" s="0" t="n">
        <f aca="false">Q26*S26</f>
        <v>4.03836285818904</v>
      </c>
      <c r="U26" s="0" t="n">
        <f aca="false">T26*R26</f>
        <v>405.182406771634</v>
      </c>
      <c r="V26" s="0" t="n">
        <f aca="false">(((1-(N26/O26)^2)^2)-(2/PI())*((1+(N26/O26)^4)*(ATAN((O26/N26-N26/O26)/2)/2+PI()/4)-((N26/O26)^2)*(O26/N26-N26/O26+2*ATAN(N26/O26))))/(1-N26/O26)^2</f>
        <v>0.325750889281207</v>
      </c>
      <c r="W26" s="17" t="n">
        <f aca="false">D26+E26/4+(O26-N26)*TAN(L26)*((N26/(N26-O26))+(SQRT(O26*(O26-2*N26))*ACOSH((O26-N26)/N26)-O26+N26+PI()*N26/2)/(((O26-N26)*N26/SQRT(O26*(O26-2*N26)))*ACOSH((O26-N26)/N26)+(O26-N26)^2/N26-PI()*(O26-N26)/2))</f>
        <v>96.0614162983665</v>
      </c>
      <c r="X26" s="10" t="n">
        <f aca="false">(T26+Q26*V26)*I26/D6</f>
        <v>19.560388791158</v>
      </c>
      <c r="Y26" s="10" t="n">
        <f aca="false">(T26*R26+V26*Q26*W26)*I26/(D6*X26)</f>
        <v>99.4146725886074</v>
      </c>
      <c r="Z26" s="0" t="n">
        <f aca="false">X26*Y26</f>
        <v>1944.58964737884</v>
      </c>
      <c r="AA26" s="0" t="n">
        <f aca="false">(PI()^2*(O26/N26+1)^2/(4*(O26/N26)^2)+PI()*((O26/N26)^2+1)^2/((O26/N26)^2*(O26/N26-1)^2)*ASIN(((O26/N26)^2-1)/((O26/N26)^2+1))-2*PI()*(O26/N26+1)/((O26/N26)*(O26/N26-1))+((O26/N26)^2+1)^2/((O26/N26)^2*(O26/N26-1)^2)*(ASIN(((O26/N26)^2-1)/((O26/N26)^2+1)))^2-(4*(O26/N26+1)/((O26/N26)*(O26/N26-1)))*ASIN(((O26/N26)^2-1)/((O26/N26)^2+1))+(8/(O26/N26-1)^2)*LN(((O26/N26)^2+1)/(2*O26/N26)))/PI()^2</f>
        <v>0.940443005453806</v>
      </c>
      <c r="AB26" s="10" t="n">
        <f aca="false">AA26*P26*I26/D6</f>
        <v>6.07192931449154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2008-11-01T18:14:49Z</dcterms:created>
  <dc:creator>Owner</dc:creator>
  <dc:description/>
  <dc:language>en-US</dc:language>
  <cp:lastModifiedBy>Owner</cp:lastModifiedBy>
  <dcterms:modified xsi:type="dcterms:W3CDTF">2011-04-11T16:18:07Z</dcterms:modified>
  <cp:revision>0</cp:revision>
  <dc:subject/>
  <dc:title/>
</cp:coreProperties>
</file>