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<sst xmlns="http://schemas.openxmlformats.org/spreadsheetml/2006/main" count="11" uniqueCount="11">
  <si>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 </t>
  </si>
  <si>
    <r>
      <rPr>
        <sz val="10"/>
        <rFont val="Arial"/>
        <family val="0"/>
      </rPr>
      <t xml:space="preserve">Body Station of the Aft Riding Lug, x</t>
    </r>
    <r>
      <rPr>
        <vertAlign val="subscript"/>
        <sz val="10"/>
        <rFont val="Arial"/>
        <family val="2"/>
      </rPr>
      <t xml:space="preserve">L,</t>
    </r>
    <r>
      <rPr>
        <sz val="10"/>
        <rFont val="Arial"/>
        <family val="2"/>
      </rPr>
      <t xml:space="preserve"> in aft of the nose</t>
    </r>
  </si>
  <si>
    <r>
      <rPr>
        <sz val="10"/>
        <rFont val="Arial"/>
        <family val="0"/>
      </rPr>
      <t xml:space="preserve">Body Station of the Nozzle Exit Plane, x</t>
    </r>
    <r>
      <rPr>
        <vertAlign val="subscript"/>
        <sz val="10"/>
        <rFont val="Arial"/>
        <family val="2"/>
      </rPr>
      <t xml:space="preserve">A,</t>
    </r>
    <r>
      <rPr>
        <sz val="10"/>
        <rFont val="Arial"/>
        <family val="2"/>
      </rPr>
      <t xml:space="preserve"> in aft of the nose</t>
    </r>
  </si>
  <si>
    <r>
      <rPr>
        <sz val="10"/>
        <rFont val="Arial"/>
        <family val="0"/>
      </rPr>
      <t xml:space="preserve">Body Station at which the Nose Lifting Force is Applied, x</t>
    </r>
    <r>
      <rPr>
        <vertAlign val="subscript"/>
        <sz val="10"/>
        <rFont val="Arial"/>
        <family val="2"/>
      </rPr>
      <t xml:space="preserve">F, </t>
    </r>
    <r>
      <rPr>
        <sz val="10"/>
        <rFont val="Arial"/>
        <family val="2"/>
      </rPr>
      <t xml:space="preserve">in aft of the nose</t>
    </r>
  </si>
  <si>
    <r>
      <rPr>
        <sz val="10"/>
        <rFont val="Arial"/>
        <family val="0"/>
      </rPr>
      <t xml:space="preserve">Body Station of the Fully Loaded Rocket, x</t>
    </r>
    <r>
      <rPr>
        <vertAlign val="subscript"/>
        <sz val="10"/>
        <rFont val="Arial"/>
        <family val="2"/>
      </rPr>
      <t xml:space="preserve">CG</t>
    </r>
    <r>
      <rPr>
        <sz val="10"/>
        <rFont val="Arial"/>
        <family val="2"/>
      </rPr>
      <t xml:space="preserve">, in aft of the nose</t>
    </r>
  </si>
  <si>
    <t xml:space="preserve">Fully Loaded Rocket Weight, W, lb</t>
  </si>
  <si>
    <t xml:space="preserve">K = Actual Fwd Lifting Force / Initial Fwd Lifting Force</t>
  </si>
  <si>
    <t xml:space="preserve">Num</t>
  </si>
  <si>
    <t xml:space="preserve">Denom</t>
  </si>
  <si>
    <t xml:space="preserve">Forward Lift Force, lb</t>
  </si>
  <si>
    <t xml:space="preserve">Button Extraction Force, lb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</si>
</sst>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0"/>
      <name val="Arial"/>
      <family val="2"/>
    </font>
    <font>
      <sz val="10"/>
      <name val="Arial"/>
      <family val="2"/>
    </font>
    <font>
      <b val="true"/>
      <sz val="16"/>
      <color rgb="FF000000"/>
      <name val="Arial"/>
      <family val="2"/>
    </font>
    <font>
      <b val="true"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Aft Button Extraction Force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Sheet1!$J$4:$J$14</c:f>
              <c:numCache>
                <c:formatCode>General</c:formatCode>
                <c:ptCount val="11"/>
                <c:pt idx="0">
                  <c:v>25.2529411764706</c:v>
                </c:pt>
                <c:pt idx="1">
                  <c:v>30.3035294117647</c:v>
                </c:pt>
                <c:pt idx="2">
                  <c:v>35.3541176470588</c:v>
                </c:pt>
                <c:pt idx="3">
                  <c:v>40.4047058823529</c:v>
                </c:pt>
                <c:pt idx="4">
                  <c:v>45.4552941176471</c:v>
                </c:pt>
                <c:pt idx="5">
                  <c:v>50.5058823529412</c:v>
                </c:pt>
                <c:pt idx="6">
                  <c:v>55.5564705882353</c:v>
                </c:pt>
                <c:pt idx="7">
                  <c:v>60.6070588235294</c:v>
                </c:pt>
                <c:pt idx="8">
                  <c:v>65.6576470588235</c:v>
                </c:pt>
                <c:pt idx="9">
                  <c:v>70.7082352941176</c:v>
                </c:pt>
                <c:pt idx="10">
                  <c:v>75.7588235294118</c:v>
                </c:pt>
              </c:numCache>
            </c:numRef>
          </c:xVal>
          <c:yVal>
            <c:numRef>
              <c:f>Sheet1!$K$4:$K$14</c:f>
              <c:numCache>
                <c:formatCode>General</c:formatCode>
                <c:ptCount val="11"/>
                <c:pt idx="0">
                  <c:v>-28.7470588235294</c:v>
                </c:pt>
                <c:pt idx="1">
                  <c:v>25.3663865546219</c:v>
                </c:pt>
                <c:pt idx="2">
                  <c:v>79.4798319327731</c:v>
                </c:pt>
                <c:pt idx="3">
                  <c:v>133.593277310924</c:v>
                </c:pt>
                <c:pt idx="4">
                  <c:v>187.706722689076</c:v>
                </c:pt>
                <c:pt idx="5">
                  <c:v>241.820168067227</c:v>
                </c:pt>
                <c:pt idx="6">
                  <c:v>295.933613445378</c:v>
                </c:pt>
                <c:pt idx="7">
                  <c:v>350.04705882353</c:v>
                </c:pt>
                <c:pt idx="8">
                  <c:v>404.160504201681</c:v>
                </c:pt>
                <c:pt idx="9">
                  <c:v>458.273949579832</c:v>
                </c:pt>
                <c:pt idx="10">
                  <c:v>512.387394957983</c:v>
                </c:pt>
              </c:numCache>
            </c:numRef>
          </c:yVal>
          <c:smooth val="1"/>
        </c:ser>
        <c:axId val="12118209"/>
        <c:axId val="98080335"/>
      </c:scatterChart>
      <c:valAx>
        <c:axId val="12118209"/>
        <c:scaling>
          <c:orientation val="minMax"/>
          <c:min val="2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Forward Lift Force, Lb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080335"/>
        <c:crossesAt val="0"/>
        <c:crossBetween val="midCat"/>
      </c:valAx>
      <c:valAx>
        <c:axId val="98080335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Aft Button Extraction Force, Lb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2118209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1248120</xdr:colOff>
      <xdr:row>16</xdr:row>
      <xdr:rowOff>152640</xdr:rowOff>
    </xdr:from>
    <xdr:to>
      <xdr:col>10</xdr:col>
      <xdr:colOff>724680</xdr:colOff>
      <xdr:row>40</xdr:row>
      <xdr:rowOff>66600</xdr:rowOff>
    </xdr:to>
    <xdr:graphicFrame>
      <xdr:nvGraphicFramePr>
        <xdr:cNvPr id="1" name="Chart 4"/>
        <xdr:cNvGraphicFramePr/>
      </xdr:nvGraphicFramePr>
      <xdr:xfrm>
        <a:off x="4351320" y="3295800"/>
        <a:ext cx="6125760" cy="380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7.42"/>
    <col collapsed="false" customWidth="true" hidden="false" outlineLevel="0" max="4" min="4" style="0" width="19.99"/>
    <col collapsed="false" customWidth="true" hidden="false" outlineLevel="0" max="5" min="5" style="0" width="16.56"/>
    <col collapsed="false" customWidth="true" hidden="false" outlineLevel="0" max="6" min="6" style="0" width="12.42"/>
    <col collapsed="false" customWidth="true" hidden="false" outlineLevel="0" max="7" min="7" style="0" width="15.56"/>
    <col collapsed="false" customWidth="true" hidden="false" outlineLevel="0" max="10" min="10" style="0" width="11.7"/>
    <col collapsed="false" customWidth="true" hidden="false" outlineLevel="0" max="11" min="11" style="0" width="10.41"/>
  </cols>
  <sheetData>
    <row r="1" customFormat="false" ht="12.75" hidden="false" customHeight="false" outlineLevel="0" collapsed="false">
      <c r="K1" s="0" t="s">
        <v>0</v>
      </c>
    </row>
    <row r="3" customFormat="false" ht="55.5" hidden="false" customHeight="true" outlineLevel="0" collapsed="false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1" t="s">
        <v>9</v>
      </c>
      <c r="K3" s="1" t="s">
        <v>10</v>
      </c>
    </row>
    <row r="4" customFormat="false" ht="13.5" hidden="false" customHeight="true" outlineLevel="0" collapsed="false">
      <c r="B4" s="3" t="n">
        <v>100</v>
      </c>
      <c r="C4" s="3" t="n">
        <v>107</v>
      </c>
      <c r="D4" s="3" t="n">
        <v>32</v>
      </c>
      <c r="E4" s="3" t="n">
        <v>68.2</v>
      </c>
      <c r="F4" s="3" t="n">
        <v>54</v>
      </c>
      <c r="G4" s="3" t="n">
        <v>1</v>
      </c>
      <c r="H4" s="0" t="n">
        <f aca="false">G4*$F$4*($B$4-$E$4)*($C$4-$D$4)-$F$4*($C$4-$E$4)*($B$4-$D$4)</f>
        <v>-13683.6</v>
      </c>
      <c r="I4" s="0" t="n">
        <f aca="false">($B$4-$D$4)*($C$4-$B$4)</f>
        <v>476</v>
      </c>
      <c r="J4" s="0" t="n">
        <f aca="false">G4*($F$4*($B$4-$E$4)/($B$4-$D$4))</f>
        <v>25.2529411764706</v>
      </c>
      <c r="K4" s="0" t="n">
        <f aca="false">H4/I4</f>
        <v>-28.7470588235294</v>
      </c>
    </row>
    <row r="5" customFormat="false" ht="12.75" hidden="false" customHeight="false" outlineLevel="0" collapsed="false">
      <c r="G5" s="3" t="n">
        <f aca="false">G4+0.2</f>
        <v>1.2</v>
      </c>
      <c r="H5" s="0" t="n">
        <f aca="false">G5*$F$4*($B$4-$E$4)*($C$4-$D$4)-$F$4*($C$4-$E$4)*($B$4-$D$4)</f>
        <v>12074.4</v>
      </c>
      <c r="I5" s="0" t="n">
        <f aca="false">($B$4-$D$4)*($C$4-$B$4)</f>
        <v>476</v>
      </c>
      <c r="J5" s="0" t="n">
        <f aca="false">G5*($F$4*($B$4-$E$4)/($B$4-$D$4))</f>
        <v>30.3035294117647</v>
      </c>
      <c r="K5" s="0" t="n">
        <f aca="false">H5/I5</f>
        <v>25.3663865546219</v>
      </c>
    </row>
    <row r="6" customFormat="false" ht="12.75" hidden="false" customHeight="false" outlineLevel="0" collapsed="false">
      <c r="G6" s="3" t="n">
        <f aca="false">G5+0.2</f>
        <v>1.4</v>
      </c>
      <c r="H6" s="0" t="n">
        <f aca="false">G6*$F$4*($B$4-$E$4)*($C$4-$D$4)-$F$4*($C$4-$E$4)*($B$4-$D$4)</f>
        <v>37832.4</v>
      </c>
      <c r="I6" s="0" t="n">
        <f aca="false">($B$4-$D$4)*($C$4-$B$4)</f>
        <v>476</v>
      </c>
      <c r="J6" s="0" t="n">
        <f aca="false">G6*($F$4*($B$4-$E$4)/($B$4-$D$4))</f>
        <v>35.3541176470588</v>
      </c>
      <c r="K6" s="0" t="n">
        <f aca="false">H6/I6</f>
        <v>79.4798319327731</v>
      </c>
    </row>
    <row r="7" customFormat="false" ht="12.75" hidden="false" customHeight="false" outlineLevel="0" collapsed="false">
      <c r="G7" s="3" t="n">
        <f aca="false">G6+0.2</f>
        <v>1.6</v>
      </c>
      <c r="H7" s="0" t="n">
        <f aca="false">G7*$F$4*($B$4-$E$4)*($C$4-$D$4)-$F$4*($C$4-$E$4)*($B$4-$D$4)</f>
        <v>63590.4</v>
      </c>
      <c r="I7" s="0" t="n">
        <f aca="false">($B$4-$D$4)*($C$4-$B$4)</f>
        <v>476</v>
      </c>
      <c r="J7" s="0" t="n">
        <f aca="false">G7*($F$4*($B$4-$E$4)/($B$4-$D$4))</f>
        <v>40.4047058823529</v>
      </c>
      <c r="K7" s="0" t="n">
        <f aca="false">H7/I7</f>
        <v>133.593277310924</v>
      </c>
    </row>
    <row r="8" customFormat="false" ht="12.75" hidden="false" customHeight="false" outlineLevel="0" collapsed="false">
      <c r="G8" s="3" t="n">
        <f aca="false">G7+0.2</f>
        <v>1.8</v>
      </c>
      <c r="H8" s="0" t="n">
        <f aca="false">G8*$F$4*($B$4-$E$4)*($C$4-$D$4)-$F$4*($C$4-$E$4)*($B$4-$D$4)</f>
        <v>89348.4</v>
      </c>
      <c r="I8" s="0" t="n">
        <f aca="false">($B$4-$D$4)*($C$4-$B$4)</f>
        <v>476</v>
      </c>
      <c r="J8" s="0" t="n">
        <f aca="false">G8*($F$4*($B$4-$E$4)/($B$4-$D$4))</f>
        <v>45.4552941176471</v>
      </c>
      <c r="K8" s="0" t="n">
        <f aca="false">H8/I8</f>
        <v>187.706722689076</v>
      </c>
    </row>
    <row r="9" customFormat="false" ht="12.75" hidden="false" customHeight="false" outlineLevel="0" collapsed="false">
      <c r="G9" s="3" t="n">
        <f aca="false">G8+0.2</f>
        <v>2</v>
      </c>
      <c r="H9" s="0" t="n">
        <f aca="false">G9*$F$4*($B$4-$E$4)*($C$4-$D$4)-$F$4*($C$4-$E$4)*($B$4-$D$4)</f>
        <v>115106.4</v>
      </c>
      <c r="I9" s="0" t="n">
        <f aca="false">($B$4-$D$4)*($C$4-$B$4)</f>
        <v>476</v>
      </c>
      <c r="J9" s="0" t="n">
        <f aca="false">G9*($F$4*($B$4-$E$4)/($B$4-$D$4))</f>
        <v>50.5058823529412</v>
      </c>
      <c r="K9" s="0" t="n">
        <f aca="false">H9/I9</f>
        <v>241.820168067227</v>
      </c>
    </row>
    <row r="10" customFormat="false" ht="12.75" hidden="false" customHeight="false" outlineLevel="0" collapsed="false">
      <c r="G10" s="3" t="n">
        <f aca="false">G9+0.2</f>
        <v>2.2</v>
      </c>
      <c r="H10" s="0" t="n">
        <f aca="false">G10*$F$4*($B$4-$E$4)*($C$4-$D$4)-$F$4*($C$4-$E$4)*($B$4-$D$4)</f>
        <v>140864.4</v>
      </c>
      <c r="I10" s="0" t="n">
        <f aca="false">($B$4-$D$4)*($C$4-$B$4)</f>
        <v>476</v>
      </c>
      <c r="J10" s="0" t="n">
        <f aca="false">G10*($F$4*($B$4-$E$4)/($B$4-$D$4))</f>
        <v>55.5564705882353</v>
      </c>
      <c r="K10" s="0" t="n">
        <f aca="false">H10/I10</f>
        <v>295.933613445378</v>
      </c>
    </row>
    <row r="11" customFormat="false" ht="12.75" hidden="false" customHeight="false" outlineLevel="0" collapsed="false">
      <c r="G11" s="3" t="n">
        <f aca="false">G10+0.2</f>
        <v>2.4</v>
      </c>
      <c r="H11" s="0" t="n">
        <f aca="false">G11*$F$4*($B$4-$E$4)*($C$4-$D$4)-$F$4*($C$4-$E$4)*($B$4-$D$4)</f>
        <v>166622.4</v>
      </c>
      <c r="I11" s="0" t="n">
        <f aca="false">($B$4-$D$4)*($C$4-$B$4)</f>
        <v>476</v>
      </c>
      <c r="J11" s="0" t="n">
        <f aca="false">G11*($F$4*($B$4-$E$4)/($B$4-$D$4))</f>
        <v>60.6070588235294</v>
      </c>
      <c r="K11" s="0" t="n">
        <f aca="false">H11/I11</f>
        <v>350.04705882353</v>
      </c>
    </row>
    <row r="12" customFormat="false" ht="12.75" hidden="false" customHeight="false" outlineLevel="0" collapsed="false">
      <c r="G12" s="3" t="n">
        <f aca="false">G11+0.2</f>
        <v>2.6</v>
      </c>
      <c r="H12" s="0" t="n">
        <f aca="false">G12*$F$4*($B$4-$E$4)*($C$4-$D$4)-$F$4*($C$4-$E$4)*($B$4-$D$4)</f>
        <v>192380.4</v>
      </c>
      <c r="I12" s="0" t="n">
        <f aca="false">($B$4-$D$4)*($C$4-$B$4)</f>
        <v>476</v>
      </c>
      <c r="J12" s="0" t="n">
        <f aca="false">G12*($F$4*($B$4-$E$4)/($B$4-$D$4))</f>
        <v>65.6576470588235</v>
      </c>
      <c r="K12" s="0" t="n">
        <f aca="false">H12/I12</f>
        <v>404.160504201681</v>
      </c>
    </row>
    <row r="13" customFormat="false" ht="12.75" hidden="false" customHeight="false" outlineLevel="0" collapsed="false">
      <c r="G13" s="3" t="n">
        <f aca="false">G12+0.2</f>
        <v>2.8</v>
      </c>
      <c r="H13" s="0" t="n">
        <f aca="false">G13*$F$4*($B$4-$E$4)*($C$4-$D$4)-$F$4*($C$4-$E$4)*($B$4-$D$4)</f>
        <v>218138.4</v>
      </c>
      <c r="I13" s="0" t="n">
        <f aca="false">($B$4-$D$4)*($C$4-$B$4)</f>
        <v>476</v>
      </c>
      <c r="J13" s="0" t="n">
        <f aca="false">G13*($F$4*($B$4-$E$4)/($B$4-$D$4))</f>
        <v>70.7082352941176</v>
      </c>
      <c r="K13" s="0" t="n">
        <f aca="false">H13/I13</f>
        <v>458.273949579832</v>
      </c>
    </row>
    <row r="14" customFormat="false" ht="12.75" hidden="false" customHeight="false" outlineLevel="0" collapsed="false">
      <c r="G14" s="3" t="n">
        <f aca="false">G13+0.2</f>
        <v>3</v>
      </c>
      <c r="H14" s="0" t="n">
        <f aca="false">G14*$F$4*($B$4-$E$4)*($C$4-$D$4)-$F$4*($C$4-$E$4)*($B$4-$D$4)</f>
        <v>243896.4</v>
      </c>
      <c r="I14" s="0" t="n">
        <f aca="false">($B$4-$D$4)*($C$4-$B$4)</f>
        <v>476</v>
      </c>
      <c r="J14" s="0" t="n">
        <f aca="false">G14*($F$4*($B$4-$E$4)/($B$4-$D$4))</f>
        <v>75.7588235294118</v>
      </c>
      <c r="K14" s="0" t="n">
        <f aca="false">H14/I14</f>
        <v>512.387394957983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2012-07-04T16:00:05Z</dcterms:created>
  <dc:creator>Owner</dc:creator>
  <dc:description/>
  <dc:language>en-US</dc:language>
  <cp:lastModifiedBy>Owner</cp:lastModifiedBy>
  <dcterms:modified xsi:type="dcterms:W3CDTF">2014-05-25T20:05:21Z</dcterms:modified>
  <cp:revision>0</cp:revision>
  <dc:subject/>
  <dc:title/>
</cp:coreProperties>
</file>