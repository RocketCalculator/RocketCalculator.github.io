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<sst xmlns="http://schemas.openxmlformats.org/spreadsheetml/2006/main" count="21" uniqueCount="21">
  <si>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This is a simulation of a two-mass yo-yo despinner as documented in NASA Technical Note D-708, "Theory and Design Curves for a Yo-Yo Despin Mechanism for Satellites" by J..V. Fedor.  The weights are released when their wires are aligned with the radius vector.   Maximum wire tensile loads are estimated for both phases.</t>
  </si>
  <si>
    <r>
      <rPr>
        <sz val="10"/>
        <rFont val="Arial"/>
        <family val="0"/>
      </rPr>
      <t xml:space="preserve">Standard g, ft/sec</t>
    </r>
    <r>
      <rPr>
        <vertAlign val="superscript"/>
        <sz val="10"/>
        <rFont val="Arial"/>
        <family val="2"/>
      </rPr>
      <t xml:space="preserve">2</t>
    </r>
  </si>
  <si>
    <t xml:space="preserve">Initial Roll Rate, deg/sec</t>
  </si>
  <si>
    <t xml:space="preserve">Initial Roll Rate, rad/sec</t>
  </si>
  <si>
    <t xml:space="preserve">Final Roll Rate,deg/sec</t>
  </si>
  <si>
    <t xml:space="preserve">Final Roll Rate, rad/sec</t>
  </si>
  <si>
    <t xml:space="preserve">Spin Ratio, r</t>
  </si>
  <si>
    <r>
      <rPr>
        <sz val="10"/>
        <rFont val="Arial"/>
        <family val="0"/>
      </rPr>
      <t xml:space="preserve">Roll Moment of Inertia, sl-ft</t>
    </r>
    <r>
      <rPr>
        <vertAlign val="superscript"/>
        <sz val="10"/>
        <rFont val="Arial"/>
        <family val="2"/>
      </rPr>
      <t xml:space="preserve">2</t>
    </r>
  </si>
  <si>
    <t xml:space="preserve">Initial Wire Drum Radius, in</t>
  </si>
  <si>
    <t xml:space="preserve">Initial Wire Drum Radius (a), ft</t>
  </si>
  <si>
    <t xml:space="preserve">Length of Wire, in</t>
  </si>
  <si>
    <t xml:space="preserve">Length of Wire, ft</t>
  </si>
  <si>
    <t xml:space="preserve">Wire Weight per Unit Length, lb/in</t>
  </si>
  <si>
    <t xml:space="preserve">Wire Mass per Unit Length, sl/ft</t>
  </si>
  <si>
    <t xml:space="preserve">Total DeSpin Mass, sl</t>
  </si>
  <si>
    <t xml:space="preserve">DeSpin Weights Mass, sl</t>
  </si>
  <si>
    <t xml:space="preserve">De Spin Weight, lb</t>
  </si>
  <si>
    <r>
      <rPr>
        <sz val="10"/>
        <rFont val="Arial"/>
        <family val="0"/>
      </rPr>
      <t xml:space="preserve">Lambda (</t>
    </r>
    <r>
      <rPr>
        <sz val="10"/>
        <rFont val="Symbol"/>
        <family val="1"/>
        <charset val="2"/>
      </rPr>
      <t xml:space="preserve">l</t>
    </r>
    <r>
      <rPr>
        <sz val="10"/>
        <rFont val="Arial"/>
        <family val="0"/>
      </rPr>
      <t xml:space="preserve">), ft</t>
    </r>
    <r>
      <rPr>
        <vertAlign val="superscript"/>
        <sz val="10"/>
        <rFont val="Arial"/>
        <family val="2"/>
      </rPr>
      <t xml:space="preserve">2</t>
    </r>
  </si>
  <si>
    <t xml:space="preserve">Maximum Phase 1 Wire Tension, lb</t>
  </si>
  <si>
    <t xml:space="preserve">G</t>
  </si>
  <si>
    <t xml:space="preserve">Maximum Phase 2 Wire Tension, lb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</si>
</sst>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sz val="10"/>
      <name val="Symbol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/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W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28.56"/>
    <col collapsed="false" customWidth="true" hidden="false" outlineLevel="0" max="3" min="3" style="0" width="11.42"/>
    <col collapsed="false" customWidth="true" hidden="false" outlineLevel="0" max="4" min="4" style="0" width="9.99"/>
    <col collapsed="false" customWidth="true" hidden="false" outlineLevel="0" max="6" min="5" style="0" width="13.14"/>
    <col collapsed="false" customWidth="true" hidden="false" outlineLevel="0" max="8" min="7" style="0" width="12.28"/>
    <col collapsed="false" customWidth="true" hidden="false" outlineLevel="0" max="9" min="9" style="0" width="9.41"/>
    <col collapsed="false" customWidth="true" hidden="false" outlineLevel="0" max="11" min="10" style="0" width="14.14"/>
    <col collapsed="false" customWidth="true" hidden="false" outlineLevel="0" max="12" min="12" style="0" width="15.41"/>
    <col collapsed="false" customWidth="true" hidden="false" outlineLevel="0" max="13" min="13" style="0" width="10.13"/>
    <col collapsed="false" customWidth="true" hidden="false" outlineLevel="0" max="15" min="15" style="0" width="14.85"/>
    <col collapsed="false" customWidth="true" hidden="false" outlineLevel="0" max="16" min="16" style="0" width="15.41"/>
    <col collapsed="false" customWidth="true" hidden="false" outlineLevel="0" max="17" min="17" style="0" width="11.56"/>
    <col collapsed="false" customWidth="true" hidden="false" outlineLevel="0" max="18" min="18" style="0" width="14.99"/>
    <col collapsed="false" customWidth="true" hidden="false" outlineLevel="0" max="21" min="21" style="0" width="16.28"/>
    <col collapsed="false" customWidth="true" hidden="false" outlineLevel="0" max="23" min="23" style="0" width="15.99"/>
  </cols>
  <sheetData>
    <row r="3" customFormat="false" ht="139.5" hidden="false" customHeight="true" outlineLevel="0" collapsed="false">
      <c r="B3" s="1" t="s">
        <v>0</v>
      </c>
      <c r="C3" s="2"/>
    </row>
    <row r="4" customFormat="false" ht="31.5" hidden="false" customHeight="true" outlineLevel="0" collapsed="false"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</row>
    <row r="5" customFormat="false" ht="12.75" hidden="false" customHeight="false" outlineLevel="0" collapsed="false">
      <c r="D5" s="4" t="n">
        <v>32.174</v>
      </c>
      <c r="E5" s="5" t="n">
        <v>2700</v>
      </c>
      <c r="F5" s="6" t="n">
        <f aca="false">E5*PI()/180</f>
        <v>47.1238898038469</v>
      </c>
      <c r="G5" s="5" t="n">
        <v>600</v>
      </c>
      <c r="H5" s="6" t="n">
        <f aca="false">G5*PI()/180</f>
        <v>10.471975511966</v>
      </c>
      <c r="I5" s="7" t="n">
        <f aca="false">H5/F5</f>
        <v>0.222222222222222</v>
      </c>
      <c r="J5" s="5" t="n">
        <v>2.5</v>
      </c>
      <c r="K5" s="5" t="n">
        <v>15</v>
      </c>
      <c r="L5" s="6" t="n">
        <f aca="false">K5/12</f>
        <v>1.25</v>
      </c>
      <c r="M5" s="5" t="n">
        <v>206</v>
      </c>
      <c r="N5" s="6" t="n">
        <f aca="false">M5/12</f>
        <v>17.1666666666667</v>
      </c>
      <c r="O5" s="5" t="n">
        <v>0.0002083</v>
      </c>
      <c r="P5" s="8" t="n">
        <f aca="false">O5*12/D5</f>
        <v>7.76900602971343E-005</v>
      </c>
      <c r="Q5" s="0" t="n">
        <f aca="false">(1-I5)*J5/((1+I5)*(L5+N5)^2-L5^2)</f>
        <v>0.00470829145071428</v>
      </c>
      <c r="R5" s="0" t="n">
        <f aca="false">Q5-2*P5*N5/3</f>
        <v>0.00381917187175818</v>
      </c>
      <c r="S5" s="9" t="n">
        <f aca="false">D5*R5/2</f>
        <v>0.0614390179009739</v>
      </c>
      <c r="T5" s="0" t="n">
        <f aca="false">SQRT(J5/Q5+L5^2)</f>
        <v>23.0768428213908</v>
      </c>
      <c r="U5" s="9" t="n">
        <f aca="false">SQRT(27/16)*Q5*T5*F5^2*(1-L5^2/T5^2)/2</f>
        <v>156.256385917103</v>
      </c>
      <c r="V5" s="10" t="n">
        <f aca="false">(1-I5)*J5/(Q5*L5^2)</f>
        <v>264.309135802469</v>
      </c>
      <c r="W5" s="9" t="n">
        <f aca="false">R5*F5^2*N5*(L5*I5^2/N5+((I5+1)*(N5/L5+1)-I5^2)/(N5/L5))/2</f>
        <v>95.4514816818601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2013-11-05T14:00:03Z</dcterms:created>
  <dc:creator>Owner</dc:creator>
  <dc:description/>
  <dc:language>en-US</dc:language>
  <cp:lastModifiedBy>Owner</cp:lastModifiedBy>
  <dcterms:modified xsi:type="dcterms:W3CDTF">2013-11-05T17:35:27Z</dcterms:modified>
  <cp:revision>0</cp:revision>
  <dc:subject/>
  <dc:title/>
</cp:coreProperties>
</file>