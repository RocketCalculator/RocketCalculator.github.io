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name="CpNstag" vbProcedure="false">Sheet1!$O$5:$O$35</definedName>
    <definedName function="false" hidden="false" name="Cpstag" vbProcedure="false">Sheet1!$E$5:$E$35</definedName>
    <definedName function="false" hidden="false" name="d2r" vbProcedure="false">Sheet1!$A$5</definedName>
    <definedName function="false" hidden="false" name="gamma" vbProcedure="false">Sheet1!$C$5</definedName>
    <definedName function="false" hidden="false" name="l" vbProcedure="false">Sheet1!$L$5</definedName>
    <definedName function="false" hidden="false" name="Lambda" vbProcedure="false">Sheet1!$K$5</definedName>
    <definedName function="false" hidden="false" name="M1_" vbProcedure="false">Sheet1!$D$5:$D$35</definedName>
    <definedName function="false" hidden="false" name="Mach1" vbProcedure="false">Sheet1!$D$5:$D$35</definedName>
    <definedName function="false" hidden="false" name="MachN" vbProcedure="false">Sheet1!$N$5:$N$35</definedName>
    <definedName function="false" hidden="false" name="Rad" vbProcedure="false">Sheet1!$F$5</definedName>
    <definedName function="false" hidden="false" name="RLE" vbProcedure="false">Sheet1!$M$5</definedName>
    <definedName function="false" hidden="false" name="R_" vbProcedure="false">Sheet1!$F$5</definedName>
    <definedName function="false" hidden="false" name="ThetaM" vbProcedure="false">Sheet1!$G$5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<sst xmlns="http://schemas.openxmlformats.org/spreadsheetml/2006/main" count="21" uniqueCount="21">
  <si>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R-1135</t>
  </si>
  <si>
    <t xml:space="preserve">Free Stream Mach no.</t>
  </si>
  <si>
    <t xml:space="preserve">Nose Cap Radius, ft</t>
  </si>
  <si>
    <t xml:space="preserve">Theta max, deg</t>
  </si>
  <si>
    <r>
      <rPr>
        <sz val="10"/>
        <rFont val="Arial"/>
        <family val="0"/>
      </rPr>
      <t xml:space="preserve">Drag  Area, ft</t>
    </r>
    <r>
      <rPr>
        <vertAlign val="superscript"/>
        <sz val="12"/>
        <rFont val="Arial"/>
        <family val="2"/>
      </rPr>
      <t xml:space="preserve">2</t>
    </r>
  </si>
  <si>
    <t xml:space="preserve">Leading Edge Sweep, deg</t>
  </si>
  <si>
    <t xml:space="preserve">Leading Edge Length, ft</t>
  </si>
  <si>
    <t xml:space="preserve">Leading Edge Radius, ft</t>
  </si>
  <si>
    <t xml:space="preserve">Mach no. normal to L.edge.</t>
  </si>
  <si>
    <r>
      <rPr>
        <sz val="10"/>
        <rFont val="Arial"/>
        <family val="0"/>
      </rPr>
      <t xml:space="preserve">Drag Area, ft</t>
    </r>
    <r>
      <rPr>
        <vertAlign val="superscript"/>
        <sz val="12"/>
        <rFont val="Arial"/>
        <family val="2"/>
      </rPr>
      <t xml:space="preserve">2</t>
    </r>
  </si>
  <si>
    <t xml:space="preserve">d2r</t>
  </si>
  <si>
    <t xml:space="preserve">gamma</t>
  </si>
  <si>
    <t xml:space="preserve">Mach1</t>
  </si>
  <si>
    <t xml:space="preserve">Cpstag</t>
  </si>
  <si>
    <t xml:space="preserve">Rad</t>
  </si>
  <si>
    <t xml:space="preserve">ThetaM</t>
  </si>
  <si>
    <t xml:space="preserve">Lambda</t>
  </si>
  <si>
    <t xml:space="preserve">l</t>
  </si>
  <si>
    <t xml:space="preserve">RLE</t>
  </si>
  <si>
    <t xml:space="preserve">MachN</t>
  </si>
  <si>
    <t xml:space="preserve">CpNstag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</si>
</sst>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2"/>
      <name val="Arial"/>
      <family val="2"/>
    </font>
    <font>
      <b val="true"/>
      <sz val="12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CC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Stagnation Pressure Coefficient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Cpstag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Sheet1!$D$5:$D$35</c:f>
              <c:numCache>
                <c:formatCode>General</c:formatCode>
                <c:ptCount val="31"/>
                <c:pt idx="0">
                  <c:v>1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</c:v>
                </c:pt>
                <c:pt idx="13">
                  <c:v>2.3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</c:numCache>
            </c:numRef>
          </c:xVal>
          <c:yVal>
            <c:numRef>
              <c:f>Sheet1!$E$5:$E$35</c:f>
              <c:numCache>
                <c:formatCode>General</c:formatCode>
                <c:ptCount val="31"/>
                <c:pt idx="0">
                  <c:v>1.27561308391122</c:v>
                </c:pt>
                <c:pt idx="1">
                  <c:v>1.33748214244777</c:v>
                </c:pt>
                <c:pt idx="2">
                  <c:v>1.3963309729066</c:v>
                </c:pt>
                <c:pt idx="3">
                  <c:v>1.44851532868179</c:v>
                </c:pt>
                <c:pt idx="4">
                  <c:v>1.49361183591766</c:v>
                </c:pt>
                <c:pt idx="5">
                  <c:v>1.53223794502819</c:v>
                </c:pt>
                <c:pt idx="6">
                  <c:v>1.56527457178065</c:v>
                </c:pt>
                <c:pt idx="7">
                  <c:v>1.59359015126495</c:v>
                </c:pt>
                <c:pt idx="8">
                  <c:v>1.61795219294132</c:v>
                </c:pt>
                <c:pt idx="9">
                  <c:v>1.63900957097406</c:v>
                </c:pt>
                <c:pt idx="10">
                  <c:v>1.65730029029404</c:v>
                </c:pt>
                <c:pt idx="11">
                  <c:v>1.67326691057439</c:v>
                </c:pt>
                <c:pt idx="12">
                  <c:v>1.68727274938439</c:v>
                </c:pt>
                <c:pt idx="13">
                  <c:v>1.69961643012605</c:v>
                </c:pt>
                <c:pt idx="14">
                  <c:v>1.71054413680578</c:v>
                </c:pt>
                <c:pt idx="15">
                  <c:v>1.72025963197813</c:v>
                </c:pt>
                <c:pt idx="16">
                  <c:v>1.72893232823948</c:v>
                </c:pt>
                <c:pt idx="17">
                  <c:v>1.73670374982154</c:v>
                </c:pt>
                <c:pt idx="18">
                  <c:v>1.74369269566033</c:v>
                </c:pt>
                <c:pt idx="19">
                  <c:v>1.74999936815275</c:v>
                </c:pt>
                <c:pt idx="20">
                  <c:v>1.75570868274073</c:v>
                </c:pt>
                <c:pt idx="21">
                  <c:v>1.76089292982975</c:v>
                </c:pt>
                <c:pt idx="22">
                  <c:v>1.76561392428437</c:v>
                </c:pt>
                <c:pt idx="23">
                  <c:v>1.76992474861137</c:v>
                </c:pt>
                <c:pt idx="24">
                  <c:v>1.77387117295572</c:v>
                </c:pt>
                <c:pt idx="25">
                  <c:v>1.777492817071</c:v>
                </c:pt>
                <c:pt idx="26">
                  <c:v>1.78082410544812</c:v>
                </c:pt>
                <c:pt idx="27">
                  <c:v>1.78389505592488</c:v>
                </c:pt>
                <c:pt idx="28">
                  <c:v>1.78673193365387</c:v>
                </c:pt>
                <c:pt idx="29">
                  <c:v>1.78935779572715</c:v>
                </c:pt>
                <c:pt idx="30">
                  <c:v>1.79179294661715</c:v>
                </c:pt>
              </c:numCache>
            </c:numRef>
          </c:yVal>
          <c:smooth val="1"/>
        </c:ser>
        <c:axId val="63077864"/>
        <c:axId val="33982864"/>
      </c:scatterChart>
      <c:valAx>
        <c:axId val="63077864"/>
        <c:scaling>
          <c:orientation val="minMax"/>
          <c:max val="4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Free Stream 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982864"/>
        <c:crossesAt val="0"/>
        <c:crossBetween val="midCat"/>
      </c:valAx>
      <c:valAx>
        <c:axId val="3398286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Pressure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077864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Hemispherical Nose Cap Drag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Sheet1!$H$5:$H$35</c:f>
              <c:numCache>
                <c:formatCode>General</c:formatCode>
                <c:ptCount val="31"/>
                <c:pt idx="0">
                  <c:v>1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</c:v>
                </c:pt>
                <c:pt idx="13">
                  <c:v>2.3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</c:numCache>
            </c:numRef>
          </c:xVal>
          <c:yVal>
            <c:numRef>
              <c:f>Sheet1!$I$5:$I$35</c:f>
              <c:numCache>
                <c:formatCode>General</c:formatCode>
                <c:ptCount val="31"/>
                <c:pt idx="0">
                  <c:v>0.0400381293328982</c:v>
                </c:pt>
                <c:pt idx="1">
                  <c:v>0.0419800358550514</c:v>
                </c:pt>
                <c:pt idx="2">
                  <c:v>0.0438271453859256</c:v>
                </c:pt>
                <c:pt idx="3">
                  <c:v>0.0454650746389517</c:v>
                </c:pt>
                <c:pt idx="4">
                  <c:v>0.0468805350257609</c:v>
                </c:pt>
                <c:pt idx="5">
                  <c:v>0.0480929066858664</c:v>
                </c:pt>
                <c:pt idx="6">
                  <c:v>0.0491298392411379</c:v>
                </c:pt>
                <c:pt idx="7">
                  <c:v>0.0500185905779087</c:v>
                </c:pt>
                <c:pt idx="8">
                  <c:v>0.0507832507932626</c:v>
                </c:pt>
                <c:pt idx="9">
                  <c:v>0.0514441863353327</c:v>
                </c:pt>
                <c:pt idx="10">
                  <c:v>0.052018283759514</c:v>
                </c:pt>
                <c:pt idx="11">
                  <c:v>0.0525194338463677</c:v>
                </c:pt>
                <c:pt idx="12">
                  <c:v>0.0529590401758757</c:v>
                </c:pt>
                <c:pt idx="13">
                  <c:v>0.0533464757487871</c:v>
                </c:pt>
                <c:pt idx="14">
                  <c:v>0.0536894676315714</c:v>
                </c:pt>
                <c:pt idx="15">
                  <c:v>0.0539944113932417</c:v>
                </c:pt>
                <c:pt idx="16">
                  <c:v>0.0542666244482474</c:v>
                </c:pt>
                <c:pt idx="17">
                  <c:v>0.0545105488688475</c:v>
                </c:pt>
                <c:pt idx="18">
                  <c:v>0.054729913440224</c:v>
                </c:pt>
                <c:pt idx="19">
                  <c:v>0.0549278632512572</c:v>
                </c:pt>
                <c:pt idx="20">
                  <c:v>0.0551070635736425</c:v>
                </c:pt>
                <c:pt idx="21">
                  <c:v>0.0552697834124882</c:v>
                </c:pt>
                <c:pt idx="22">
                  <c:v>0.0554179629733113</c:v>
                </c:pt>
                <c:pt idx="23">
                  <c:v>0.0555532683759549</c:v>
                </c:pt>
                <c:pt idx="24">
                  <c:v>0.0556771362245168</c:v>
                </c:pt>
                <c:pt idx="25">
                  <c:v>0.0557908100785357</c:v>
                </c:pt>
                <c:pt idx="26">
                  <c:v>0.0558953704319615</c:v>
                </c:pt>
                <c:pt idx="27">
                  <c:v>0.0559917594655286</c:v>
                </c:pt>
                <c:pt idx="28">
                  <c:v>0.0560808015730823</c:v>
                </c:pt>
                <c:pt idx="29">
                  <c:v>0.0561632204559133</c:v>
                </c:pt>
                <c:pt idx="30">
                  <c:v>0.0562396534178425</c:v>
                </c:pt>
              </c:numCache>
            </c:numRef>
          </c:yVal>
          <c:smooth val="1"/>
        </c:ser>
        <c:axId val="28048184"/>
        <c:axId val="62490910"/>
      </c:scatterChart>
      <c:valAx>
        <c:axId val="28048184"/>
        <c:scaling>
          <c:orientation val="minMax"/>
          <c:max val="4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Free Stream 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490910"/>
        <c:crossesAt val="0"/>
        <c:crossBetween val="midCat"/>
        <c:majorUnit val="0.5"/>
      </c:valAx>
      <c:valAx>
        <c:axId val="6249091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Drag Area, sq. ft.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8048184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Fin Leading Edge Drag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18957178247021"/>
          <c:y val="0.251224185650415"/>
          <c:w val="0.906393771381385"/>
          <c:h val="0.71875665318288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Sheet1!$P$7:$P$35</c:f>
              <c:numCache>
                <c:formatCode>General</c:formatCode>
                <c:ptCount val="29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</c:v>
                </c:pt>
                <c:pt idx="11">
                  <c:v>2.3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</c:numCache>
            </c:numRef>
          </c:xVal>
          <c:yVal>
            <c:numRef>
              <c:f>Sheet1!$Q$7:$Q$35</c:f>
              <c:numCache>
                <c:formatCode>General</c:formatCode>
                <c:ptCount val="29"/>
                <c:pt idx="0">
                  <c:v>0.00732771320068942</c:v>
                </c:pt>
                <c:pt idx="1">
                  <c:v>0.00762918012932687</c:v>
                </c:pt>
                <c:pt idx="2">
                  <c:v>0.00791104965880912</c:v>
                </c:pt>
                <c:pt idx="3">
                  <c:v>0.00816383985956495</c:v>
                </c:pt>
                <c:pt idx="4">
                  <c:v>0.00838656680096695</c:v>
                </c:pt>
                <c:pt idx="5">
                  <c:v>0.00858142221148116</c:v>
                </c:pt>
                <c:pt idx="6">
                  <c:v>0.0087515845827527</c:v>
                </c:pt>
                <c:pt idx="7">
                  <c:v>0.00890032153215663</c:v>
                </c:pt>
                <c:pt idx="8">
                  <c:v>0.00903064284826824</c:v>
                </c:pt>
                <c:pt idx="9">
                  <c:v>0.00914519126211185</c:v>
                </c:pt>
                <c:pt idx="10">
                  <c:v>0.00924623406097666</c:v>
                </c:pt>
                <c:pt idx="11">
                  <c:v>0.00933569452721312</c:v>
                </c:pt>
                <c:pt idx="12">
                  <c:v>0.00941519598838616</c:v>
                </c:pt>
                <c:pt idx="13">
                  <c:v>0.00948610666392773</c:v>
                </c:pt>
                <c:pt idx="14">
                  <c:v>0.00954958057428277</c:v>
                </c:pt>
                <c:pt idx="15">
                  <c:v>0.00960659301121724</c:v>
                </c:pt>
                <c:pt idx="16">
                  <c:v>0.0096579704951244</c:v>
                </c:pt>
                <c:pt idx="17">
                  <c:v>0.00970441572278505</c:v>
                </c:pt>
                <c:pt idx="18">
                  <c:v>0.00974652819196213</c:v>
                </c:pt>
                <c:pt idx="19">
                  <c:v>0.00978482119569</c:v>
                </c:pt>
                <c:pt idx="20">
                  <c:v>0.00981973581367758</c:v>
                </c:pt>
                <c:pt idx="21">
                  <c:v>0.00985165244010734</c:v>
                </c:pt>
                <c:pt idx="22">
                  <c:v>0.00988090029849419</c:v>
                </c:pt>
                <c:pt idx="23">
                  <c:v>0.00990776531427192</c:v>
                </c:pt>
                <c:pt idx="24">
                  <c:v>0.00993249664725584</c:v>
                </c:pt>
                <c:pt idx="25">
                  <c:v>0.00995531212910954</c:v>
                </c:pt>
                <c:pt idx="26">
                  <c:v>0.00997640280427062</c:v>
                </c:pt>
                <c:pt idx="27">
                  <c:v>0.00999593673495416</c:v>
                </c:pt>
                <c:pt idx="28">
                  <c:v>0.0100140622003431</c:v>
                </c:pt>
              </c:numCache>
            </c:numRef>
          </c:yVal>
          <c:smooth val="1"/>
        </c:ser>
        <c:axId val="80782551"/>
        <c:axId val="21926724"/>
      </c:scatterChart>
      <c:valAx>
        <c:axId val="80782551"/>
        <c:scaling>
          <c:orientation val="minMax"/>
          <c:max val="4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Free Stream 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926724"/>
        <c:crossesAt val="0"/>
        <c:crossBetween val="midCat"/>
        <c:majorUnit val="0.5"/>
      </c:valAx>
      <c:valAx>
        <c:axId val="2192672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Drag Area, sq. feet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0782551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9720</xdr:rowOff>
    </xdr:from>
    <xdr:to>
      <xdr:col>11</xdr:col>
      <xdr:colOff>359640</xdr:colOff>
      <xdr:row>56</xdr:row>
      <xdr:rowOff>152280</xdr:rowOff>
    </xdr:to>
    <xdr:graphicFrame>
      <xdr:nvGraphicFramePr>
        <xdr:cNvPr id="1" name="Chart 1"/>
        <xdr:cNvGraphicFramePr/>
      </xdr:nvGraphicFramePr>
      <xdr:xfrm>
        <a:off x="638280" y="6143760"/>
        <a:ext cx="6907680" cy="338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36</xdr:row>
      <xdr:rowOff>0</xdr:rowOff>
    </xdr:from>
    <xdr:to>
      <xdr:col>22</xdr:col>
      <xdr:colOff>359640</xdr:colOff>
      <xdr:row>56</xdr:row>
      <xdr:rowOff>142920</xdr:rowOff>
    </xdr:to>
    <xdr:graphicFrame>
      <xdr:nvGraphicFramePr>
        <xdr:cNvPr id="2" name="Chart 2"/>
        <xdr:cNvGraphicFramePr/>
      </xdr:nvGraphicFramePr>
      <xdr:xfrm>
        <a:off x="7824600" y="6134040"/>
        <a:ext cx="6741360" cy="338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3</xdr:row>
      <xdr:rowOff>0</xdr:rowOff>
    </xdr:from>
    <xdr:to>
      <xdr:col>27</xdr:col>
      <xdr:colOff>359640</xdr:colOff>
      <xdr:row>23</xdr:row>
      <xdr:rowOff>142920</xdr:rowOff>
    </xdr:to>
    <xdr:graphicFrame>
      <xdr:nvGraphicFramePr>
        <xdr:cNvPr id="3" name="Chart 3"/>
        <xdr:cNvGraphicFramePr/>
      </xdr:nvGraphicFramePr>
      <xdr:xfrm>
        <a:off x="11653560" y="790560"/>
        <a:ext cx="6103080" cy="338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3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1" min="11" style="0" width="11.42"/>
  </cols>
  <sheetData>
    <row r="2" customFormat="false" ht="12.75" hidden="false" customHeight="false" outlineLevel="0" collapsed="false">
      <c r="E2" s="0" t="s">
        <v>0</v>
      </c>
    </row>
    <row r="3" customFormat="false" ht="36.75" hidden="false" customHeight="true" outlineLevel="0" collapsed="false">
      <c r="D3" s="1" t="s">
        <v>1</v>
      </c>
      <c r="F3" s="1" t="s">
        <v>2</v>
      </c>
      <c r="G3" s="1" t="s">
        <v>3</v>
      </c>
      <c r="H3" s="1" t="str">
        <f aca="false">D3</f>
        <v>Free Stream Mach no.</v>
      </c>
      <c r="I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P3" s="1" t="str">
        <f aca="false">D3</f>
        <v>Free Stream Mach no.</v>
      </c>
      <c r="Q3" s="1" t="s">
        <v>9</v>
      </c>
    </row>
    <row r="4" customFormat="false" ht="12.75" hidden="false" customHeight="false" outlineLevel="0" collapsed="false">
      <c r="A4" s="2" t="s">
        <v>10</v>
      </c>
      <c r="C4" s="2" t="s">
        <v>11</v>
      </c>
      <c r="D4" s="2" t="s">
        <v>12</v>
      </c>
      <c r="E4" s="3" t="s">
        <v>13</v>
      </c>
      <c r="F4" s="3" t="s">
        <v>14</v>
      </c>
      <c r="G4" s="3" t="s">
        <v>15</v>
      </c>
      <c r="H4" s="4" t="str">
        <f aca="false">D4</f>
        <v>Mach1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tr">
        <f aca="false">D4</f>
        <v>Mach1</v>
      </c>
    </row>
    <row r="5" customFormat="false" ht="12.75" hidden="false" customHeight="false" outlineLevel="0" collapsed="false">
      <c r="A5" s="5" t="n">
        <f aca="false">PI()/180</f>
        <v>0.0174532925199433</v>
      </c>
      <c r="B5" s="0" t="n">
        <v>0.1</v>
      </c>
      <c r="C5" s="6" t="n">
        <v>1.4</v>
      </c>
      <c r="D5" s="7" t="n">
        <v>1</v>
      </c>
      <c r="E5" s="0" t="n">
        <f aca="false">(((gamma+1)*Mach1^2/2)^(gamma/(gamma-1))*((gamma+1)/(2*gamma*Mach1^2-(gamma-1)))^(1/(gamma-1))-1)/(gamma*Mach1^2/2)</f>
        <v>1.27561308391122</v>
      </c>
      <c r="F5" s="6" t="n">
        <v>0.1</v>
      </c>
      <c r="G5" s="6" t="n">
        <v>80</v>
      </c>
      <c r="H5" s="4" t="n">
        <f aca="false">D5</f>
        <v>1</v>
      </c>
      <c r="I5" s="0" t="n">
        <f aca="false">PI()*Rad^2*Cpstag*(1-(COS(ThetaM*d2r))^4)</f>
        <v>0.0400381293328982</v>
      </c>
      <c r="K5" s="6" t="n">
        <v>30</v>
      </c>
      <c r="L5" s="6" t="n">
        <v>1.25</v>
      </c>
      <c r="M5" s="6" t="n">
        <v>0.005208</v>
      </c>
      <c r="N5" s="0" t="n">
        <f aca="false">Mach1*COS(Lambda*d2r)</f>
        <v>0.866025403784439</v>
      </c>
      <c r="O5" s="0" t="n">
        <f aca="false">IF(MachN&gt;1,(((gamma+1)*MachN^2/2)^(gamma/(gamma-1))*((gamma+1)/(2*gamma*MachN^2-(gamma-1)))^(1/(gamma-1))-1)/(gamma*MachN^2/2),0)</f>
        <v>0</v>
      </c>
      <c r="P5" s="3" t="n">
        <f aca="false">D5</f>
        <v>1</v>
      </c>
      <c r="Q5" s="0" t="n">
        <f aca="false">4*RLE*l*CpNstag*(COS(Lambda*d2r))^3/3</f>
        <v>0</v>
      </c>
    </row>
    <row r="6" customFormat="false" ht="12.75" hidden="false" customHeight="false" outlineLevel="0" collapsed="false">
      <c r="D6" s="0" t="n">
        <f aca="false">D5+$B$5</f>
        <v>1.1</v>
      </c>
      <c r="E6" s="0" t="n">
        <f aca="false">(((gamma+1)*Mach1^2/2)^(gamma/(gamma-1))*((gamma+1)/(2*gamma*Mach1^2-(gamma-1)))^(1/(gamma-1))-1)/(gamma*Mach1^2/2)</f>
        <v>1.33748214244777</v>
      </c>
      <c r="H6" s="4" t="n">
        <f aca="false">D6</f>
        <v>1.1</v>
      </c>
      <c r="I6" s="0" t="n">
        <f aca="false">PI()*Rad^2*Cpstag*(1-(COS(ThetaM*d2r))^4)</f>
        <v>0.0419800358550514</v>
      </c>
      <c r="N6" s="0" t="n">
        <f aca="false">Mach1*COS(Lambda*d2r)</f>
        <v>0.952627944162883</v>
      </c>
      <c r="O6" s="0" t="n">
        <f aca="false">IF(MachN&gt;1,(((gamma+1)*MachN^2/2)^(gamma/(gamma-1))*((gamma+1)/(2*gamma*MachN^2-(gamma-1)))^(1/(gamma-1))-1)/(gamma*MachN^2/2),0)</f>
        <v>0</v>
      </c>
      <c r="P6" s="3" t="n">
        <f aca="false">D6</f>
        <v>1.1</v>
      </c>
      <c r="Q6" s="0" t="n">
        <f aca="false">4*RLE*l*CpNstag*(COS(Lambda*d2r))^3/3</f>
        <v>0</v>
      </c>
    </row>
    <row r="7" customFormat="false" ht="12.75" hidden="false" customHeight="false" outlineLevel="0" collapsed="false">
      <c r="D7" s="0" t="n">
        <f aca="false">D6+$B$5</f>
        <v>1.2</v>
      </c>
      <c r="E7" s="0" t="n">
        <f aca="false">(((gamma+1)*Mach1^2/2)^(gamma/(gamma-1))*((gamma+1)/(2*gamma*Mach1^2-(gamma-1)))^(1/(gamma-1))-1)/(gamma*Mach1^2/2)</f>
        <v>1.3963309729066</v>
      </c>
      <c r="H7" s="4" t="n">
        <f aca="false">D7</f>
        <v>1.2</v>
      </c>
      <c r="I7" s="0" t="n">
        <f aca="false">PI()*Rad^2*Cpstag*(1-(COS(ThetaM*d2r))^4)</f>
        <v>0.0438271453859256</v>
      </c>
      <c r="N7" s="0" t="n">
        <f aca="false">Mach1*COS(Lambda*d2r)</f>
        <v>1.03923048454133</v>
      </c>
      <c r="O7" s="0" t="n">
        <f aca="false">IF(MachN&gt;1,(((gamma+1)*MachN^2/2)^(gamma/(gamma-1))*((gamma+1)/(2*gamma*MachN^2-(gamma-1)))^(1/(gamma-1))-1)/(gamma*MachN^2/2),0)</f>
        <v>1.29974107187785</v>
      </c>
      <c r="P7" s="3" t="n">
        <f aca="false">D7</f>
        <v>1.2</v>
      </c>
      <c r="Q7" s="0" t="n">
        <f aca="false">4*RLE*l*CpNstag*(COS(Lambda*d2r))^3/3</f>
        <v>0.00732771320068942</v>
      </c>
    </row>
    <row r="8" customFormat="false" ht="12.75" hidden="false" customHeight="false" outlineLevel="0" collapsed="false">
      <c r="D8" s="0" t="n">
        <f aca="false">D7+$B$5</f>
        <v>1.3</v>
      </c>
      <c r="E8" s="0" t="n">
        <f aca="false">(((gamma+1)*Mach1^2/2)^(gamma/(gamma-1))*((gamma+1)/(2*gamma*Mach1^2-(gamma-1)))^(1/(gamma-1))-1)/(gamma*Mach1^2/2)</f>
        <v>1.44851532868179</v>
      </c>
      <c r="H8" s="4" t="n">
        <f aca="false">D8</f>
        <v>1.3</v>
      </c>
      <c r="I8" s="0" t="n">
        <f aca="false">PI()*Rad^2*Cpstag*(1-(COS(ThetaM*d2r))^4)</f>
        <v>0.0454650746389517</v>
      </c>
      <c r="N8" s="0" t="n">
        <f aca="false">Mach1*COS(Lambda*d2r)</f>
        <v>1.12583302491977</v>
      </c>
      <c r="O8" s="0" t="n">
        <f aca="false">IF(MachN&gt;1,(((gamma+1)*MachN^2/2)^(gamma/(gamma-1))*((gamma+1)/(2*gamma*MachN^2-(gamma-1)))^(1/(gamma-1))-1)/(gamma*MachN^2/2),0)</f>
        <v>1.35321327230814</v>
      </c>
      <c r="P8" s="3" t="n">
        <f aca="false">D8</f>
        <v>1.3</v>
      </c>
      <c r="Q8" s="0" t="n">
        <f aca="false">4*RLE*l*CpNstag*(COS(Lambda*d2r))^3/3</f>
        <v>0.00762918012932687</v>
      </c>
    </row>
    <row r="9" customFormat="false" ht="12.75" hidden="false" customHeight="false" outlineLevel="0" collapsed="false">
      <c r="D9" s="0" t="n">
        <f aca="false">D8+$B$5</f>
        <v>1.4</v>
      </c>
      <c r="E9" s="0" t="n">
        <f aca="false">(((gamma+1)*Mach1^2/2)^(gamma/(gamma-1))*((gamma+1)/(2*gamma*Mach1^2-(gamma-1)))^(1/(gamma-1))-1)/(gamma*Mach1^2/2)</f>
        <v>1.49361183591766</v>
      </c>
      <c r="H9" s="4" t="n">
        <f aca="false">D9</f>
        <v>1.4</v>
      </c>
      <c r="I9" s="0" t="n">
        <f aca="false">PI()*Rad^2*Cpstag*(1-(COS(ThetaM*d2r))^4)</f>
        <v>0.0468805350257609</v>
      </c>
      <c r="N9" s="0" t="n">
        <f aca="false">Mach1*COS(Lambda*d2r)</f>
        <v>1.21243556529821</v>
      </c>
      <c r="O9" s="0" t="n">
        <f aca="false">IF(MachN&gt;1,(((gamma+1)*MachN^2/2)^(gamma/(gamma-1))*((gamma+1)/(2*gamma*MachN^2-(gamma-1)))^(1/(gamma-1))-1)/(gamma*MachN^2/2),0)</f>
        <v>1.40320941630904</v>
      </c>
      <c r="P9" s="3" t="n">
        <f aca="false">D9</f>
        <v>1.4</v>
      </c>
      <c r="Q9" s="0" t="n">
        <f aca="false">4*RLE*l*CpNstag*(COS(Lambda*d2r))^3/3</f>
        <v>0.00791104965880912</v>
      </c>
    </row>
    <row r="10" customFormat="false" ht="12.75" hidden="false" customHeight="false" outlineLevel="0" collapsed="false">
      <c r="D10" s="0" t="n">
        <f aca="false">D9+$B$5</f>
        <v>1.5</v>
      </c>
      <c r="E10" s="0" t="n">
        <f aca="false">(((gamma+1)*Mach1^2/2)^(gamma/(gamma-1))*((gamma+1)/(2*gamma*Mach1^2-(gamma-1)))^(1/(gamma-1))-1)/(gamma*Mach1^2/2)</f>
        <v>1.53223794502819</v>
      </c>
      <c r="H10" s="4" t="n">
        <f aca="false">D10</f>
        <v>1.5</v>
      </c>
      <c r="I10" s="0" t="n">
        <f aca="false">PI()*Rad^2*Cpstag*(1-(COS(ThetaM*d2r))^4)</f>
        <v>0.0480929066858664</v>
      </c>
      <c r="N10" s="0" t="n">
        <f aca="false">Mach1*COS(Lambda*d2r)</f>
        <v>1.29903810567666</v>
      </c>
      <c r="O10" s="0" t="n">
        <f aca="false">IF(MachN&gt;1,(((gamma+1)*MachN^2/2)^(gamma/(gamma-1))*((gamma+1)/(2*gamma*MachN^2-(gamma-1)))^(1/(gamma-1))-1)/(gamma*MachN^2/2),0)</f>
        <v>1.44804766222452</v>
      </c>
      <c r="P10" s="3" t="n">
        <f aca="false">D10</f>
        <v>1.5</v>
      </c>
      <c r="Q10" s="0" t="n">
        <f aca="false">4*RLE*l*CpNstag*(COS(Lambda*d2r))^3/3</f>
        <v>0.00816383985956495</v>
      </c>
    </row>
    <row r="11" customFormat="false" ht="12.75" hidden="false" customHeight="false" outlineLevel="0" collapsed="false">
      <c r="D11" s="0" t="n">
        <f aca="false">D10+$B$5</f>
        <v>1.6</v>
      </c>
      <c r="E11" s="0" t="n">
        <f aca="false">(((gamma+1)*Mach1^2/2)^(gamma/(gamma-1))*((gamma+1)/(2*gamma*Mach1^2-(gamma-1)))^(1/(gamma-1))-1)/(gamma*Mach1^2/2)</f>
        <v>1.56527457178065</v>
      </c>
      <c r="H11" s="4" t="n">
        <f aca="false">D11</f>
        <v>1.6</v>
      </c>
      <c r="I11" s="0" t="n">
        <f aca="false">PI()*Rad^2*Cpstag*(1-(COS(ThetaM*d2r))^4)</f>
        <v>0.0491298392411379</v>
      </c>
      <c r="N11" s="0" t="n">
        <f aca="false">Mach1*COS(Lambda*d2r)</f>
        <v>1.3856406460551</v>
      </c>
      <c r="O11" s="0" t="n">
        <f aca="false">IF(MachN&gt;1,(((gamma+1)*MachN^2/2)^(gamma/(gamma-1))*((gamma+1)/(2*gamma*MachN^2-(gamma-1)))^(1/(gamma-1))-1)/(gamma*MachN^2/2),0)</f>
        <v>1.48755348697851</v>
      </c>
      <c r="P11" s="3" t="n">
        <f aca="false">D11</f>
        <v>1.6</v>
      </c>
      <c r="Q11" s="0" t="n">
        <f aca="false">4*RLE*l*CpNstag*(COS(Lambda*d2r))^3/3</f>
        <v>0.00838656680096695</v>
      </c>
    </row>
    <row r="12" customFormat="false" ht="12.75" hidden="false" customHeight="false" outlineLevel="0" collapsed="false">
      <c r="D12" s="0" t="n">
        <f aca="false">D11+$B$5</f>
        <v>1.7</v>
      </c>
      <c r="E12" s="0" t="n">
        <f aca="false">(((gamma+1)*Mach1^2/2)^(gamma/(gamma-1))*((gamma+1)/(2*gamma*Mach1^2-(gamma-1)))^(1/(gamma-1))-1)/(gamma*Mach1^2/2)</f>
        <v>1.59359015126495</v>
      </c>
      <c r="H12" s="4" t="n">
        <f aca="false">D12</f>
        <v>1.7</v>
      </c>
      <c r="I12" s="0" t="n">
        <f aca="false">PI()*Rad^2*Cpstag*(1-(COS(ThetaM*d2r))^4)</f>
        <v>0.0500185905779087</v>
      </c>
      <c r="N12" s="0" t="n">
        <f aca="false">Mach1*COS(Lambda*d2r)</f>
        <v>1.47224318643355</v>
      </c>
      <c r="O12" s="0" t="n">
        <f aca="false">IF(MachN&gt;1,(((gamma+1)*MachN^2/2)^(gamma/(gamma-1))*((gamma+1)/(2*gamma*MachN^2-(gamma-1)))^(1/(gamma-1))-1)/(gamma*MachN^2/2),0)</f>
        <v>1.52211564480138</v>
      </c>
      <c r="P12" s="3" t="n">
        <f aca="false">D12</f>
        <v>1.7</v>
      </c>
      <c r="Q12" s="0" t="n">
        <f aca="false">4*RLE*l*CpNstag*(COS(Lambda*d2r))^3/3</f>
        <v>0.00858142221148116</v>
      </c>
    </row>
    <row r="13" customFormat="false" ht="12.75" hidden="false" customHeight="false" outlineLevel="0" collapsed="false">
      <c r="D13" s="0" t="n">
        <f aca="false">D12+$B$5</f>
        <v>1.8</v>
      </c>
      <c r="E13" s="0" t="n">
        <f aca="false">(((gamma+1)*Mach1^2/2)^(gamma/(gamma-1))*((gamma+1)/(2*gamma*Mach1^2-(gamma-1)))^(1/(gamma-1))-1)/(gamma*Mach1^2/2)</f>
        <v>1.61795219294132</v>
      </c>
      <c r="H13" s="4" t="n">
        <f aca="false">D13</f>
        <v>1.8</v>
      </c>
      <c r="I13" s="0" t="n">
        <f aca="false">PI()*Rad^2*Cpstag*(1-(COS(ThetaM*d2r))^4)</f>
        <v>0.0507832507932626</v>
      </c>
      <c r="N13" s="0" t="n">
        <f aca="false">Mach1*COS(Lambda*d2r)</f>
        <v>1.55884572681199</v>
      </c>
      <c r="O13" s="0" t="n">
        <f aca="false">IF(MachN&gt;1,(((gamma+1)*MachN^2/2)^(gamma/(gamma-1))*((gamma+1)/(2*gamma*MachN^2-(gamma-1)))^(1/(gamma-1))-1)/(gamma*MachN^2/2),0)</f>
        <v>1.55229791541876</v>
      </c>
      <c r="P13" s="3" t="n">
        <f aca="false">D13</f>
        <v>1.8</v>
      </c>
      <c r="Q13" s="0" t="n">
        <f aca="false">4*RLE*l*CpNstag*(COS(Lambda*d2r))^3/3</f>
        <v>0.0087515845827527</v>
      </c>
    </row>
    <row r="14" customFormat="false" ht="12.75" hidden="false" customHeight="false" outlineLevel="0" collapsed="false">
      <c r="D14" s="0" t="n">
        <f aca="false">D13+$B$5</f>
        <v>1.9</v>
      </c>
      <c r="E14" s="0" t="n">
        <f aca="false">(((gamma+1)*Mach1^2/2)^(gamma/(gamma-1))*((gamma+1)/(2*gamma*Mach1^2-(gamma-1)))^(1/(gamma-1))-1)/(gamma*Mach1^2/2)</f>
        <v>1.63900957097406</v>
      </c>
      <c r="H14" s="4" t="n">
        <f aca="false">D14</f>
        <v>1.9</v>
      </c>
      <c r="I14" s="0" t="n">
        <f aca="false">PI()*Rad^2*Cpstag*(1-(COS(ThetaM*d2r))^4)</f>
        <v>0.0514441863353327</v>
      </c>
      <c r="N14" s="0" t="n">
        <f aca="false">Mach1*COS(Lambda*d2r)</f>
        <v>1.64544826719043</v>
      </c>
      <c r="O14" s="0" t="n">
        <f aca="false">IF(MachN&gt;1,(((gamma+1)*MachN^2/2)^(gamma/(gamma-1))*((gamma+1)/(2*gamma*MachN^2-(gamma-1)))^(1/(gamma-1))-1)/(gamma*MachN^2/2),0)</f>
        <v>1.57867988708598</v>
      </c>
      <c r="P14" s="3" t="n">
        <f aca="false">D14</f>
        <v>1.9</v>
      </c>
      <c r="Q14" s="0" t="n">
        <f aca="false">4*RLE*l*CpNstag*(COS(Lambda*d2r))^3/3</f>
        <v>0.00890032153215663</v>
      </c>
    </row>
    <row r="15" customFormat="false" ht="12.75" hidden="false" customHeight="false" outlineLevel="0" collapsed="false">
      <c r="D15" s="0" t="n">
        <f aca="false">D14+$B$5</f>
        <v>2</v>
      </c>
      <c r="E15" s="0" t="n">
        <f aca="false">(((gamma+1)*Mach1^2/2)^(gamma/(gamma-1))*((gamma+1)/(2*gamma*Mach1^2-(gamma-1)))^(1/(gamma-1))-1)/(gamma*Mach1^2/2)</f>
        <v>1.65730029029404</v>
      </c>
      <c r="H15" s="4" t="n">
        <f aca="false">D15</f>
        <v>2</v>
      </c>
      <c r="I15" s="0" t="n">
        <f aca="false">PI()*Rad^2*Cpstag*(1-(COS(ThetaM*d2r))^4)</f>
        <v>0.052018283759514</v>
      </c>
      <c r="N15" s="0" t="n">
        <f aca="false">Mach1*COS(Lambda*d2r)</f>
        <v>1.73205080756888</v>
      </c>
      <c r="O15" s="0" t="n">
        <f aca="false">IF(MachN&gt;1,(((gamma+1)*MachN^2/2)^(gamma/(gamma-1))*((gamma+1)/(2*gamma*MachN^2-(gamma-1)))^(1/(gamma-1))-1)/(gamma*MachN^2/2),0)</f>
        <v>1.60179541609924</v>
      </c>
      <c r="P15" s="3" t="n">
        <f aca="false">D15</f>
        <v>2</v>
      </c>
      <c r="Q15" s="0" t="n">
        <f aca="false">4*RLE*l*CpNstag*(COS(Lambda*d2r))^3/3</f>
        <v>0.00903064284826824</v>
      </c>
    </row>
    <row r="16" customFormat="false" ht="12.75" hidden="false" customHeight="false" outlineLevel="0" collapsed="false">
      <c r="D16" s="0" t="n">
        <f aca="false">D15+$B$5</f>
        <v>2.1</v>
      </c>
      <c r="E16" s="0" t="n">
        <f aca="false">(((gamma+1)*Mach1^2/2)^(gamma/(gamma-1))*((gamma+1)/(2*gamma*Mach1^2-(gamma-1)))^(1/(gamma-1))-1)/(gamma*Mach1^2/2)</f>
        <v>1.67326691057439</v>
      </c>
      <c r="H16" s="4" t="n">
        <f aca="false">D16</f>
        <v>2.1</v>
      </c>
      <c r="I16" s="0" t="n">
        <f aca="false">PI()*Rad^2*Cpstag*(1-(COS(ThetaM*d2r))^4)</f>
        <v>0.0525194338463677</v>
      </c>
      <c r="N16" s="0" t="n">
        <f aca="false">Mach1*COS(Lambda*d2r)</f>
        <v>1.81865334794732</v>
      </c>
      <c r="O16" s="0" t="n">
        <f aca="false">IF(MachN&gt;1,(((gamma+1)*MachN^2/2)^(gamma/(gamma-1))*((gamma+1)/(2*gamma*MachN^2-(gamma-1)))^(1/(gamma-1))-1)/(gamma*MachN^2/2),0)</f>
        <v>1.62211325252562</v>
      </c>
      <c r="P16" s="3" t="n">
        <f aca="false">D16</f>
        <v>2.1</v>
      </c>
      <c r="Q16" s="0" t="n">
        <f aca="false">4*RLE*l*CpNstag*(COS(Lambda*d2r))^3/3</f>
        <v>0.00914519126211185</v>
      </c>
    </row>
    <row r="17" customFormat="false" ht="12.75" hidden="false" customHeight="false" outlineLevel="0" collapsed="false">
      <c r="D17" s="0" t="n">
        <f aca="false">D16+$B$5</f>
        <v>2.2</v>
      </c>
      <c r="E17" s="0" t="n">
        <f aca="false">(((gamma+1)*Mach1^2/2)^(gamma/(gamma-1))*((gamma+1)/(2*gamma*Mach1^2-(gamma-1)))^(1/(gamma-1))-1)/(gamma*Mach1^2/2)</f>
        <v>1.68727274938439</v>
      </c>
      <c r="H17" s="4" t="n">
        <f aca="false">D17</f>
        <v>2.2</v>
      </c>
      <c r="I17" s="0" t="n">
        <f aca="false">PI()*Rad^2*Cpstag*(1-(COS(ThetaM*d2r))^4)</f>
        <v>0.0529590401758757</v>
      </c>
      <c r="N17" s="0" t="n">
        <f aca="false">Mach1*COS(Lambda*d2r)</f>
        <v>1.90525588832577</v>
      </c>
      <c r="O17" s="0" t="n">
        <f aca="false">IF(MachN&gt;1,(((gamma+1)*MachN^2/2)^(gamma/(gamma-1))*((gamma+1)/(2*gamma*MachN^2-(gamma-1)))^(1/(gamma-1))-1)/(gamma*MachN^2/2),0)</f>
        <v>1.64003555271741</v>
      </c>
      <c r="P17" s="3" t="n">
        <f aca="false">D17</f>
        <v>2.2</v>
      </c>
      <c r="Q17" s="0" t="n">
        <f aca="false">4*RLE*l*CpNstag*(COS(Lambda*d2r))^3/3</f>
        <v>0.00924623406097666</v>
      </c>
    </row>
    <row r="18" customFormat="false" ht="12.75" hidden="false" customHeight="false" outlineLevel="0" collapsed="false">
      <c r="D18" s="0" t="n">
        <f aca="false">D17+$B$5</f>
        <v>2.3</v>
      </c>
      <c r="E18" s="0" t="n">
        <f aca="false">(((gamma+1)*Mach1^2/2)^(gamma/(gamma-1))*((gamma+1)/(2*gamma*Mach1^2-(gamma-1)))^(1/(gamma-1))-1)/(gamma*Mach1^2/2)</f>
        <v>1.69961643012605</v>
      </c>
      <c r="H18" s="4" t="n">
        <f aca="false">D18</f>
        <v>2.3</v>
      </c>
      <c r="I18" s="0" t="n">
        <f aca="false">PI()*Rad^2*Cpstag*(1-(COS(ThetaM*d2r))^4)</f>
        <v>0.0533464757487871</v>
      </c>
      <c r="N18" s="0" t="n">
        <f aca="false">Mach1*COS(Lambda*d2r)</f>
        <v>1.99185842870421</v>
      </c>
      <c r="O18" s="0" t="n">
        <f aca="false">IF(MachN&gt;1,(((gamma+1)*MachN^2/2)^(gamma/(gamma-1))*((gamma+1)/(2*gamma*MachN^2-(gamma-1)))^(1/(gamma-1))-1)/(gamma*MachN^2/2),0)</f>
        <v>1.65590345571693</v>
      </c>
      <c r="P18" s="3" t="n">
        <f aca="false">D18</f>
        <v>2.3</v>
      </c>
      <c r="Q18" s="0" t="n">
        <f aca="false">4*RLE*l*CpNstag*(COS(Lambda*d2r))^3/3</f>
        <v>0.00933569452721312</v>
      </c>
    </row>
    <row r="19" customFormat="false" ht="12.75" hidden="false" customHeight="false" outlineLevel="0" collapsed="false">
      <c r="D19" s="0" t="n">
        <f aca="false">D18+$B$5</f>
        <v>2.4</v>
      </c>
      <c r="E19" s="0" t="n">
        <f aca="false">(((gamma+1)*Mach1^2/2)^(gamma/(gamma-1))*((gamma+1)/(2*gamma*Mach1^2-(gamma-1)))^(1/(gamma-1))-1)/(gamma*Mach1^2/2)</f>
        <v>1.71054413680578</v>
      </c>
      <c r="H19" s="4" t="n">
        <f aca="false">D19</f>
        <v>2.4</v>
      </c>
      <c r="I19" s="0" t="n">
        <f aca="false">PI()*Rad^2*Cpstag*(1-(COS(ThetaM*d2r))^4)</f>
        <v>0.0536894676315714</v>
      </c>
      <c r="N19" s="0" t="n">
        <f aca="false">Mach1*COS(Lambda*d2r)</f>
        <v>2.07846096908265</v>
      </c>
      <c r="O19" s="0" t="n">
        <f aca="false">IF(MachN&gt;1,(((gamma+1)*MachN^2/2)^(gamma/(gamma-1))*((gamma+1)/(2*gamma*MachN^2-(gamma-1)))^(1/(gamma-1))-1)/(gamma*MachN^2/2),0)</f>
        <v>1.67000489657998</v>
      </c>
      <c r="P19" s="3" t="n">
        <f aca="false">D19</f>
        <v>2.4</v>
      </c>
      <c r="Q19" s="0" t="n">
        <f aca="false">4*RLE*l*CpNstag*(COS(Lambda*d2r))^3/3</f>
        <v>0.00941519598838616</v>
      </c>
    </row>
    <row r="20" customFormat="false" ht="12.75" hidden="false" customHeight="false" outlineLevel="0" collapsed="false">
      <c r="D20" s="0" t="n">
        <f aca="false">D19+$B$5</f>
        <v>2.5</v>
      </c>
      <c r="E20" s="0" t="n">
        <f aca="false">(((gamma+1)*Mach1^2/2)^(gamma/(gamma-1))*((gamma+1)/(2*gamma*Mach1^2-(gamma-1)))^(1/(gamma-1))-1)/(gamma*Mach1^2/2)</f>
        <v>1.72025963197813</v>
      </c>
      <c r="H20" s="4" t="n">
        <f aca="false">D20</f>
        <v>2.5</v>
      </c>
      <c r="I20" s="0" t="n">
        <f aca="false">PI()*Rad^2*Cpstag*(1-(COS(ThetaM*d2r))^4)</f>
        <v>0.0539944113932417</v>
      </c>
      <c r="N20" s="0" t="n">
        <f aca="false">Mach1*COS(Lambda*d2r)</f>
        <v>2.1650635094611</v>
      </c>
      <c r="O20" s="0" t="n">
        <f aca="false">IF(MachN&gt;1,(((gamma+1)*MachN^2/2)^(gamma/(gamma-1))*((gamma+1)/(2*gamma*MachN^2-(gamma-1)))^(1/(gamma-1))-1)/(gamma*MachN^2/2),0)</f>
        <v>1.68258256097701</v>
      </c>
      <c r="P20" s="3" t="n">
        <f aca="false">D20</f>
        <v>2.5</v>
      </c>
      <c r="Q20" s="0" t="n">
        <f aca="false">4*RLE*l*CpNstag*(COS(Lambda*d2r))^3/3</f>
        <v>0.00948610666392773</v>
      </c>
    </row>
    <row r="21" customFormat="false" ht="12.75" hidden="false" customHeight="false" outlineLevel="0" collapsed="false">
      <c r="D21" s="0" t="n">
        <f aca="false">D20+$B$5</f>
        <v>2.6</v>
      </c>
      <c r="E21" s="0" t="n">
        <f aca="false">(((gamma+1)*Mach1^2/2)^(gamma/(gamma-1))*((gamma+1)/(2*gamma*Mach1^2-(gamma-1)))^(1/(gamma-1))-1)/(gamma*Mach1^2/2)</f>
        <v>1.72893232823948</v>
      </c>
      <c r="H21" s="4" t="n">
        <f aca="false">D21</f>
        <v>2.6</v>
      </c>
      <c r="I21" s="0" t="n">
        <f aca="false">PI()*Rad^2*Cpstag*(1-(COS(ThetaM*d2r))^4)</f>
        <v>0.0542666244482474</v>
      </c>
      <c r="N21" s="0" t="n">
        <f aca="false">Mach1*COS(Lambda*d2r)</f>
        <v>2.25166604983954</v>
      </c>
      <c r="O21" s="0" t="n">
        <f aca="false">IF(MachN&gt;1,(((gamma+1)*MachN^2/2)^(gamma/(gamma-1))*((gamma+1)/(2*gamma*MachN^2-(gamma-1)))^(1/(gamma-1))-1)/(gamma*MachN^2/2),0)</f>
        <v>1.69384114138561</v>
      </c>
      <c r="P21" s="3" t="n">
        <f aca="false">D21</f>
        <v>2.6</v>
      </c>
      <c r="Q21" s="0" t="n">
        <f aca="false">4*RLE*l*CpNstag*(COS(Lambda*d2r))^3/3</f>
        <v>0.00954958057428277</v>
      </c>
    </row>
    <row r="22" customFormat="false" ht="12.75" hidden="false" customHeight="false" outlineLevel="0" collapsed="false">
      <c r="D22" s="0" t="n">
        <f aca="false">D21+$B$5</f>
        <v>2.7</v>
      </c>
      <c r="E22" s="0" t="n">
        <f aca="false">(((gamma+1)*Mach1^2/2)^(gamma/(gamma-1))*((gamma+1)/(2*gamma*Mach1^2-(gamma-1)))^(1/(gamma-1))-1)/(gamma*Mach1^2/2)</f>
        <v>1.73670374982154</v>
      </c>
      <c r="H22" s="4" t="n">
        <f aca="false">D22</f>
        <v>2.7</v>
      </c>
      <c r="I22" s="0" t="n">
        <f aca="false">PI()*Rad^2*Cpstag*(1-(COS(ThetaM*d2r))^4)</f>
        <v>0.0545105488688475</v>
      </c>
      <c r="N22" s="0" t="n">
        <f aca="false">Mach1*COS(Lambda*d2r)</f>
        <v>2.33826859021799</v>
      </c>
      <c r="O22" s="0" t="n">
        <f aca="false">IF(MachN&gt;1,(((gamma+1)*MachN^2/2)^(gamma/(gamma-1))*((gamma+1)/(2*gamma*MachN^2-(gamma-1)))^(1/(gamma-1))-1)/(gamma*MachN^2/2),0)</f>
        <v>1.70395362857802</v>
      </c>
      <c r="P22" s="3" t="n">
        <f aca="false">D22</f>
        <v>2.7</v>
      </c>
      <c r="Q22" s="0" t="n">
        <f aca="false">4*RLE*l*CpNstag*(COS(Lambda*d2r))^3/3</f>
        <v>0.00960659301121724</v>
      </c>
    </row>
    <row r="23" customFormat="false" ht="12.75" hidden="false" customHeight="false" outlineLevel="0" collapsed="false">
      <c r="D23" s="0" t="n">
        <f aca="false">D22+$B$5</f>
        <v>2.8</v>
      </c>
      <c r="E23" s="0" t="n">
        <f aca="false">(((gamma+1)*Mach1^2/2)^(gamma/(gamma-1))*((gamma+1)/(2*gamma*Mach1^2-(gamma-1)))^(1/(gamma-1))-1)/(gamma*Mach1^2/2)</f>
        <v>1.74369269566033</v>
      </c>
      <c r="H23" s="4" t="n">
        <f aca="false">D23</f>
        <v>2.8</v>
      </c>
      <c r="I23" s="0" t="n">
        <f aca="false">PI()*Rad^2*Cpstag*(1-(COS(ThetaM*d2r))^4)</f>
        <v>0.054729913440224</v>
      </c>
      <c r="N23" s="0" t="n">
        <f aca="false">Mach1*COS(Lambda*d2r)</f>
        <v>2.42487113059643</v>
      </c>
      <c r="O23" s="0" t="n">
        <f aca="false">IF(MachN&gt;1,(((gamma+1)*MachN^2/2)^(gamma/(gamma-1))*((gamma+1)/(2*gamma*MachN^2-(gamma-1)))^(1/(gamma-1))-1)/(gamma*MachN^2/2),0)</f>
        <v>1.71306662524901</v>
      </c>
      <c r="P23" s="3" t="n">
        <f aca="false">D23</f>
        <v>2.8</v>
      </c>
      <c r="Q23" s="0" t="n">
        <f aca="false">4*RLE*l*CpNstag*(COS(Lambda*d2r))^3/3</f>
        <v>0.0096579704951244</v>
      </c>
    </row>
    <row r="24" customFormat="false" ht="12.75" hidden="false" customHeight="false" outlineLevel="0" collapsed="false">
      <c r="D24" s="0" t="n">
        <f aca="false">D23+$B$5</f>
        <v>2.9</v>
      </c>
      <c r="E24" s="0" t="n">
        <f aca="false">(((gamma+1)*Mach1^2/2)^(gamma/(gamma-1))*((gamma+1)/(2*gamma*Mach1^2-(gamma-1)))^(1/(gamma-1))-1)/(gamma*Mach1^2/2)</f>
        <v>1.74999936815275</v>
      </c>
      <c r="H24" s="4" t="n">
        <f aca="false">D24</f>
        <v>2.9</v>
      </c>
      <c r="I24" s="0" t="n">
        <f aca="false">PI()*Rad^2*Cpstag*(1-(COS(ThetaM*d2r))^4)</f>
        <v>0.0549278632512572</v>
      </c>
      <c r="N24" s="0" t="n">
        <f aca="false">Mach1*COS(Lambda*d2r)</f>
        <v>2.51147367097487</v>
      </c>
      <c r="O24" s="0" t="n">
        <f aca="false">IF(MachN&gt;1,(((gamma+1)*MachN^2/2)^(gamma/(gamma-1))*((gamma+1)/(2*gamma*MachN^2-(gamma-1)))^(1/(gamma-1))-1)/(gamma*MachN^2/2),0)</f>
        <v>1.72130477108387</v>
      </c>
      <c r="P24" s="3" t="n">
        <f aca="false">D24</f>
        <v>2.9</v>
      </c>
      <c r="Q24" s="0" t="n">
        <f aca="false">4*RLE*l*CpNstag*(COS(Lambda*d2r))^3/3</f>
        <v>0.00970441572278505</v>
      </c>
    </row>
    <row r="25" customFormat="false" ht="12.75" hidden="false" customHeight="false" outlineLevel="0" collapsed="false">
      <c r="D25" s="0" t="n">
        <f aca="false">D24+$B$5</f>
        <v>3</v>
      </c>
      <c r="E25" s="0" t="n">
        <f aca="false">(((gamma+1)*Mach1^2/2)^(gamma/(gamma-1))*((gamma+1)/(2*gamma*Mach1^2-(gamma-1)))^(1/(gamma-1))-1)/(gamma*Mach1^2/2)</f>
        <v>1.75570868274073</v>
      </c>
      <c r="H25" s="4" t="n">
        <f aca="false">D25</f>
        <v>3</v>
      </c>
      <c r="I25" s="0" t="n">
        <f aca="false">PI()*Rad^2*Cpstag*(1-(COS(ThetaM*d2r))^4)</f>
        <v>0.0551070635736425</v>
      </c>
      <c r="N25" s="0" t="n">
        <f aca="false">Mach1*COS(Lambda*d2r)</f>
        <v>2.59807621135332</v>
      </c>
      <c r="O25" s="0" t="n">
        <f aca="false">IF(MachN&gt;1,(((gamma+1)*MachN^2/2)^(gamma/(gamma-1))*((gamma+1)/(2*gamma*MachN^2-(gamma-1)))^(1/(gamma-1))-1)/(gamma*MachN^2/2),0)</f>
        <v>1.72877440101186</v>
      </c>
      <c r="P25" s="3" t="n">
        <f aca="false">D25</f>
        <v>3</v>
      </c>
      <c r="Q25" s="0" t="n">
        <f aca="false">4*RLE*l*CpNstag*(COS(Lambda*d2r))^3/3</f>
        <v>0.00974652819196213</v>
      </c>
    </row>
    <row r="26" customFormat="false" ht="12.75" hidden="false" customHeight="false" outlineLevel="0" collapsed="false">
      <c r="D26" s="0" t="n">
        <f aca="false">D25+$B$5</f>
        <v>3.1</v>
      </c>
      <c r="E26" s="0" t="n">
        <f aca="false">(((gamma+1)*Mach1^2/2)^(gamma/(gamma-1))*((gamma+1)/(2*gamma*Mach1^2-(gamma-1)))^(1/(gamma-1))-1)/(gamma*Mach1^2/2)</f>
        <v>1.76089292982975</v>
      </c>
      <c r="H26" s="4" t="n">
        <f aca="false">D26</f>
        <v>3.1</v>
      </c>
      <c r="I26" s="0" t="n">
        <f aca="false">PI()*Rad^2*Cpstag*(1-(COS(ThetaM*d2r))^4)</f>
        <v>0.0552697834124882</v>
      </c>
      <c r="N26" s="0" t="n">
        <f aca="false">Mach1*COS(Lambda*d2r)</f>
        <v>2.68467875173176</v>
      </c>
      <c r="O26" s="0" t="n">
        <f aca="false">IF(MachN&gt;1,(((gamma+1)*MachN^2/2)^(gamma/(gamma-1))*((gamma+1)/(2*gamma*MachN^2-(gamma-1)))^(1/(gamma-1))-1)/(gamma*MachN^2/2),0)</f>
        <v>1.73556655954039</v>
      </c>
      <c r="P26" s="3" t="n">
        <f aca="false">D26</f>
        <v>3.1</v>
      </c>
      <c r="Q26" s="0" t="n">
        <f aca="false">4*RLE*l*CpNstag*(COS(Lambda*d2r))^3/3</f>
        <v>0.00978482119569</v>
      </c>
    </row>
    <row r="27" customFormat="false" ht="12.75" hidden="false" customHeight="false" outlineLevel="0" collapsed="false">
      <c r="D27" s="0" t="n">
        <f aca="false">D26+$B$5</f>
        <v>3.2</v>
      </c>
      <c r="E27" s="0" t="n">
        <f aca="false">(((gamma+1)*Mach1^2/2)^(gamma/(gamma-1))*((gamma+1)/(2*gamma*Mach1^2-(gamma-1)))^(1/(gamma-1))-1)/(gamma*Mach1^2/2)</f>
        <v>1.76561392428437</v>
      </c>
      <c r="H27" s="4" t="n">
        <f aca="false">D27</f>
        <v>3.2</v>
      </c>
      <c r="I27" s="0" t="n">
        <f aca="false">PI()*Rad^2*Cpstag*(1-(COS(ThetaM*d2r))^4)</f>
        <v>0.0554179629733113</v>
      </c>
      <c r="N27" s="0" t="n">
        <f aca="false">Mach1*COS(Lambda*d2r)</f>
        <v>2.77128129211021</v>
      </c>
      <c r="O27" s="0" t="n">
        <f aca="false">IF(MachN&gt;1,(((gamma+1)*MachN^2/2)^(gamma/(gamma-1))*((gamma+1)/(2*gamma*MachN^2-(gamma-1)))^(1/(gamma-1))-1)/(gamma*MachN^2/2),0)</f>
        <v>1.74175948245707</v>
      </c>
      <c r="P27" s="3" t="n">
        <f aca="false">D27</f>
        <v>3.2</v>
      </c>
      <c r="Q27" s="0" t="n">
        <f aca="false">4*RLE*l*CpNstag*(COS(Lambda*d2r))^3/3</f>
        <v>0.00981973581367758</v>
      </c>
    </row>
    <row r="28" customFormat="false" ht="12.75" hidden="false" customHeight="false" outlineLevel="0" collapsed="false">
      <c r="D28" s="0" t="n">
        <f aca="false">D27+$B$5</f>
        <v>3.3</v>
      </c>
      <c r="E28" s="0" t="n">
        <f aca="false">(((gamma+1)*Mach1^2/2)^(gamma/(gamma-1))*((gamma+1)/(2*gamma*Mach1^2-(gamma-1)))^(1/(gamma-1))-1)/(gamma*Mach1^2/2)</f>
        <v>1.76992474861137</v>
      </c>
      <c r="H28" s="4" t="n">
        <f aca="false">D28</f>
        <v>3.3</v>
      </c>
      <c r="I28" s="0" t="n">
        <f aca="false">PI()*Rad^2*Cpstag*(1-(COS(ThetaM*d2r))^4)</f>
        <v>0.0555532683759549</v>
      </c>
      <c r="N28" s="0" t="n">
        <f aca="false">Mach1*COS(Lambda*d2r)</f>
        <v>2.85788383248865</v>
      </c>
      <c r="O28" s="0" t="n">
        <f aca="false">IF(MachN&gt;1,(((gamma+1)*MachN^2/2)^(gamma/(gamma-1))*((gamma+1)/(2*gamma*MachN^2-(gamma-1)))^(1/(gamma-1))-1)/(gamma*MachN^2/2),0)</f>
        <v>1.7474206415541</v>
      </c>
      <c r="P28" s="3" t="n">
        <f aca="false">D28</f>
        <v>3.3</v>
      </c>
      <c r="Q28" s="0" t="n">
        <f aca="false">4*RLE*l*CpNstag*(COS(Lambda*d2r))^3/3</f>
        <v>0.00985165244010734</v>
      </c>
    </row>
    <row r="29" customFormat="false" ht="12.75" hidden="false" customHeight="false" outlineLevel="0" collapsed="false">
      <c r="D29" s="0" t="n">
        <f aca="false">D28+$B$5</f>
        <v>3.4</v>
      </c>
      <c r="E29" s="0" t="n">
        <f aca="false">(((gamma+1)*Mach1^2/2)^(gamma/(gamma-1))*((gamma+1)/(2*gamma*Mach1^2-(gamma-1)))^(1/(gamma-1))-1)/(gamma*Mach1^2/2)</f>
        <v>1.77387117295572</v>
      </c>
      <c r="H29" s="4" t="n">
        <f aca="false">D29</f>
        <v>3.4</v>
      </c>
      <c r="I29" s="0" t="n">
        <f aca="false">PI()*Rad^2*Cpstag*(1-(COS(ThetaM*d2r))^4)</f>
        <v>0.0556771362245168</v>
      </c>
      <c r="N29" s="0" t="n">
        <f aca="false">Mach1*COS(Lambda*d2r)</f>
        <v>2.94448637286709</v>
      </c>
      <c r="O29" s="0" t="n">
        <f aca="false">IF(MachN&gt;1,(((gamma+1)*MachN^2/2)^(gamma/(gamma-1))*((gamma+1)/(2*gamma*MachN^2-(gamma-1)))^(1/(gamma-1))-1)/(gamma*MachN^2/2),0)</f>
        <v>1.75260843231075</v>
      </c>
      <c r="P29" s="3" t="n">
        <f aca="false">D29</f>
        <v>3.4</v>
      </c>
      <c r="Q29" s="0" t="n">
        <f aca="false">4*RLE*l*CpNstag*(COS(Lambda*d2r))^3/3</f>
        <v>0.00988090029849419</v>
      </c>
    </row>
    <row r="30" customFormat="false" ht="12.75" hidden="false" customHeight="false" outlineLevel="0" collapsed="false">
      <c r="D30" s="0" t="n">
        <f aca="false">D29+$B$5</f>
        <v>3.5</v>
      </c>
      <c r="E30" s="0" t="n">
        <f aca="false">(((gamma+1)*Mach1^2/2)^(gamma/(gamma-1))*((gamma+1)/(2*gamma*Mach1^2-(gamma-1)))^(1/(gamma-1))-1)/(gamma*Mach1^2/2)</f>
        <v>1.777492817071</v>
      </c>
      <c r="H30" s="4" t="n">
        <f aca="false">D30</f>
        <v>3.5</v>
      </c>
      <c r="I30" s="0" t="n">
        <f aca="false">PI()*Rad^2*Cpstag*(1-(COS(ThetaM*d2r))^4)</f>
        <v>0.0557908100785357</v>
      </c>
      <c r="N30" s="0" t="n">
        <f aca="false">Mach1*COS(Lambda*d2r)</f>
        <v>3.03108891324554</v>
      </c>
      <c r="O30" s="0" t="n">
        <f aca="false">IF(MachN&gt;1,(((gamma+1)*MachN^2/2)^(gamma/(gamma-1))*((gamma+1)/(2*gamma*MachN^2-(gamma-1)))^(1/(gamma-1))-1)/(gamma*MachN^2/2),0)</f>
        <v>1.75737357028035</v>
      </c>
      <c r="P30" s="3" t="n">
        <f aca="false">D30</f>
        <v>3.5</v>
      </c>
      <c r="Q30" s="0" t="n">
        <f aca="false">4*RLE*l*CpNstag*(COS(Lambda*d2r))^3/3</f>
        <v>0.00990776531427192</v>
      </c>
    </row>
    <row r="31" customFormat="false" ht="12.75" hidden="false" customHeight="false" outlineLevel="0" collapsed="false">
      <c r="D31" s="0" t="n">
        <f aca="false">D30+$B$5</f>
        <v>3.6</v>
      </c>
      <c r="E31" s="0" t="n">
        <f aca="false">(((gamma+1)*Mach1^2/2)^(gamma/(gamma-1))*((gamma+1)/(2*gamma*Mach1^2-(gamma-1)))^(1/(gamma-1))-1)/(gamma*Mach1^2/2)</f>
        <v>1.78082410544812</v>
      </c>
      <c r="H31" s="4" t="n">
        <f aca="false">D31</f>
        <v>3.6</v>
      </c>
      <c r="I31" s="0" t="n">
        <f aca="false">PI()*Rad^2*Cpstag*(1-(COS(ThetaM*d2r))^4)</f>
        <v>0.0558953704319615</v>
      </c>
      <c r="N31" s="0" t="n">
        <f aca="false">Mach1*COS(Lambda*d2r)</f>
        <v>3.11769145362398</v>
      </c>
      <c r="O31" s="0" t="n">
        <f aca="false">IF(MachN&gt;1,(((gamma+1)*MachN^2/2)^(gamma/(gamma-1))*((gamma+1)/(2*gamma*MachN^2-(gamma-1)))^(1/(gamma-1))-1)/(gamma*MachN^2/2),0)</f>
        <v>1.76176024977518</v>
      </c>
      <c r="P31" s="3" t="n">
        <f aca="false">D31</f>
        <v>3.6</v>
      </c>
      <c r="Q31" s="0" t="n">
        <f aca="false">4*RLE*l*CpNstag*(COS(Lambda*d2r))^3/3</f>
        <v>0.00993249664725584</v>
      </c>
    </row>
    <row r="32" customFormat="false" ht="12.75" hidden="false" customHeight="false" outlineLevel="0" collapsed="false">
      <c r="D32" s="0" t="n">
        <f aca="false">D31+$B$5</f>
        <v>3.7</v>
      </c>
      <c r="E32" s="0" t="n">
        <f aca="false">(((gamma+1)*Mach1^2/2)^(gamma/(gamma-1))*((gamma+1)/(2*gamma*Mach1^2-(gamma-1)))^(1/(gamma-1))-1)/(gamma*Mach1^2/2)</f>
        <v>1.78389505592488</v>
      </c>
      <c r="H32" s="4" t="n">
        <f aca="false">D32</f>
        <v>3.7</v>
      </c>
      <c r="I32" s="0" t="n">
        <f aca="false">PI()*Rad^2*Cpstag*(1-(COS(ThetaM*d2r))^4)</f>
        <v>0.0559917594655286</v>
      </c>
      <c r="N32" s="0" t="n">
        <f aca="false">Mach1*COS(Lambda*d2r)</f>
        <v>3.20429399400243</v>
      </c>
      <c r="O32" s="0" t="n">
        <f aca="false">IF(MachN&gt;1,(((gamma+1)*MachN^2/2)^(gamma/(gamma-1))*((gamma+1)/(2*gamma*MachN^2-(gamma-1)))^(1/(gamma-1))-1)/(gamma*MachN^2/2),0)</f>
        <v>1.76580710832815</v>
      </c>
      <c r="P32" s="3" t="n">
        <f aca="false">D32</f>
        <v>3.7</v>
      </c>
      <c r="Q32" s="0" t="n">
        <f aca="false">4*RLE*l*CpNstag*(COS(Lambda*d2r))^3/3</f>
        <v>0.00995531212910954</v>
      </c>
    </row>
    <row r="33" customFormat="false" ht="12.75" hidden="false" customHeight="false" outlineLevel="0" collapsed="false">
      <c r="D33" s="0" t="n">
        <f aca="false">D32+$B$5</f>
        <v>3.8</v>
      </c>
      <c r="E33" s="0" t="n">
        <f aca="false">(((gamma+1)*Mach1^2/2)^(gamma/(gamma-1))*((gamma+1)/(2*gamma*Mach1^2-(gamma-1)))^(1/(gamma-1))-1)/(gamma*Mach1^2/2)</f>
        <v>1.78673193365387</v>
      </c>
      <c r="H33" s="4" t="n">
        <f aca="false">D33</f>
        <v>3.8</v>
      </c>
      <c r="I33" s="0" t="n">
        <f aca="false">PI()*Rad^2*Cpstag*(1-(COS(ThetaM*d2r))^4)</f>
        <v>0.0560808015730823</v>
      </c>
      <c r="N33" s="0" t="n">
        <f aca="false">Mach1*COS(Lambda*d2r)</f>
        <v>3.29089653438087</v>
      </c>
      <c r="O33" s="0" t="n">
        <f aca="false">IF(MachN&gt;1,(((gamma+1)*MachN^2/2)^(gamma/(gamma-1))*((gamma+1)/(2*gamma*MachN^2-(gamma-1)))^(1/(gamma-1))-1)/(gamma*MachN^2/2),0)</f>
        <v>1.76954803213204</v>
      </c>
      <c r="P33" s="3" t="n">
        <f aca="false">D33</f>
        <v>3.8</v>
      </c>
      <c r="Q33" s="0" t="n">
        <f aca="false">4*RLE*l*CpNstag*(COS(Lambda*d2r))^3/3</f>
        <v>0.00997640280427062</v>
      </c>
    </row>
    <row r="34" customFormat="false" ht="12.75" hidden="false" customHeight="false" outlineLevel="0" collapsed="false">
      <c r="D34" s="0" t="n">
        <f aca="false">D33+$B$5</f>
        <v>3.9</v>
      </c>
      <c r="E34" s="0" t="n">
        <f aca="false">(((gamma+1)*Mach1^2/2)^(gamma/(gamma-1))*((gamma+1)/(2*gamma*Mach1^2-(gamma-1)))^(1/(gamma-1))-1)/(gamma*Mach1^2/2)</f>
        <v>1.78935779572715</v>
      </c>
      <c r="H34" s="4" t="n">
        <f aca="false">D34</f>
        <v>3.9</v>
      </c>
      <c r="I34" s="0" t="n">
        <f aca="false">PI()*Rad^2*Cpstag*(1-(COS(ThetaM*d2r))^4)</f>
        <v>0.0561632204559133</v>
      </c>
      <c r="N34" s="0" t="n">
        <f aca="false">Mach1*COS(Lambda*d2r)</f>
        <v>3.37749907475931</v>
      </c>
      <c r="O34" s="0" t="n">
        <f aca="false">IF(MachN&gt;1,(((gamma+1)*MachN^2/2)^(gamma/(gamma-1))*((gamma+1)/(2*gamma*MachN^2-(gamma-1)))^(1/(gamma-1))-1)/(gamma*MachN^2/2),0)</f>
        <v>1.7730128309457</v>
      </c>
      <c r="P34" s="3" t="n">
        <f aca="false">D34</f>
        <v>3.9</v>
      </c>
      <c r="Q34" s="0" t="n">
        <f aca="false">4*RLE*l*CpNstag*(COS(Lambda*d2r))^3/3</f>
        <v>0.00999593673495416</v>
      </c>
    </row>
    <row r="35" customFormat="false" ht="12.75" hidden="false" customHeight="false" outlineLevel="0" collapsed="false">
      <c r="D35" s="0" t="n">
        <f aca="false">D34+$B$5</f>
        <v>4</v>
      </c>
      <c r="E35" s="0" t="n">
        <f aca="false">(((gamma+1)*Mach1^2/2)^(gamma/(gamma-1))*((gamma+1)/(2*gamma*Mach1^2-(gamma-1)))^(1/(gamma-1))-1)/(gamma*Mach1^2/2)</f>
        <v>1.79179294661715</v>
      </c>
      <c r="H35" s="4" t="n">
        <f aca="false">D35</f>
        <v>4</v>
      </c>
      <c r="I35" s="0" t="n">
        <f aca="false">PI()*Rad^2*Cpstag*(1-(COS(ThetaM*d2r))^4)</f>
        <v>0.0562396534178425</v>
      </c>
      <c r="N35" s="0" t="n">
        <f aca="false">Mach1*COS(Lambda*d2r)</f>
        <v>3.46410161513776</v>
      </c>
      <c r="O35" s="0" t="n">
        <f aca="false">(((gamma+1)*MachN^2/2)^(gamma/(gamma-1))*((gamma+1)/(2*gamma*MachN^2-(gamma-1)))^(1/(gamma-1))-1)/(gamma*MachN^2/2)</f>
        <v>1.77622780554524</v>
      </c>
      <c r="P35" s="3" t="n">
        <f aca="false">D35</f>
        <v>4</v>
      </c>
      <c r="Q35" s="0" t="n">
        <f aca="false">4*RLE*l*CpNstag*(COS(Lambda*d2r))^3/3</f>
        <v>0.0100140622003431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2009-11-14T13:20:04Z</dcterms:created>
  <dc:creator>Owner</dc:creator>
  <dc:description/>
  <dc:language>en-US</dc:language>
  <cp:lastModifiedBy>Owner</cp:lastModifiedBy>
  <dcterms:modified xsi:type="dcterms:W3CDTF">2009-11-15T19:24:54Z</dcterms:modified>
  <cp:revision>0</cp:revision>
  <dc:subject/>
  <dc:title/>
</cp:coreProperties>
</file>