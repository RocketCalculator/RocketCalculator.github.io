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DataBendit" sheetId="1" state="visible" r:id="rId3"/>
    <sheet name="Solution Bendit" sheetId="2" state="visible" r:id="rId4"/>
    <sheet name="Sheet1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41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Exit only with 2 stage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16</xdr:colOff>
                <xdr:row>33</xdr:row>
                <xdr:rowOff>19</xdr:rowOff>
              </xdr:from>
              <xdr:to>
                <xdr:col>2</xdr:col>
                <xdr:colOff>38</xdr:colOff>
                <xdr:row>35</xdr:row>
                <xdr:rowOff>17</xdr:rowOff>
              </xdr:to>
            </anchor>
          </commentPr>
        </mc:Choice>
        <mc:Fallback/>
      </mc:AlternateContent>
    </comment>
    <comment ref="B12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Not in sub or funs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10</xdr:row>
                <xdr:rowOff>10</xdr:rowOff>
              </xdr:from>
              <xdr:to>
                <xdr:col>3</xdr:col>
                <xdr:colOff>38</xdr:colOff>
                <xdr:row>11</xdr:row>
                <xdr:rowOff>69</xdr:rowOff>
              </xdr:to>
            </anchor>
          </commentPr>
        </mc:Choice>
        <mc:Fallback/>
      </mc:AlternateContent>
    </comment>
    <comment ref="B41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Exit only with 2 stage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33</xdr:row>
                <xdr:rowOff>19</xdr:rowOff>
              </xdr:from>
              <xdr:to>
                <xdr:col>3</xdr:col>
                <xdr:colOff>38</xdr:colOff>
                <xdr:row>35</xdr:row>
                <xdr:rowOff>17</xdr:rowOff>
              </xdr:to>
            </anchor>
          </commentPr>
        </mc:Choice>
        <mc:Fallback/>
      </mc:AlternateContent>
    </comment>
    <comment ref="C41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Exit only with 2 stage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16</xdr:colOff>
                <xdr:row>33</xdr:row>
                <xdr:rowOff>19</xdr:rowOff>
              </xdr:from>
              <xdr:to>
                <xdr:col>4</xdr:col>
                <xdr:colOff>22</xdr:colOff>
                <xdr:row>35</xdr:row>
                <xdr:rowOff>17</xdr:rowOff>
              </xdr:to>
            </anchor>
          </commentPr>
        </mc:Choice>
        <mc:Fallback/>
      </mc:AlternateContent>
    </comment>
    <comment ref="E15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Same number of fin panels for both stage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103</xdr:colOff>
                <xdr:row>11</xdr:row>
                <xdr:rowOff>42</xdr:rowOff>
              </xdr:from>
              <xdr:to>
                <xdr:col>5</xdr:col>
                <xdr:colOff>125</xdr:colOff>
                <xdr:row>13</xdr:row>
                <xdr:rowOff>9</xdr:rowOff>
              </xdr:to>
            </anchor>
          </commentPr>
        </mc:Choice>
        <mc:Fallback/>
      </mc:AlternateContent>
    </comment>
    <comment ref="G38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=C39-B39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16</xdr:colOff>
                <xdr:row>28</xdr:row>
                <xdr:rowOff>5</xdr:rowOff>
              </xdr:from>
              <xdr:to>
                <xdr:col>8</xdr:col>
                <xdr:colOff>51</xdr:colOff>
                <xdr:row>32</xdr:row>
                <xdr:rowOff>4</xdr:rowOff>
              </xdr:to>
            </anchor>
          </commentPr>
        </mc:Choice>
        <mc:Fallback/>
      </mc:AlternateContent>
    </comment>
    <comment ref="G49" authorId="0">
      <text>
        <r>
          <rPr>
            <b val="true"/>
            <sz val="9"/>
            <color rgb="FF000000"/>
            <rFont val="Tahoma"/>
            <family val="2"/>
          </rPr>
          <t xml:space="preserve">HienTran:
</t>
        </r>
        <r>
          <rPr>
            <sz val="9"/>
            <color rgb="FF000000"/>
            <rFont val="Tahoma"/>
            <family val="2"/>
          </rPr>
          <t xml:space="preserve">=C50-B50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16</xdr:colOff>
                <xdr:row>40</xdr:row>
                <xdr:rowOff>39</xdr:rowOff>
              </xdr:from>
              <xdr:to>
                <xdr:col>8</xdr:col>
                <xdr:colOff>51</xdr:colOff>
                <xdr:row>42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<sst xmlns="http://schemas.openxmlformats.org/spreadsheetml/2006/main" count="227" uniqueCount="184">
  <si>
    <t xml:space="preserve">No. Stages (1 or 2)</t>
  </si>
  <si>
    <t xml:space="preserve">Rocket Analysis:                     1 = In flight                    2 = Parachute Loading                  3 = Ground Loading</t>
  </si>
  <si>
    <t xml:space="preserve">Pi</t>
  </si>
  <si>
    <t xml:space="preserve">g stand, ft/sec^2</t>
  </si>
  <si>
    <t xml:space="preserve">d2r</t>
  </si>
  <si>
    <t xml:space="preserve">Flight Conditions</t>
  </si>
  <si>
    <t xml:space="preserve">Body Profile Data (Finless)</t>
  </si>
  <si>
    <t xml:space="preserve">Altitude, ft AGL</t>
  </si>
  <si>
    <t xml:space="preserve">Launch Altitude, ft</t>
  </si>
  <si>
    <t xml:space="preserve"> Launcher Length, ft</t>
  </si>
  <si>
    <t xml:space="preserve">Mach Number</t>
  </si>
  <si>
    <t xml:space="preserve">Flight Speed, fps</t>
  </si>
  <si>
    <t xml:space="preserve">q, Dynamic pressure, lb/ft^2</t>
  </si>
  <si>
    <t xml:space="preserve">Sref, Aerodynamic reference area, ft^2</t>
  </si>
  <si>
    <t xml:space="preserve">Reference Length, Max Body Diameter, in</t>
  </si>
  <si>
    <t xml:space="preserve">Element Counter</t>
  </si>
  <si>
    <t xml:space="preserve">Element Contents</t>
  </si>
  <si>
    <t xml:space="preserve">xi, Element aft face body station, inches from nose tip</t>
  </si>
  <si>
    <r>
      <rPr>
        <sz val="11"/>
        <color rgb="FF000000"/>
        <rFont val="Calibri"/>
        <family val="2"/>
      </rPr>
      <t xml:space="preserve">Ri, Element body external radius at body station x</t>
    </r>
    <r>
      <rPr>
        <vertAlign val="subscript"/>
        <sz val="10"/>
        <rFont val="Arial"/>
        <family val="2"/>
      </rPr>
      <t xml:space="preserve">i</t>
    </r>
    <r>
      <rPr>
        <sz val="11"/>
        <color rgb="FF000000"/>
        <rFont val="Calibri"/>
        <family val="2"/>
      </rPr>
      <t xml:space="preserve">, in</t>
    </r>
  </si>
  <si>
    <t xml:space="preserve">wi, Element weight (finless), lb</t>
  </si>
  <si>
    <r>
      <rPr>
        <sz val="11"/>
        <color rgb="FF000000"/>
        <rFont val="Calibri"/>
        <family val="2"/>
      </rPr>
      <t xml:space="preserve">Element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4"/>
        <rFont val="Symbol"/>
        <family val="1"/>
        <charset val="2"/>
      </rPr>
      <t xml:space="preserve">a</t>
    </r>
    <r>
      <rPr>
        <vertAlign val="subscript"/>
        <sz val="12"/>
        <rFont val="Arial"/>
        <family val="2"/>
      </rPr>
      <t xml:space="preserve">i</t>
    </r>
    <r>
      <rPr>
        <sz val="10"/>
        <rFont val="Arial"/>
        <family val="2"/>
      </rPr>
      <t xml:space="preserve"> (finless)</t>
    </r>
    <r>
      <rPr>
        <sz val="11"/>
        <color rgb="FF000000"/>
        <rFont val="Calibri"/>
        <family val="2"/>
      </rPr>
      <t xml:space="preserve">, per radian</t>
    </r>
  </si>
  <si>
    <t xml:space="preserve">Element Xcpi, (finless) from element front, in</t>
  </si>
  <si>
    <r>
      <rPr>
        <sz val="11"/>
        <color rgb="FF000000"/>
        <rFont val="Calibri"/>
        <family val="2"/>
      </rPr>
      <t xml:space="preserve">Element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4"/>
        <rFont val="Symbol"/>
        <family val="1"/>
        <charset val="2"/>
      </rPr>
      <t xml:space="preserve">a</t>
    </r>
    <r>
      <rPr>
        <vertAlign val="subscript"/>
        <sz val="12"/>
        <rFont val="Arial"/>
        <family val="2"/>
      </rPr>
      <t xml:space="preserve">i</t>
    </r>
    <r>
      <rPr>
        <sz val="11"/>
        <color rgb="FF000000"/>
        <rFont val="Calibri"/>
        <family val="2"/>
      </rPr>
      <t xml:space="preserve">, per radian</t>
    </r>
  </si>
  <si>
    <t xml:space="preserve">Element Xcpi, from nose tip, in</t>
  </si>
  <si>
    <t xml:space="preserve">Pr (no failure)</t>
  </si>
  <si>
    <r>
      <rPr>
        <sz val="11"/>
        <color rgb="FF000000"/>
        <rFont val="Calibri"/>
        <family val="2"/>
      </rPr>
      <t xml:space="preserve">Axial Acceleration, a, ft/sec</t>
    </r>
    <r>
      <rPr>
        <vertAlign val="superscript"/>
        <sz val="11"/>
        <color rgb="FF000000"/>
        <rFont val="Calibri"/>
        <family val="2"/>
      </rPr>
      <t xml:space="preserve">2</t>
    </r>
  </si>
  <si>
    <t xml:space="preserve">Thrust, lb</t>
  </si>
  <si>
    <r>
      <rPr>
        <sz val="11"/>
        <color rgb="FF000000"/>
        <rFont val="Calibri"/>
        <family val="2"/>
      </rPr>
      <t xml:space="preserve">1 </t>
    </r>
    <r>
      <rPr>
        <sz val="10"/>
        <rFont val="Symbol"/>
        <family val="1"/>
        <charset val="2"/>
      </rPr>
      <t xml:space="preserve">s</t>
    </r>
    <r>
      <rPr>
        <sz val="11"/>
        <color rgb="FF000000"/>
        <rFont val="Calibri"/>
        <family val="2"/>
      </rPr>
      <t xml:space="preserve"> C.G. Lateral Offset, ft</t>
    </r>
  </si>
  <si>
    <r>
      <rPr>
        <sz val="11"/>
        <color rgb="FF000000"/>
        <rFont val="Calibri"/>
        <family val="2"/>
      </rPr>
      <t xml:space="preserve">1 </t>
    </r>
    <r>
      <rPr>
        <sz val="10"/>
        <rFont val="Symbol"/>
        <family val="1"/>
        <charset val="2"/>
      </rPr>
      <t xml:space="preserve">s</t>
    </r>
    <r>
      <rPr>
        <sz val="11"/>
        <color rgb="FF000000"/>
        <rFont val="Calibri"/>
        <family val="2"/>
      </rPr>
      <t xml:space="preserve"> Thrust misalignment angle, rad.</t>
    </r>
  </si>
  <si>
    <t xml:space="preserve">Body Station of Nozzle Throat, in</t>
  </si>
  <si>
    <t xml:space="preserve">Element where the thrust is applied</t>
  </si>
  <si>
    <t xml:space="preserve">Analysis Condition Right after ignition?</t>
  </si>
  <si>
    <t xml:space="preserve">Nose</t>
  </si>
  <si>
    <r>
      <rPr>
        <sz val="11"/>
        <color rgb="FF000000"/>
        <rFont val="Calibri"/>
        <family val="2"/>
      </rPr>
      <t xml:space="preserve">I</t>
    </r>
    <r>
      <rPr>
        <vertAlign val="subscript"/>
        <sz val="11"/>
        <color rgb="FF000000"/>
        <rFont val="Calibri"/>
        <family val="2"/>
      </rPr>
      <t xml:space="preserve">XX</t>
    </r>
    <r>
      <rPr>
        <sz val="11"/>
        <color rgb="FF000000"/>
        <rFont val="Calibri"/>
        <family val="2"/>
      </rPr>
      <t xml:space="preserve">, Roll Moment of Inertia, sl-ft</t>
    </r>
    <r>
      <rPr>
        <vertAlign val="superscript"/>
        <sz val="11"/>
        <color rgb="FF000000"/>
        <rFont val="Calibri"/>
        <family val="2"/>
      </rPr>
      <t xml:space="preserve">2</t>
    </r>
  </si>
  <si>
    <t xml:space="preserve">E, Nose Shell Modulus of Elasticity, psf</t>
  </si>
  <si>
    <t xml:space="preserve">Element to use as base for nose aeroelastic effect</t>
  </si>
  <si>
    <t xml:space="preserve">Nose Static Aeroelastic Effect?</t>
  </si>
  <si>
    <t xml:space="preserve">N, number of fin panels</t>
  </si>
  <si>
    <t xml:space="preserve">1σ gust amplitude, fps</t>
  </si>
  <si>
    <t xml:space="preserve">Gust Longitudinal Autocorrelation Length, ft</t>
  </si>
  <si>
    <t xml:space="preserve">Body-Fixed Response Roll Amplification Factor</t>
  </si>
  <si>
    <t xml:space="preserve">Parachute+Tether+Body</t>
  </si>
  <si>
    <t xml:space="preserve">Electronics+Body</t>
  </si>
  <si>
    <t xml:space="preserve">Motor+ShockCord+Bulkhead+Body</t>
  </si>
  <si>
    <r>
      <rPr>
        <sz val="11"/>
        <color rgb="FF000000"/>
        <rFont val="Calibri"/>
        <family val="2"/>
      </rPr>
      <t xml:space="preserve">Roll wavenumber options                     1 = Total roll revs        2 = Percentage </t>
    </r>
    <r>
      <rPr>
        <sz val="11"/>
        <color rgb="FF000000"/>
        <rFont val="Symbol"/>
        <family val="1"/>
        <charset val="2"/>
      </rPr>
      <t xml:space="preserve"> l</t>
    </r>
    <r>
      <rPr>
        <sz val="11"/>
        <color rgb="FF000000"/>
        <rFont val="Calibri"/>
        <family val="2"/>
      </rPr>
      <t xml:space="preserve">P                  3 = Random roll</t>
    </r>
  </si>
  <si>
    <r>
      <rPr>
        <b val="true"/>
        <sz val="11"/>
        <rFont val="Calibri"/>
        <family val="2"/>
      </rPr>
      <t xml:space="preserve">First Stage</t>
    </r>
    <r>
      <rPr>
        <sz val="11"/>
        <rFont val="Calibri"/>
        <family val="2"/>
      </rPr>
      <t xml:space="preserve"> Roll Option (1, 2 or 3)</t>
    </r>
  </si>
  <si>
    <t xml:space="preserve">Option 1 - Stage 1 Roll Revolutions in Boost</t>
  </si>
  <si>
    <t xml:space="preserve">Option 2 - Stage 1 λr roll wave number as percentage of Stage 1λp Pitch/yaw wavenumber</t>
  </si>
  <si>
    <r>
      <rPr>
        <b val="true"/>
        <sz val="11"/>
        <color rgb="FF000000"/>
        <rFont val="Calibri"/>
        <family val="2"/>
      </rPr>
      <t xml:space="preserve">Second Stage</t>
    </r>
    <r>
      <rPr>
        <sz val="11"/>
        <color rgb="FF000000"/>
        <rFont val="Calibri"/>
        <family val="2"/>
      </rPr>
      <t xml:space="preserve"> Roll Option (2 or 3)</t>
    </r>
  </si>
  <si>
    <t xml:space="preserve">Option 2 - Stage 2 λr roll wave number as percentage of stage 2 λp Pitch/yaw wavenumber</t>
  </si>
  <si>
    <t xml:space="preserve">Fin+Can+Sleeve+ Body</t>
  </si>
  <si>
    <t xml:space="preserve">Interstage+longeron+Body +Raven</t>
  </si>
  <si>
    <t xml:space="preserve">Parachute Drogue+parachute Main+Box+Tether+Body+Connector</t>
  </si>
  <si>
    <t xml:space="preserve">Motor+BulkHead+ longeron+nuts</t>
  </si>
  <si>
    <t xml:space="preserve">Motor</t>
  </si>
  <si>
    <t xml:space="preserve">Fin+motor</t>
  </si>
  <si>
    <t xml:space="preserve">First Stage Fin Data</t>
  </si>
  <si>
    <t xml:space="preserve">Fin spar attachment element</t>
  </si>
  <si>
    <r>
      <rPr>
        <sz val="10"/>
        <rFont val="Arial"/>
        <family val="2"/>
      </rPr>
      <t xml:space="preserve">c</t>
    </r>
    <r>
      <rPr>
        <vertAlign val="subscript"/>
        <sz val="10"/>
        <rFont val="Arial"/>
        <family val="2"/>
      </rPr>
      <t xml:space="preserve">R </t>
    </r>
    <r>
      <rPr>
        <sz val="11"/>
        <color rgb="FF000000"/>
        <rFont val="Calibri"/>
        <family val="2"/>
      </rPr>
      <t xml:space="preserve">root chord, in</t>
    </r>
  </si>
  <si>
    <r>
      <rPr>
        <sz val="10"/>
        <rFont val="Arial"/>
        <family val="2"/>
      </rPr>
      <t xml:space="preserve">c</t>
    </r>
    <r>
      <rPr>
        <vertAlign val="subscript"/>
        <sz val="10"/>
        <rFont val="Arial"/>
        <family val="2"/>
      </rPr>
      <t xml:space="preserve">T</t>
    </r>
    <r>
      <rPr>
        <sz val="10"/>
        <rFont val="Arial"/>
        <family val="2"/>
      </rPr>
      <t xml:space="preserve"> tip chord ,in</t>
    </r>
  </si>
  <si>
    <t xml:space="preserve">B exposed semispan, in</t>
  </si>
  <si>
    <t xml:space="preserve">Г,LE sweep, deg</t>
  </si>
  <si>
    <r>
      <rPr>
        <sz val="11"/>
        <color rgb="FF000000"/>
        <rFont val="Calibri"/>
        <family val="2"/>
      </rPr>
      <t xml:space="preserve">1σ </t>
    </r>
    <r>
      <rPr>
        <sz val="10"/>
        <rFont val="Arial"/>
        <family val="2"/>
      </rPr>
      <t xml:space="preserve">δ</t>
    </r>
    <r>
      <rPr>
        <sz val="11"/>
        <color rgb="FF000000"/>
        <rFont val="Calibri"/>
        <family val="2"/>
      </rPr>
      <t xml:space="preserve"> (fin), rad</t>
    </r>
  </si>
  <si>
    <t xml:space="preserve">Number of elements along the fin span</t>
  </si>
  <si>
    <t xml:space="preserve">Fin panel weight, lb</t>
  </si>
  <si>
    <t xml:space="preserve">Root Chord LE Body Station, in, xF</t>
  </si>
  <si>
    <r>
      <rPr>
        <sz val="11"/>
        <color rgb="FF000000"/>
        <rFont val="Calibri"/>
        <family val="2"/>
      </rPr>
      <t xml:space="preserve">Fin α and </t>
    </r>
    <r>
      <rPr>
        <sz val="11"/>
        <color rgb="FF000000"/>
        <rFont val="Symbol"/>
        <family val="1"/>
        <charset val="2"/>
      </rPr>
      <t xml:space="preserve">d</t>
    </r>
    <r>
      <rPr>
        <sz val="11"/>
        <color rgb="FF000000"/>
        <rFont val="Calibri"/>
        <family val="2"/>
      </rPr>
      <t xml:space="preserve"> Center of Pressure Body Station, in</t>
    </r>
  </si>
  <si>
    <r>
      <rPr>
        <sz val="10"/>
        <rFont val="Arial"/>
        <family val="2"/>
      </rPr>
      <t xml:space="preserve">Fin Alone Airfoil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0"/>
        <rFont val="Arial"/>
        <family val="2"/>
      </rPr>
      <t xml:space="preserve">, per rad</t>
    </r>
  </si>
  <si>
    <r>
      <rPr>
        <sz val="11"/>
        <color rgb="FF000000"/>
        <rFont val="Calibri"/>
        <family val="2"/>
      </rPr>
      <t xml:space="preserve">Single Panel C</t>
    </r>
    <r>
      <rPr>
        <vertAlign val="subscript"/>
        <sz val="10"/>
        <rFont val="Arial"/>
        <family val="2"/>
      </rPr>
      <t xml:space="preserve">N</t>
    </r>
    <r>
      <rPr>
        <vertAlign val="subscript"/>
        <sz val="10"/>
        <rFont val="Symbol"/>
        <family val="1"/>
        <charset val="2"/>
      </rPr>
      <t xml:space="preserve">d</t>
    </r>
    <r>
      <rPr>
        <sz val="11"/>
        <color rgb="FF000000"/>
        <rFont val="Calibri"/>
        <family val="2"/>
      </rPr>
      <t xml:space="preserve">, rad</t>
    </r>
    <r>
      <rPr>
        <vertAlign val="superscript"/>
        <sz val="10"/>
        <rFont val="Arial"/>
        <family val="2"/>
      </rPr>
      <t xml:space="preserve">-1</t>
    </r>
  </si>
  <si>
    <r>
      <rPr>
        <sz val="10"/>
        <rFont val="Arial"/>
        <family val="2"/>
      </rPr>
      <t xml:space="preserve">Total Tail Assembly C</t>
    </r>
    <r>
      <rPr>
        <vertAlign val="subscript"/>
        <sz val="10"/>
        <rFont val="Arial"/>
        <family val="2"/>
      </rPr>
      <t xml:space="preserve">Nα</t>
    </r>
    <r>
      <rPr>
        <sz val="10"/>
        <rFont val="Arial"/>
        <family val="2"/>
      </rPr>
      <t xml:space="preserve"> (with Vortex Interference [only 2 stage]) , rad</t>
    </r>
    <r>
      <rPr>
        <vertAlign val="superscript"/>
        <sz val="10"/>
        <rFont val="Arial"/>
        <family val="2"/>
      </rPr>
      <t xml:space="preserve">-1</t>
    </r>
  </si>
  <si>
    <t xml:space="preserve">Fin ass'y Xcp, from the root chord LE, in</t>
  </si>
  <si>
    <r>
      <rPr>
        <sz val="11"/>
        <color rgb="FF000000"/>
        <rFont val="Calibri"/>
        <family val="2"/>
      </rPr>
      <t xml:space="preserve">Trailing Vortex Strength,  (1/U)    d</t>
    </r>
    <r>
      <rPr>
        <sz val="10"/>
        <rFont val="Arial"/>
        <family val="2"/>
      </rPr>
      <t xml:space="preserve">Γ</t>
    </r>
    <r>
      <rPr>
        <sz val="11"/>
        <color rgb="FF000000"/>
        <rFont val="Calibri"/>
        <family val="2"/>
      </rPr>
      <t xml:space="preserve">/d</t>
    </r>
    <r>
      <rPr>
        <sz val="10"/>
        <rFont val="Symbol"/>
        <family val="1"/>
        <charset val="2"/>
      </rPr>
      <t xml:space="preserve">a </t>
    </r>
    <r>
      <rPr>
        <sz val="11"/>
        <color rgb="FF000000"/>
        <rFont val="Calibri"/>
        <family val="2"/>
      </rPr>
      <t xml:space="preserve">(only 2 stage), in</t>
    </r>
  </si>
  <si>
    <t xml:space="preserve">Trailing Vortex Spanwise Location at Stage 1 (only 2 stage), in</t>
  </si>
  <si>
    <t xml:space="preserve">Image Vortex Spanwise Location at Stage 1(only 2 stage), in</t>
  </si>
  <si>
    <r>
      <rPr>
        <sz val="11"/>
        <color rgb="FF000000"/>
        <rFont val="Calibri"/>
        <family val="2"/>
      </rPr>
      <t xml:space="preserve">Roll Wavenumber, </t>
    </r>
    <r>
      <rPr>
        <sz val="11"/>
        <color rgb="FF000000"/>
        <rFont val="Symbol"/>
        <family val="1"/>
        <charset val="2"/>
      </rPr>
      <t xml:space="preserve">l</t>
    </r>
    <r>
      <rPr>
        <vertAlign val="subscript"/>
        <sz val="11"/>
        <color rgb="FF000000"/>
        <rFont val="Calibri"/>
        <family val="2"/>
      </rPr>
      <t xml:space="preserve">R</t>
    </r>
    <r>
      <rPr>
        <sz val="11"/>
        <color rgb="FF000000"/>
        <rFont val="Calibri"/>
        <family val="2"/>
      </rPr>
      <t xml:space="preserve">, rad/ft</t>
    </r>
  </si>
  <si>
    <r>
      <rPr>
        <sz val="11"/>
        <color rgb="FF000000"/>
        <rFont val="Calibri"/>
        <family val="2"/>
      </rPr>
      <t xml:space="preserve">Mean Fin Cant Angle,</t>
    </r>
    <r>
      <rPr>
        <sz val="11"/>
        <color rgb="FF000000"/>
        <rFont val="Symbol"/>
        <family val="1"/>
        <charset val="2"/>
      </rPr>
      <t xml:space="preserve"> d</t>
    </r>
    <r>
      <rPr>
        <vertAlign val="subscript"/>
        <sz val="11"/>
        <color rgb="FF000000"/>
        <rFont val="Calibri"/>
        <family val="2"/>
      </rPr>
      <t xml:space="preserve">F</t>
    </r>
    <r>
      <rPr>
        <sz val="11"/>
        <color rgb="FF000000"/>
        <rFont val="Calibri"/>
        <family val="2"/>
      </rPr>
      <t xml:space="preserve">, rad</t>
    </r>
  </si>
  <si>
    <t xml:space="preserve">CLp, per rad</t>
  </si>
  <si>
    <t xml:space="preserve">Cldelta, per rad</t>
  </si>
  <si>
    <t xml:space="preserve">Second Stage Fin Data</t>
  </si>
  <si>
    <r>
      <rPr>
        <sz val="11"/>
        <color rgb="FF000000"/>
        <rFont val="Calibri"/>
        <family val="2"/>
      </rPr>
      <t xml:space="preserve">Total Tail Assembly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1"/>
        <color rgb="FF000000"/>
        <rFont val="Calibri"/>
        <family val="2"/>
      </rPr>
      <t xml:space="preserve">, per radian</t>
    </r>
  </si>
  <si>
    <t xml:space="preserve">Parachute Deployment Loads</t>
  </si>
  <si>
    <t xml:space="preserve">Parachute Opening Shock, lbs, from OSCALC</t>
  </si>
  <si>
    <t xml:space="preserve">Parachute Attachment Body Element number</t>
  </si>
  <si>
    <t xml:space="preserve"> Mass of Parachute  + Risers, sl</t>
  </si>
  <si>
    <t xml:space="preserve">Ground Handling Loads </t>
  </si>
  <si>
    <r>
      <rPr>
        <sz val="11"/>
        <color rgb="FF000000"/>
        <rFont val="Calibri"/>
        <family val="2"/>
      </rPr>
      <t xml:space="preserve">x</t>
    </r>
    <r>
      <rPr>
        <vertAlign val="subscript"/>
        <sz val="11"/>
        <color rgb="FF000000"/>
        <rFont val="Calibri"/>
        <family val="2"/>
      </rPr>
      <t xml:space="preserve">F</t>
    </r>
    <r>
      <rPr>
        <sz val="11"/>
        <color rgb="FF000000"/>
        <rFont val="Calibri"/>
        <family val="2"/>
      </rPr>
      <t xml:space="preserve">,  location of the forward support force, in</t>
    </r>
  </si>
  <si>
    <r>
      <rPr>
        <sz val="11"/>
        <color rgb="FF000000"/>
        <rFont val="Calibri"/>
        <family val="2"/>
      </rPr>
      <t xml:space="preserve">x</t>
    </r>
    <r>
      <rPr>
        <vertAlign val="subscript"/>
        <sz val="11"/>
        <color rgb="FF000000"/>
        <rFont val="Calibri"/>
        <family val="2"/>
      </rPr>
      <t xml:space="preserve">A</t>
    </r>
    <r>
      <rPr>
        <sz val="11"/>
        <color rgb="FF000000"/>
        <rFont val="Calibri"/>
        <family val="2"/>
      </rPr>
      <t xml:space="preserve">,  location of the aft support force, in</t>
    </r>
  </si>
  <si>
    <t xml:space="preserve">N, Load factor</t>
  </si>
  <si>
    <t xml:space="preserve">Summary of Statistics and Design Values</t>
  </si>
  <si>
    <t xml:space="preserve">Launch Values</t>
  </si>
  <si>
    <t xml:space="preserve">Wave Numbers</t>
  </si>
  <si>
    <t xml:space="preserve">W, lb  = </t>
  </si>
  <si>
    <t xml:space="preserve">Xcg, in=</t>
  </si>
  <si>
    <t xml:space="preserve">Iyy, sl-ft2 =</t>
  </si>
  <si>
    <r>
      <rPr>
        <sz val="11"/>
        <color rgb="FF000000"/>
        <rFont val="Calibri"/>
        <family val="2"/>
      </rPr>
      <t xml:space="preserve">C</t>
    </r>
    <r>
      <rPr>
        <vertAlign val="subscript"/>
        <sz val="11"/>
        <color rgb="FF000000"/>
        <rFont val="Calibri"/>
        <family val="2"/>
      </rPr>
      <t xml:space="preserve">Nα</t>
    </r>
    <r>
      <rPr>
        <sz val="11"/>
        <color rgb="FF000000"/>
        <rFont val="Calibri"/>
        <family val="2"/>
      </rPr>
      <t xml:space="preserve"> =</t>
    </r>
  </si>
  <si>
    <t xml:space="preserve">Xcp, in  =</t>
  </si>
  <si>
    <t xml:space="preserve">Static Margin, ft =</t>
  </si>
  <si>
    <r>
      <rPr>
        <sz val="11"/>
        <color rgb="FF000000"/>
        <rFont val="Calibri"/>
        <family val="2"/>
      </rPr>
      <t xml:space="preserve">λ</t>
    </r>
    <r>
      <rPr>
        <vertAlign val="subscript"/>
        <sz val="11"/>
        <color rgb="FF000000"/>
        <rFont val="Calibri"/>
        <family val="2"/>
      </rPr>
      <t xml:space="preserve">P</t>
    </r>
    <r>
      <rPr>
        <sz val="11"/>
        <color rgb="FF000000"/>
        <rFont val="Calibri"/>
        <family val="2"/>
      </rPr>
      <t xml:space="preserve">, rad/ft</t>
    </r>
  </si>
  <si>
    <r>
      <rPr>
        <sz val="11"/>
        <color rgb="FF000000"/>
        <rFont val="Calibri"/>
        <family val="2"/>
      </rPr>
      <t xml:space="preserve">λ</t>
    </r>
    <r>
      <rPr>
        <vertAlign val="subscript"/>
        <sz val="11"/>
        <color rgb="FF000000"/>
        <rFont val="Calibri"/>
        <family val="2"/>
      </rPr>
      <t xml:space="preserve">R</t>
    </r>
    <r>
      <rPr>
        <sz val="11"/>
        <color rgb="FF000000"/>
        <rFont val="Calibri"/>
        <family val="2"/>
      </rPr>
      <t xml:space="preserve">, rad/ft</t>
    </r>
  </si>
  <si>
    <r>
      <rPr>
        <sz val="11"/>
        <color rgb="FF000000"/>
        <rFont val="Calibri"/>
        <family val="2"/>
      </rPr>
      <t xml:space="preserve">λ</t>
    </r>
    <r>
      <rPr>
        <vertAlign val="subscript"/>
        <sz val="11"/>
        <color rgb="FF000000"/>
        <rFont val="Calibri"/>
        <family val="2"/>
      </rPr>
      <t xml:space="preserve">G</t>
    </r>
    <r>
      <rPr>
        <sz val="11"/>
        <color rgb="FF000000"/>
        <rFont val="Calibri"/>
        <family val="2"/>
      </rPr>
      <t xml:space="preserve">*, ft-1</t>
    </r>
  </si>
  <si>
    <t xml:space="preserve">Mean roll rate, rad/sec</t>
  </si>
  <si>
    <t xml:space="preserve">Pitch / yaw natural frequency, rad/sec</t>
  </si>
  <si>
    <t xml:space="preserve">1σ α</t>
  </si>
  <si>
    <t xml:space="preserve">Acceleration</t>
  </si>
  <si>
    <t xml:space="preserve">1σ α (thrst), rad</t>
  </si>
  <si>
    <t xml:space="preserve">1σ α (CG offset), rad</t>
  </si>
  <si>
    <t xml:space="preserve">1σ α (gusts), rad</t>
  </si>
  <si>
    <t xml:space="preserve">1 σ α (fin misalignment), rad</t>
  </si>
  <si>
    <t xml:space="preserve">Total 1 σ α, rad</t>
  </si>
  <si>
    <t xml:space="preserve">Body Design α, rad</t>
  </si>
  <si>
    <r>
      <rPr>
        <sz val="11"/>
        <color rgb="FF000000"/>
        <rFont val="Calibri"/>
        <family val="2"/>
      </rPr>
      <t xml:space="preserve">d</t>
    </r>
    <r>
      <rPr>
        <vertAlign val="superscript"/>
        <sz val="11"/>
        <color rgb="FF000000"/>
        <rFont val="Calibri"/>
        <family val="2"/>
      </rPr>
      <t xml:space="preserve">2</t>
    </r>
    <r>
      <rPr>
        <sz val="11"/>
        <color rgb="FF000000"/>
        <rFont val="Calibri"/>
        <family val="2"/>
      </rPr>
      <t xml:space="preserve">α/dt</t>
    </r>
    <r>
      <rPr>
        <vertAlign val="superscript"/>
        <sz val="11"/>
        <color rgb="FF000000"/>
        <rFont val="Calibri"/>
        <family val="2"/>
      </rPr>
      <t xml:space="preserve">2</t>
    </r>
    <r>
      <rPr>
        <sz val="11"/>
        <color rgb="FF000000"/>
        <rFont val="Calibri"/>
        <family val="2"/>
      </rPr>
      <t xml:space="preserve">, rad/sec2</t>
    </r>
  </si>
  <si>
    <t xml:space="preserve">Az, ft/sec2</t>
  </si>
  <si>
    <t xml:space="preserve">Dragless Ax</t>
  </si>
  <si>
    <t xml:space="preserve">Nose Amp. Factor Elastic</t>
  </si>
  <si>
    <t xml:space="preserve">Cell location in BENDIT7</t>
  </si>
  <si>
    <t xml:space="preserve">Cell location in SUBSONIC BARROWMAN EQUATIONS2.2</t>
  </si>
  <si>
    <t xml:space="preserve">Cell location in SUPERSONIC BARROIWMAN EQUATIONS3.2</t>
  </si>
  <si>
    <t xml:space="preserve">Variable description</t>
  </si>
  <si>
    <t xml:space="preserve">1st Stage</t>
  </si>
  <si>
    <t xml:space="preserve">2nd Stage</t>
  </si>
  <si>
    <r>
      <rPr>
        <sz val="11"/>
        <color rgb="FF000000"/>
        <rFont val="Calibri"/>
        <family val="2"/>
      </rPr>
      <t xml:space="preserve">Fin α and </t>
    </r>
    <r>
      <rPr>
        <sz val="11"/>
        <color rgb="FF000000"/>
        <rFont val="Symbol"/>
        <family val="1"/>
        <charset val="2"/>
      </rPr>
      <t xml:space="preserve">d</t>
    </r>
    <r>
      <rPr>
        <sz val="11"/>
        <color rgb="FF000000"/>
        <rFont val="Calibri"/>
        <family val="2"/>
      </rPr>
      <t xml:space="preserve"> Center of Pressure, in</t>
    </r>
  </si>
  <si>
    <t xml:space="preserve">C39</t>
  </si>
  <si>
    <t xml:space="preserve">C50</t>
  </si>
  <si>
    <t xml:space="preserve">AA30</t>
  </si>
  <si>
    <t xml:space="preserve">AA33</t>
  </si>
  <si>
    <t xml:space="preserve">AJ64</t>
  </si>
  <si>
    <t xml:space="preserve">AJ67</t>
  </si>
  <si>
    <t xml:space="preserve">D39</t>
  </si>
  <si>
    <t xml:space="preserve">D50</t>
  </si>
  <si>
    <t xml:space="preserve">Q30</t>
  </si>
  <si>
    <t xml:space="preserve">Q33</t>
  </si>
  <si>
    <t xml:space="preserve">W64</t>
  </si>
  <si>
    <t xml:space="preserve">W67</t>
  </si>
  <si>
    <t xml:space="preserve">E39</t>
  </si>
  <si>
    <t xml:space="preserve">E50</t>
  </si>
  <si>
    <t xml:space="preserve">S30</t>
  </si>
  <si>
    <t xml:space="preserve">S33</t>
  </si>
  <si>
    <t xml:space="preserve">Z64</t>
  </si>
  <si>
    <t xml:space="preserve">Z67</t>
  </si>
  <si>
    <r>
      <rPr>
        <sz val="11"/>
        <color rgb="FF000000"/>
        <rFont val="Calibri"/>
        <family val="2"/>
      </rPr>
      <t xml:space="preserve">Tail Assembly C</t>
    </r>
    <r>
      <rPr>
        <vertAlign val="subscript"/>
        <sz val="12"/>
        <rFont val="Arial"/>
        <family val="2"/>
      </rPr>
      <t xml:space="preserve">N</t>
    </r>
    <r>
      <rPr>
        <vertAlign val="subscript"/>
        <sz val="12"/>
        <rFont val="Symbol"/>
        <family val="1"/>
        <charset val="2"/>
      </rPr>
      <t xml:space="preserve">a</t>
    </r>
    <r>
      <rPr>
        <sz val="11"/>
        <color rgb="FF000000"/>
        <rFont val="Calibri"/>
        <family val="2"/>
      </rPr>
      <t xml:space="preserve">, per radian</t>
    </r>
  </si>
  <si>
    <t xml:space="preserve">F39</t>
  </si>
  <si>
    <t xml:space="preserve">F50</t>
  </si>
  <si>
    <t xml:space="preserve">Y30 (1 stage) or AO30 (2 stage)</t>
  </si>
  <si>
    <t xml:space="preserve">Y33</t>
  </si>
  <si>
    <t xml:space="preserve">AE64 (1 stage) or AY (2 stage)</t>
  </si>
  <si>
    <t xml:space="preserve">AE67</t>
  </si>
  <si>
    <r>
      <rPr>
        <sz val="11"/>
        <color rgb="FF000000"/>
        <rFont val="Calibri"/>
        <family val="2"/>
      </rPr>
      <t xml:space="preserve">Trailing Vortex Strength,  (1/U)    d</t>
    </r>
    <r>
      <rPr>
        <sz val="10"/>
        <rFont val="Arial"/>
        <family val="2"/>
      </rPr>
      <t xml:space="preserve">Γ</t>
    </r>
    <r>
      <rPr>
        <sz val="11"/>
        <color rgb="FF000000"/>
        <rFont val="Calibri"/>
        <family val="2"/>
      </rPr>
      <t xml:space="preserve">/d</t>
    </r>
    <r>
      <rPr>
        <sz val="10"/>
        <rFont val="Symbol"/>
        <family val="1"/>
        <charset val="2"/>
      </rPr>
      <t xml:space="preserve">a</t>
    </r>
    <r>
      <rPr>
        <sz val="11"/>
        <color rgb="FF000000"/>
        <rFont val="Calibri"/>
        <family val="2"/>
      </rPr>
      <t xml:space="preserve">, in</t>
    </r>
  </si>
  <si>
    <t xml:space="preserve">A42</t>
  </si>
  <si>
    <t xml:space="preserve">N/A</t>
  </si>
  <si>
    <t xml:space="preserve">AC33</t>
  </si>
  <si>
    <t xml:space="preserve">AO67</t>
  </si>
  <si>
    <t xml:space="preserve">Trailing Vortex Spanwise Location at Stage 1, inae29</t>
  </si>
  <si>
    <t xml:space="preserve">B42</t>
  </si>
  <si>
    <t xml:space="preserve">AD30</t>
  </si>
  <si>
    <t xml:space="preserve">AN64</t>
  </si>
  <si>
    <t xml:space="preserve">C42</t>
  </si>
  <si>
    <t xml:space="preserve">AE30</t>
  </si>
  <si>
    <t xml:space="preserve">AO64</t>
  </si>
  <si>
    <t xml:space="preserve">column N (12-63)</t>
  </si>
  <si>
    <t xml:space="preserve">column K (6-20)</t>
  </si>
  <si>
    <t xml:space="preserve">column AU (14-60)</t>
  </si>
  <si>
    <t xml:space="preserve">column O (12-63)</t>
  </si>
  <si>
    <t xml:space="preserve">column M (6-20)</t>
  </si>
  <si>
    <t xml:space="preserve">column AX (14-60)</t>
  </si>
  <si>
    <t xml:space="preserve">Body Shear Force &amp; Bending Moment</t>
  </si>
  <si>
    <t xml:space="preserve">Axial Force</t>
  </si>
  <si>
    <t xml:space="preserve">First Stage Fins</t>
  </si>
  <si>
    <t xml:space="preserve">Second Stage Fins</t>
  </si>
  <si>
    <t xml:space="preserve">Parachute Deployment Axial Load</t>
  </si>
  <si>
    <t xml:space="preserve">xi, Element Aft Body Station from Nose Tip, in</t>
  </si>
  <si>
    <t xml:space="preserve">One Sigma Body Shear Force, lb</t>
  </si>
  <si>
    <t xml:space="preserve">One Sigma Body Bending Moment, lb-in</t>
  </si>
  <si>
    <t xml:space="preserve">Design Body Shear Force, lb</t>
  </si>
  <si>
    <t xml:space="preserve">Design Body Bending Moment, lb-in</t>
  </si>
  <si>
    <t xml:space="preserve">Planar Body Shear Force Magnitude, lb</t>
  </si>
  <si>
    <t xml:space="preserve">Planar Body Bending Moment Magnitude,    in-lb</t>
  </si>
  <si>
    <t xml:space="preserve">Pi, Axial Force, lb</t>
  </si>
  <si>
    <t xml:space="preserve">y, Fin Spanwise Ordinate, in, from Fin Root</t>
  </si>
  <si>
    <t xml:space="preserve">Fin Design Bending Moment, in-lb</t>
  </si>
  <si>
    <t xml:space="preserve">Fin tensile load, lb</t>
  </si>
  <si>
    <t xml:space="preserve">Element</t>
  </si>
  <si>
    <t xml:space="preserve">Axial Force, lb</t>
  </si>
  <si>
    <t xml:space="preserve">Ground Loading Moment, lb-in</t>
  </si>
  <si>
    <t xml:space="preserve">Design Ground Loading Moment, lb-in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</si>
</sst>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E+00"/>
    <numFmt numFmtId="166" formatCode="0.00%"/>
    <numFmt numFmtId="167" formatCode="0.000E+00"/>
    <numFmt numFmtId="168" formatCode="0.00000"/>
    <numFmt numFmtId="169" formatCode="0.00000E+00"/>
  </numFmts>
  <fonts count="3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</font>
    <font>
      <vertAlign val="subscript"/>
      <sz val="10"/>
      <name val="Arial"/>
      <family val="2"/>
    </font>
    <font>
      <vertAlign val="subscript"/>
      <sz val="12"/>
      <name val="Arial"/>
      <family val="2"/>
    </font>
    <font>
      <vertAlign val="subscript"/>
      <sz val="14"/>
      <name val="Symbol"/>
      <family val="1"/>
      <charset val="2"/>
    </font>
    <font>
      <sz val="10"/>
      <name val="Arial"/>
      <family val="2"/>
    </font>
    <font>
      <vertAlign val="superscript"/>
      <sz val="11"/>
      <color rgb="FF000000"/>
      <name val="Calibri"/>
      <family val="2"/>
    </font>
    <font>
      <sz val="10"/>
      <name val="Symbol"/>
      <family val="1"/>
      <charset val="2"/>
    </font>
    <font>
      <vertAlign val="subscript"/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b val="true"/>
      <sz val="11"/>
      <name val="Calibri"/>
      <family val="2"/>
    </font>
    <font>
      <sz val="11"/>
      <name val="Calibri"/>
      <family val="2"/>
    </font>
    <font>
      <b val="true"/>
      <sz val="11"/>
      <color rgb="FF000000"/>
      <name val="Calibri"/>
      <family val="2"/>
    </font>
    <font>
      <sz val="11"/>
      <color rgb="FF000000"/>
      <name val="Arial"/>
      <family val="2"/>
    </font>
    <font>
      <vertAlign val="subscript"/>
      <sz val="12"/>
      <name val="Symbol"/>
      <family val="1"/>
      <charset val="2"/>
    </font>
    <font>
      <vertAlign val="subscript"/>
      <sz val="10"/>
      <name val="Symbol"/>
      <family val="1"/>
      <charset val="2"/>
    </font>
    <font>
      <vertAlign val="superscript"/>
      <sz val="10"/>
      <name val="Arial"/>
      <family val="2"/>
    </font>
    <font>
      <sz val="11"/>
      <color rgb="FFFF0000"/>
      <name val="Calibri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FFFFFF"/>
      <name val="Calibri"/>
      <family val="0"/>
    </font>
    <font>
      <b val="true"/>
      <sz val="14"/>
      <color rgb="FF000000"/>
      <name val="Calibri"/>
      <family val="0"/>
    </font>
    <font>
      <b val="true"/>
      <sz val="20"/>
      <color rgb="FF000000"/>
      <name val="Calibri"/>
      <family val="0"/>
    </font>
    <font>
      <b val="true"/>
      <sz val="12"/>
      <color rgb="FF000000"/>
      <name val="Calibri"/>
      <family val="0"/>
    </font>
    <font>
      <b val="true"/>
      <sz val="16"/>
      <color rgb="FFFFFFFF"/>
      <name val="Calibri"/>
      <family val="0"/>
    </font>
    <font>
      <b val="true"/>
      <sz val="16"/>
      <color rgb="FF000000"/>
      <name val="Calibri"/>
      <family val="0"/>
    </font>
    <font>
      <b val="true"/>
      <sz val="14.4"/>
      <color rgb="FF000000"/>
      <name val="Arial"/>
      <family val="2"/>
    </font>
    <font>
      <sz val="12"/>
      <color rgb="FF000000"/>
      <name val="Arial"/>
      <family val="2"/>
    </font>
    <font>
      <b val="true"/>
      <sz val="12"/>
      <color rgb="FF000000"/>
      <name val="Arial"/>
      <family val="2"/>
    </font>
    <font>
      <b val="true"/>
      <sz val="1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6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6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family val="2"/>
        <b val="1"/>
        <i val="0"/>
        <color rgb="FF000000"/>
        <sz val="11"/>
      </font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40" b="1" u="none" strike="noStrike">
                <a:solidFill>
                  <a:srgbClr val="000000"/>
                </a:solidFill>
                <a:uFillTx/>
                <a:latin typeface="Arial"/>
              </a:rPr>
              <a:t>Body Design Loads</a:t>
            </a:r>
          </a:p>
        </c:rich>
      </c:tx>
      <c:layout>
        <c:manualLayout>
          <c:xMode val="edge"/>
          <c:yMode val="edge"/>
          <c:x val="0.316700573330867"/>
          <c:y val="0.031361313303391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17717773256889"/>
          <c:y val="0.0864178411026793"/>
          <c:w val="0.908784908452007"/>
          <c:h val="0.913582158897321"/>
        </c:manualLayout>
      </c:layout>
      <c:scatterChart>
        <c:scatterStyle val="line"/>
        <c:varyColors val="0"/>
        <c:ser>
          <c:idx val="0"/>
          <c:order val="0"/>
          <c:tx>
            <c:strRef>
              <c:f>'Solution Bendit'!$D$4</c:f>
              <c:strCache>
                <c:ptCount val="1"/>
                <c:pt idx="0">
                  <c:v>Design Body Shear Force, lb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Bendit'!$A$5:$A$28</c:f>
              <c:numCache>
                <c:formatCode>General</c:formatCode>
                <c:ptCount val="24"/>
              </c:numCache>
            </c:numRef>
          </c:xVal>
          <c:yVal>
            <c:numRef>
              <c:f>'Solution Bendit'!$D$5:$D$28</c:f>
              <c:numCache>
                <c:formatCode>General</c:formatCode>
                <c:ptCount val="24"/>
              </c:numCache>
            </c:numRef>
          </c:yVal>
          <c:smooth val="1"/>
        </c:ser>
        <c:ser>
          <c:idx val="1"/>
          <c:order val="1"/>
          <c:tx>
            <c:strRef>
              <c:f>'Solution Bendit'!$E$4</c:f>
              <c:strCache>
                <c:ptCount val="1"/>
                <c:pt idx="0">
                  <c:v>Design Body Bending Moment, lb-in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Bendit'!$A$5:$A$28</c:f>
              <c:numCache>
                <c:formatCode>General</c:formatCode>
                <c:ptCount val="24"/>
              </c:numCache>
            </c:numRef>
          </c:xVal>
          <c:yVal>
            <c:numRef>
              <c:f>'Solution Bendit'!$E$5:$E$28</c:f>
              <c:numCache>
                <c:formatCode>General</c:formatCode>
                <c:ptCount val="24"/>
              </c:numCache>
            </c:numRef>
          </c:yVal>
          <c:smooth val="1"/>
        </c:ser>
        <c:axId val="5126323"/>
        <c:axId val="26655656"/>
      </c:scatterChart>
      <c:valAx>
        <c:axId val="5126323"/>
        <c:scaling>
          <c:orientation val="minMax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inches aft of nose tip</a:t>
                </a:r>
              </a:p>
            </c:rich>
          </c:tx>
          <c:layout>
            <c:manualLayout>
              <c:xMode val="edge"/>
              <c:yMode val="edge"/>
              <c:x val="0.385167375624191"/>
              <c:y val="0.92248722316865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6655656"/>
        <c:crossesAt val="0"/>
        <c:crossBetween val="midCat"/>
      </c:valAx>
      <c:valAx>
        <c:axId val="26655656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126323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2681708895876"/>
          <c:y val="0.0119250425894378"/>
          <c:w val="0.275346772702053"/>
          <c:h val="0.303236797274276"/>
        </c:manualLayout>
      </c:layout>
      <c:overlay val="0"/>
      <c:spPr>
        <a:solidFill>
          <a:srgbClr val="ffffff"/>
        </a:solidFill>
        <a:ln w="12600">
          <a:solidFill>
            <a:srgbClr val="666699"/>
          </a:solidFill>
          <a:round/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40" b="1" u="none" strike="noStrike">
                <a:solidFill>
                  <a:srgbClr val="000000"/>
                </a:solidFill>
                <a:uFillTx/>
                <a:latin typeface="Arial"/>
              </a:rPr>
              <a:t>One Sigma Body Structural Loads</a:t>
            </a:r>
          </a:p>
        </c:rich>
      </c:tx>
      <c:layout>
        <c:manualLayout>
          <c:xMode val="edge"/>
          <c:yMode val="edge"/>
          <c:x val="0.206324520476931"/>
          <c:y val="0.031300718757245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17640524327927"/>
          <c:y val="0.0866372980910426"/>
          <c:w val="0.908798044878916"/>
          <c:h val="0.913362701908957"/>
        </c:manualLayout>
      </c:layout>
      <c:scatterChart>
        <c:scatterStyle val="line"/>
        <c:varyColors val="0"/>
        <c:ser>
          <c:idx val="0"/>
          <c:order val="0"/>
          <c:tx>
            <c:strRef>
              <c:f>'Solution Bendit'!$B$4</c:f>
              <c:strCache>
                <c:ptCount val="1"/>
                <c:pt idx="0">
                  <c:v>One Sigma Body Shear Force, lb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Bendit'!$A$5:$A$28</c:f>
              <c:numCache>
                <c:formatCode>General</c:formatCode>
                <c:ptCount val="24"/>
              </c:numCache>
            </c:numRef>
          </c:xVal>
          <c:yVal>
            <c:numRef>
              <c:f>'Solution Bendit'!$B$5:$B$28</c:f>
              <c:numCache>
                <c:formatCode>General</c:formatCode>
                <c:ptCount val="24"/>
              </c:numCache>
            </c:numRef>
          </c:yVal>
          <c:smooth val="1"/>
        </c:ser>
        <c:ser>
          <c:idx val="1"/>
          <c:order val="1"/>
          <c:tx>
            <c:strRef>
              <c:f>'Solution Bendit'!$C$4</c:f>
              <c:strCache>
                <c:ptCount val="1"/>
                <c:pt idx="0">
                  <c:v>One Sigma Body Bending Moment, lb-in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Bendit'!$A$5:$A$28</c:f>
              <c:numCache>
                <c:formatCode>General</c:formatCode>
                <c:ptCount val="24"/>
              </c:numCache>
            </c:numRef>
          </c:xVal>
          <c:yVal>
            <c:numRef>
              <c:f>'Solution Bendit'!$C$5:$C$28</c:f>
              <c:numCache>
                <c:formatCode>General</c:formatCode>
                <c:ptCount val="24"/>
              </c:numCache>
            </c:numRef>
          </c:yVal>
          <c:smooth val="1"/>
        </c:ser>
        <c:axId val="8707847"/>
        <c:axId val="246903"/>
      </c:scatterChart>
      <c:valAx>
        <c:axId val="8707847"/>
        <c:scaling>
          <c:orientation val="minMax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inches aft of nose tip</a:t>
                </a:r>
              </a:p>
            </c:rich>
          </c:tx>
          <c:layout>
            <c:manualLayout>
              <c:xMode val="edge"/>
              <c:yMode val="edge"/>
              <c:x val="0.384692290602088"/>
              <c:y val="0.92248241749748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46903"/>
        <c:crossesAt val="0"/>
        <c:crossBetween val="midCat"/>
      </c:valAx>
      <c:valAx>
        <c:axId val="246903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07847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4139820780567"/>
          <c:y val="0.0113610016230002"/>
          <c:w val="0.275642449825965"/>
          <c:h val="0.3026509003787"/>
        </c:manualLayout>
      </c:layout>
      <c:overlay val="0"/>
      <c:spPr>
        <a:solidFill>
          <a:srgbClr val="ffffff"/>
        </a:solidFill>
        <a:ln w="12600">
          <a:solidFill>
            <a:srgbClr val="666699"/>
          </a:solidFill>
          <a:round/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40" b="1" u="none" strike="noStrike">
                <a:solidFill>
                  <a:srgbClr val="000000"/>
                </a:solidFill>
                <a:uFillTx/>
                <a:latin typeface="Arial"/>
              </a:rPr>
              <a:t>Axial Force</a:t>
            </a:r>
          </a:p>
        </c:rich>
      </c:tx>
      <c:layout>
        <c:manualLayout>
          <c:xMode val="edge"/>
          <c:yMode val="edge"/>
          <c:x val="0.433554817275748"/>
          <c:y val="0.031288723667905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27168696936139"/>
          <c:y val="0.0864312267657993"/>
          <c:w val="0.909043927648579"/>
          <c:h val="0.913568773234201"/>
        </c:manualLayout>
      </c:layout>
      <c:scatterChart>
        <c:scatterStyle val="line"/>
        <c:varyColors val="0"/>
        <c:ser>
          <c:idx val="0"/>
          <c:order val="0"/>
          <c:tx>
            <c:strRef>
              <c:f>'Solution Bendit'!$J$4</c:f>
              <c:strCache>
                <c:ptCount val="1"/>
                <c:pt idx="0">
                  <c:v>Pi, Axial Force, lb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Bendit'!$I$5:$I$28</c:f>
              <c:numCache>
                <c:formatCode>General</c:formatCode>
                <c:ptCount val="24"/>
              </c:numCache>
            </c:numRef>
          </c:xVal>
          <c:yVal>
            <c:numRef>
              <c:f>'Solution Bendit'!$J$5:$J$28</c:f>
              <c:numCache>
                <c:formatCode>General</c:formatCode>
                <c:ptCount val="24"/>
              </c:numCache>
            </c:numRef>
          </c:yVal>
          <c:smooth val="0"/>
        </c:ser>
        <c:axId val="14905324"/>
        <c:axId val="61241592"/>
      </c:scatterChart>
      <c:valAx>
        <c:axId val="14905324"/>
        <c:scaling>
          <c:orientation val="minMax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inches aft of nose tip</a:t>
                </a:r>
              </a:p>
            </c:rich>
          </c:tx>
          <c:layout>
            <c:manualLayout>
              <c:xMode val="edge"/>
              <c:yMode val="edge"/>
              <c:x val="0.385418973791067"/>
              <c:y val="0.92247521685254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1241592"/>
        <c:crossesAt val="0"/>
        <c:crossBetween val="midCat"/>
      </c:valAx>
      <c:valAx>
        <c:axId val="61241592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4905324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343300110742"/>
          <c:y val="0.0116945477075589"/>
          <c:w val="0.277371723883352"/>
          <c:h val="0.243184634448575"/>
        </c:manualLayout>
      </c:layout>
      <c:overlay val="0"/>
      <c:spPr>
        <a:solidFill>
          <a:srgbClr val="ffffff"/>
        </a:solidFill>
        <a:ln w="12600">
          <a:solidFill>
            <a:srgbClr val="666699"/>
          </a:solidFill>
          <a:round/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40" b="1" u="none" strike="noStrike">
                <a:solidFill>
                  <a:srgbClr val="000000"/>
                </a:solidFill>
                <a:uFillTx/>
                <a:latin typeface="Arial"/>
              </a:rPr>
              <a:t>First Stage Fin Design Bending Moment, in-lb</a:t>
            </a:r>
          </a:p>
        </c:rich>
      </c:tx>
      <c:layout>
        <c:manualLayout>
          <c:xMode val="edge"/>
          <c:yMode val="edge"/>
          <c:x val="0.17388820530849"/>
          <c:y val="0.032465859314609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7547899455089"/>
          <c:y val="0.113115176500902"/>
          <c:w val="0.918087537352786"/>
          <c:h val="0.849523318732286"/>
        </c:manualLayout>
      </c:layout>
      <c:scatterChart>
        <c:scatterStyle val="line"/>
        <c:varyColors val="0"/>
        <c:ser>
          <c:idx val="0"/>
          <c:order val="0"/>
          <c:tx>
            <c:strRef>
              <c:f>'Solution Bendit'!$M$4</c:f>
              <c:strCache>
                <c:ptCount val="1"/>
                <c:pt idx="0">
                  <c:v>Fin Design Bending Moment, in-lb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Bendit'!$L$5:$L$5005</c:f>
              <c:numCache>
                <c:formatCode>General</c:formatCode>
                <c:ptCount val="5001"/>
              </c:numCache>
            </c:numRef>
          </c:xVal>
          <c:yVal>
            <c:numRef>
              <c:f>'Solution Bendit'!$M$5:$M$5005</c:f>
              <c:numCache>
                <c:formatCode>General</c:formatCode>
                <c:ptCount val="5001"/>
              </c:numCache>
            </c:numRef>
          </c:yVal>
          <c:smooth val="0"/>
        </c:ser>
        <c:axId val="39117830"/>
        <c:axId val="896615"/>
      </c:scatterChart>
      <c:valAx>
        <c:axId val="39117830"/>
        <c:scaling>
          <c:orientation val="minMax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Fin Spanwise Ordinate, in, from Fin Root</a:t>
                </a:r>
              </a:p>
            </c:rich>
          </c:tx>
          <c:layout>
            <c:manualLayout>
              <c:xMode val="edge"/>
              <c:yMode val="edge"/>
              <c:x val="0.334197574266128"/>
              <c:y val="0.91419737181138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96615"/>
        <c:crossesAt val="0"/>
        <c:crossBetween val="midCat"/>
      </c:valAx>
      <c:valAx>
        <c:axId val="896615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117830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1968711548603"/>
          <c:y val="0.134673194193936"/>
          <c:w val="0.277509228335384"/>
          <c:h val="0.115176500901829"/>
        </c:manualLayout>
      </c:layout>
      <c:overlay val="0"/>
      <c:spPr>
        <a:solidFill>
          <a:srgbClr val="ffffff"/>
        </a:solidFill>
        <a:ln w="12600">
          <a:solidFill>
            <a:srgbClr val="666699"/>
          </a:solidFill>
          <a:round/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40" b="1" u="none" strike="noStrike">
                <a:solidFill>
                  <a:srgbClr val="000000"/>
                </a:solidFill>
                <a:uFillTx/>
                <a:latin typeface="Arial"/>
              </a:rPr>
              <a:t>Second Stage Fin Design Bending Moment, in-lb</a:t>
            </a:r>
          </a:p>
        </c:rich>
      </c:tx>
      <c:layout>
        <c:manualLayout>
          <c:xMode val="edge"/>
          <c:yMode val="edge"/>
          <c:x val="0.172350230414747"/>
          <c:y val="0.032799586776859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7289883695414"/>
          <c:y val="0.113119834710744"/>
          <c:w val="0.918104015799868"/>
          <c:h val="0.846935261707989"/>
        </c:manualLayout>
      </c:layout>
      <c:scatterChart>
        <c:scatterStyle val="line"/>
        <c:varyColors val="0"/>
        <c:ser>
          <c:idx val="0"/>
          <c:order val="0"/>
          <c:tx>
            <c:strRef>
              <c:f>'Solution Bendit'!$Q$4</c:f>
              <c:strCache>
                <c:ptCount val="1"/>
                <c:pt idx="0">
                  <c:v>Fin Design Bending Moment, in-lb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Bendit'!$P$5:$P$104</c:f>
              <c:numCache>
                <c:formatCode>General</c:formatCode>
                <c:ptCount val="100"/>
              </c:numCache>
            </c:numRef>
          </c:xVal>
          <c:yVal>
            <c:numRef>
              <c:f>'Solution Bendit'!$Q$5:$Q$104</c:f>
              <c:numCache>
                <c:formatCode>General</c:formatCode>
                <c:ptCount val="100"/>
              </c:numCache>
            </c:numRef>
          </c:yVal>
          <c:smooth val="0"/>
        </c:ser>
        <c:axId val="92794072"/>
        <c:axId val="30895893"/>
      </c:scatterChart>
      <c:valAx>
        <c:axId val="92794072"/>
        <c:scaling>
          <c:orientation val="minMax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Fin Spanwise Ordinate, in, from Fin Root</a:t>
                </a:r>
              </a:p>
            </c:rich>
          </c:tx>
          <c:layout>
            <c:manualLayout>
              <c:xMode val="edge"/>
              <c:yMode val="edge"/>
              <c:x val="0.333728330041694"/>
              <c:y val="0.91391184573002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0895893"/>
        <c:crossesAt val="0"/>
        <c:crossBetween val="midCat"/>
      </c:valAx>
      <c:valAx>
        <c:axId val="30895893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2794072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2699144173799"/>
          <c:y val="0.132489669421488"/>
          <c:w val="0.277156023699803"/>
          <c:h val="0.133608815426997"/>
        </c:manualLayout>
      </c:layout>
      <c:overlay val="0"/>
      <c:spPr>
        <a:solidFill>
          <a:srgbClr val="ffffff"/>
        </a:solidFill>
        <a:ln w="12600">
          <a:solidFill>
            <a:srgbClr val="666699"/>
          </a:solidFill>
          <a:round/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40" b="1" u="none" strike="noStrike">
                <a:solidFill>
                  <a:srgbClr val="000000"/>
                </a:solidFill>
                <a:uFillTx/>
                <a:latin typeface="Arial"/>
              </a:rPr>
              <a:t>Axial Load from Parachute Deployment</a:t>
            </a:r>
          </a:p>
        </c:rich>
      </c:tx>
      <c:layout>
        <c:manualLayout>
          <c:xMode val="edge"/>
          <c:yMode val="edge"/>
          <c:x val="0.250547996195045"/>
          <c:y val="0.033783783783783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73638281153067"/>
          <c:y val="0.113057825267128"/>
          <c:w val="0.915215683030729"/>
          <c:h val="0.820160276555625"/>
        </c:manualLayout>
      </c:layout>
      <c:scatterChart>
        <c:scatterStyle val="line"/>
        <c:varyColors val="0"/>
        <c:ser>
          <c:idx val="0"/>
          <c:order val="0"/>
          <c:tx>
            <c:strRef>
              <c:f>'Solution Bendit'!$V$4</c:f>
              <c:strCache>
                <c:ptCount val="1"/>
                <c:pt idx="0">
                  <c:v>Axial Force, lb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Bendit'!$U$5:$U$28</c:f>
              <c:numCache>
                <c:formatCode>General</c:formatCode>
                <c:ptCount val="24"/>
              </c:numCache>
            </c:numRef>
          </c:xVal>
          <c:yVal>
            <c:numRef>
              <c:f>'Solution Bendit'!$V$5:$V$28</c:f>
              <c:numCache>
                <c:formatCode>General</c:formatCode>
                <c:ptCount val="24"/>
              </c:numCache>
            </c:numRef>
          </c:yVal>
          <c:smooth val="0"/>
        </c:ser>
        <c:axId val="41313764"/>
        <c:axId val="6273476"/>
      </c:scatterChart>
      <c:valAx>
        <c:axId val="41313764"/>
        <c:scaling>
          <c:orientation val="minMax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inches aft of nose tip</a:t>
                </a:r>
              </a:p>
            </c:rich>
          </c:tx>
          <c:layout>
            <c:manualLayout>
              <c:xMode val="edge"/>
              <c:yMode val="edge"/>
              <c:x val="0.374167666156582"/>
              <c:y val="0.92127592708988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273476"/>
        <c:crossesAt val="0"/>
        <c:crossBetween val="midCat"/>
      </c:valAx>
      <c:valAx>
        <c:axId val="6273476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1313764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2717233963357"/>
          <c:y val="0.0117064739157762"/>
          <c:w val="0.278671574506803"/>
          <c:h val="0.12193588937775"/>
        </c:manualLayout>
      </c:layout>
      <c:overlay val="0"/>
      <c:spPr>
        <a:solidFill>
          <a:srgbClr val="ffffff"/>
        </a:solidFill>
        <a:ln w="12600">
          <a:solidFill>
            <a:srgbClr val="666699"/>
          </a:solidFill>
          <a:round/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40" b="1" u="none" strike="noStrike">
                <a:solidFill>
                  <a:srgbClr val="000000"/>
                </a:solidFill>
                <a:uFillTx/>
                <a:latin typeface="Arial"/>
              </a:rPr>
              <a:t>Ground Handling Loads</a:t>
            </a:r>
          </a:p>
        </c:rich>
      </c:tx>
      <c:layout>
        <c:manualLayout>
          <c:xMode val="edge"/>
          <c:yMode val="edge"/>
          <c:x val="0.304895803003203"/>
          <c:y val="0.041954745443117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81506592903789"/>
          <c:y val="0.113057825267128"/>
          <c:w val="0.915186556299655"/>
          <c:h val="0.817253299811439"/>
        </c:manualLayout>
      </c:layout>
      <c:scatterChart>
        <c:scatterStyle val="line"/>
        <c:varyColors val="0"/>
        <c:ser>
          <c:idx val="0"/>
          <c:order val="0"/>
          <c:tx>
            <c:strRef>
              <c:f>'Solution Bendit'!$AA$4</c:f>
              <c:strCache>
                <c:ptCount val="1"/>
                <c:pt idx="0">
                  <c:v>Design Ground Loading Moment, lb-in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Bendit'!$Y$5:$Y$28</c:f>
              <c:numCache>
                <c:formatCode>General</c:formatCode>
                <c:ptCount val="24"/>
              </c:numCache>
            </c:numRef>
          </c:xVal>
          <c:yVal>
            <c:numRef>
              <c:f>'Solution Bendit'!$AA$5:$AA$28</c:f>
              <c:numCache>
                <c:formatCode>General</c:formatCode>
                <c:ptCount val="24"/>
              </c:numCache>
            </c:numRef>
          </c:yVal>
          <c:smooth val="0"/>
        </c:ser>
        <c:axId val="23762476"/>
        <c:axId val="27624074"/>
      </c:scatterChart>
      <c:valAx>
        <c:axId val="23762476"/>
        <c:scaling>
          <c:orientation val="minMax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inches aft of nose tip</a:t>
                </a:r>
              </a:p>
            </c:rich>
          </c:tx>
          <c:layout>
            <c:manualLayout>
              <c:xMode val="edge"/>
              <c:yMode val="edge"/>
              <c:x val="0.37394451145959"/>
              <c:y val="0.92127592708988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7624074"/>
        <c:crossesAt val="0"/>
        <c:crossBetween val="midCat"/>
      </c:valAx>
      <c:valAx>
        <c:axId val="27624074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3762476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3173744852544"/>
          <c:y val="0.0215273412947832"/>
          <c:w val="0.277359510835656"/>
          <c:h val="0.105358265241986"/>
        </c:manualLayout>
      </c:layout>
      <c:overlay val="0"/>
      <c:spPr>
        <a:solidFill>
          <a:srgbClr val="ffffff"/>
        </a:solidFill>
        <a:ln w="12600">
          <a:solidFill>
            <a:srgbClr val="666699"/>
          </a:solidFill>
          <a:round/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40" b="1" u="none" strike="noStrike">
                <a:solidFill>
                  <a:srgbClr val="000000"/>
                </a:solidFill>
                <a:uFillTx/>
                <a:latin typeface="Arial"/>
              </a:rPr>
              <a:t>First Stage Fin tensile load, lb</a:t>
            </a:r>
          </a:p>
        </c:rich>
      </c:tx>
      <c:layout>
        <c:manualLayout>
          <c:xMode val="edge"/>
          <c:yMode val="edge"/>
          <c:x val="0.325672350149411"/>
          <c:y val="0.032465859314609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7547899455089"/>
          <c:y val="0.113115176500902"/>
          <c:w val="0.918087537352786"/>
          <c:h val="0.849523318732286"/>
        </c:manualLayout>
      </c:layout>
      <c:scatterChart>
        <c:scatterStyle val="line"/>
        <c:varyColors val="0"/>
        <c:ser>
          <c:idx val="0"/>
          <c:order val="0"/>
          <c:tx>
            <c:strRef>
              <c:f>'Solution Bendit'!$N$4</c:f>
              <c:strCache>
                <c:ptCount val="1"/>
                <c:pt idx="0">
                  <c:v>Fin tensile load, lb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Bendit'!$L$5:$L$405</c:f>
              <c:numCache>
                <c:formatCode>General</c:formatCode>
                <c:ptCount val="401"/>
              </c:numCache>
            </c:numRef>
          </c:xVal>
          <c:yVal>
            <c:numRef>
              <c:f>'Solution Bendit'!$N$5:$N$405</c:f>
              <c:numCache>
                <c:formatCode>General</c:formatCode>
                <c:ptCount val="401"/>
              </c:numCache>
            </c:numRef>
          </c:yVal>
          <c:smooth val="0"/>
        </c:ser>
        <c:axId val="21259255"/>
        <c:axId val="39564374"/>
      </c:scatterChart>
      <c:valAx>
        <c:axId val="21259255"/>
        <c:scaling>
          <c:orientation val="minMax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Fin Spanwise Ordinate, in, from Fin Root</a:t>
                </a:r>
              </a:p>
            </c:rich>
          </c:tx>
          <c:layout>
            <c:manualLayout>
              <c:xMode val="edge"/>
              <c:yMode val="edge"/>
              <c:x val="0.334197574266128"/>
              <c:y val="0.91419737181138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564374"/>
        <c:crossesAt val="0"/>
        <c:crossBetween val="midCat"/>
      </c:valAx>
      <c:valAx>
        <c:axId val="39564374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1259255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1968711548603"/>
          <c:y val="0.134673194193936"/>
          <c:w val="0.277509228335384"/>
          <c:h val="0.121188697071202"/>
        </c:manualLayout>
      </c:layout>
      <c:overlay val="0"/>
      <c:spPr>
        <a:solidFill>
          <a:srgbClr val="ffffff"/>
        </a:solidFill>
        <a:ln w="12600">
          <a:solidFill>
            <a:srgbClr val="666699"/>
          </a:solidFill>
          <a:round/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40" b="1" u="none" strike="noStrike">
                <a:solidFill>
                  <a:srgbClr val="000000"/>
                </a:solidFill>
                <a:uFillTx/>
                <a:latin typeface="Arial"/>
              </a:rPr>
              <a:t>Second Stage </a:t>
            </a:r>
            <a:r>
              <a:rPr sz="1800" b="1" u="none" strike="noStrike">
                <a:solidFill>
                  <a:srgbClr val="000000"/>
                </a:solidFill>
                <a:uFillTx/>
                <a:latin typeface="Arial"/>
              </a:rPr>
              <a:t>Fin tensile load, lb</a:t>
            </a:r>
          </a:p>
        </c:rich>
      </c:tx>
      <c:layout>
        <c:manualLayout>
          <c:xMode val="edge"/>
          <c:yMode val="edge"/>
          <c:x val="0.255957867017775"/>
          <c:y val="0.028239345673697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7289883695414"/>
          <c:y val="0.113129573826948"/>
          <c:w val="0.918104015799868"/>
          <c:h val="0.846922083512699"/>
        </c:manualLayout>
      </c:layout>
      <c:scatterChart>
        <c:scatterStyle val="line"/>
        <c:varyColors val="0"/>
        <c:ser>
          <c:idx val="0"/>
          <c:order val="0"/>
          <c:tx>
            <c:strRef>
              <c:f>'Solution Bendit'!$R$4</c:f>
              <c:strCache>
                <c:ptCount val="1"/>
                <c:pt idx="0">
                  <c:v>Fin tensile load, lb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'Solution Bendit'!$P$5:$P$106</c:f>
              <c:numCache>
                <c:formatCode>General</c:formatCode>
                <c:ptCount val="102"/>
              </c:numCache>
            </c:numRef>
          </c:xVal>
          <c:yVal>
            <c:numRef>
              <c:f>'Solution Bendit'!$R$5:$R$106</c:f>
              <c:numCache>
                <c:formatCode>General</c:formatCode>
                <c:ptCount val="102"/>
              </c:numCache>
            </c:numRef>
          </c:yVal>
          <c:smooth val="0"/>
        </c:ser>
        <c:axId val="66695400"/>
        <c:axId val="21793072"/>
      </c:scatterChart>
      <c:valAx>
        <c:axId val="66695400"/>
        <c:scaling>
          <c:orientation val="minMax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Fin Spanwise Ordinate, in, from Fin Root</a:t>
                </a:r>
              </a:p>
            </c:rich>
          </c:tx>
          <c:layout>
            <c:manualLayout>
              <c:xMode val="edge"/>
              <c:yMode val="edge"/>
              <c:x val="0.333728330041694"/>
              <c:y val="0.91390443392165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1793072"/>
        <c:crossesAt val="0"/>
        <c:crossBetween val="midCat"/>
      </c:valAx>
      <c:valAx>
        <c:axId val="21793072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6695400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02699144173799"/>
          <c:y val="0.132501076194576"/>
          <c:w val="0.277156023699803"/>
          <c:h val="0.136719758932415"/>
        </c:manualLayout>
      </c:layout>
      <c:overlay val="0"/>
      <c:spPr>
        <a:solidFill>
          <a:srgbClr val="ffffff"/>
        </a:solidFill>
        <a:ln w="12600">
          <a:solidFill>
            <a:srgbClr val="666699"/>
          </a:solidFill>
          <a:round/>
        </a:ln>
      </c:spPr>
      <c:txPr>
        <a:bodyPr/>
        <a:lstStyle/>
        <a:p>
          <a:pPr>
            <a:defRPr sz="12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60840</xdr:colOff>
      <xdr:row>19</xdr:row>
      <xdr:rowOff>516240</xdr:rowOff>
    </xdr:from>
    <xdr:to>
      <xdr:col>14</xdr:col>
      <xdr:colOff>434520</xdr:colOff>
      <xdr:row>28</xdr:row>
      <xdr:rowOff>133200</xdr:rowOff>
    </xdr:to>
    <xdr:grpSp>
      <xdr:nvGrpSpPr>
        <xdr:cNvPr id="1" name="Group 14"/>
        <xdr:cNvGrpSpPr/>
      </xdr:nvGrpSpPr>
      <xdr:grpSpPr>
        <a:xfrm>
          <a:off x="11160000" y="8622000"/>
          <a:ext cx="5757120" cy="2569680"/>
          <a:chOff x="11160000" y="8622000"/>
          <a:chExt cx="5757120" cy="2569680"/>
        </a:xfrm>
      </xdr:grpSpPr>
      <xdr:sp>
        <xdr:nvSpPr>
          <xdr:cNvPr id="2" name="Rectangle 2"/>
          <xdr:cNvSpPr/>
        </xdr:nvSpPr>
        <xdr:spPr>
          <a:xfrm>
            <a:off x="11160000" y="8622000"/>
            <a:ext cx="5757120" cy="2569680"/>
          </a:xfrm>
          <a:prstGeom prst="rect">
            <a:avLst/>
          </a:prstGeom>
          <a:solidFill>
            <a:srgbClr val="ffffff"/>
          </a:solidFill>
          <a:ln w="25560">
            <a:solidFill>
              <a:srgbClr val="385d8a"/>
            </a:solidFill>
            <a:miter/>
          </a:ln>
        </xdr:spPr>
        <xdr:style>
          <a:lnRef idx="0"/>
          <a:fillRef idx="0"/>
          <a:effectRef idx="0"/>
          <a:fontRef idx="minor"/>
        </xdr:style>
        <xdr:txBody>
          <a:bodyPr lIns="90000" rIns="90000" tIns="46800" bIns="46800" anchor="ctr">
            <a:noAutofit/>
          </a:bodyPr>
          <a:p>
            <a:pPr algn="ctr"/>
            <a:r>
              <a:rPr lang="en-US" sz="1100" b="0" u="none" strike="noStrike">
                <a:solidFill>
                  <a:srgbClr val="ffffff"/>
                </a:solidFill>
                <a:effectLst/>
                <a:uFillTx/>
                <a:latin typeface="Calibri"/>
              </a:rPr>
              <a:t>fpr</a:t>
            </a:r>
            <a:endParaRPr lang="en-US" sz="1100" b="0" u="none" strike="noStrike">
              <a:effectLst/>
              <a:uFillTx/>
              <a:latin typeface="Times New Roman"/>
            </a:endParaRPr>
          </a:p>
        </xdr:txBody>
      </xdr:sp>
      <xdr:grpSp>
        <xdr:nvGrpSpPr>
          <xdr:cNvPr id="3" name="Group 10"/>
          <xdr:cNvGrpSpPr/>
        </xdr:nvGrpSpPr>
        <xdr:grpSpPr>
          <a:xfrm>
            <a:off x="11604240" y="9510480"/>
            <a:ext cx="4999320" cy="1044720"/>
            <a:chOff x="11604240" y="9510480"/>
            <a:chExt cx="4999320" cy="1044720"/>
          </a:xfrm>
        </xdr:grpSpPr>
        <xdr:grpSp>
          <xdr:nvGrpSpPr>
            <xdr:cNvPr id="4" name="Group 6"/>
            <xdr:cNvGrpSpPr/>
          </xdr:nvGrpSpPr>
          <xdr:grpSpPr>
            <a:xfrm>
              <a:off x="11604240" y="9861480"/>
              <a:ext cx="4594680" cy="299520"/>
              <a:chOff x="11604240" y="9861480"/>
              <a:chExt cx="4594680" cy="299520"/>
            </a:xfrm>
          </xdr:grpSpPr>
          <xdr:sp>
            <xdr:nvSpPr>
              <xdr:cNvPr id="5" name="Flowchart: Decision 4"/>
              <xdr:cNvSpPr/>
            </xdr:nvSpPr>
            <xdr:spPr>
              <a:xfrm>
                <a:off x="11604240" y="9861480"/>
                <a:ext cx="2050920" cy="290160"/>
              </a:xfrm>
              <a:prstGeom prst="flowChartDecision">
                <a:avLst/>
              </a:prstGeom>
              <a:solidFill>
                <a:srgbClr val="4f81bd"/>
              </a:solidFill>
              <a:ln w="0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</xdr:sp>
          <xdr:sp>
            <xdr:nvSpPr>
              <xdr:cNvPr id="6" name="Rectangle 5"/>
              <xdr:cNvSpPr/>
            </xdr:nvSpPr>
            <xdr:spPr>
              <a:xfrm>
                <a:off x="12629520" y="9861480"/>
                <a:ext cx="3569400" cy="299520"/>
              </a:xfrm>
              <a:prstGeom prst="rect">
                <a:avLst/>
              </a:prstGeom>
              <a:solidFill>
                <a:srgbClr val="4f81bd"/>
              </a:solidFill>
              <a:ln w="0">
                <a:noFill/>
              </a:ln>
            </xdr:spPr>
            <xdr:style>
              <a:lnRef idx="0"/>
              <a:fillRef idx="0"/>
              <a:effectRef idx="0"/>
              <a:fontRef idx="minor"/>
            </xdr:style>
          </xdr:sp>
        </xdr:grpSp>
        <xdr:sp>
          <xdr:nvSpPr>
            <xdr:cNvPr id="7" name="Pentagon 8"/>
            <xdr:cNvSpPr/>
          </xdr:nvSpPr>
          <xdr:spPr>
            <a:xfrm flipH="1">
              <a:off x="16080120" y="9510480"/>
              <a:ext cx="523080" cy="1044720"/>
            </a:xfrm>
            <a:custGeom>
              <a:avLst/>
              <a:gdLst>
                <a:gd name="textAreaLeft" fmla="*/ -360 w 523080"/>
                <a:gd name="textAreaRight" fmla="*/ 523080 w 523080"/>
                <a:gd name="textAreaTop" fmla="*/ 0 h 1044720"/>
                <a:gd name="textAreaBottom" fmla="*/ 1045080 h 1044720"/>
              </a:gdLst>
              <a:ahLst/>
              <a:cxnLst/>
              <a:rect l="textAreaLeft" t="textAreaTop" r="textAreaRight" b="textAreaBottom"/>
              <a:pathLst>
                <a:path w="21600" h="21600">
                  <a:moveTo>
                    <a:pt x="0" y="0"/>
                  </a:moveTo>
                  <a:lnTo>
                    <a:pt x="10800" y="0"/>
                  </a:lnTo>
                  <a:lnTo>
                    <a:pt x="21600" y="10800"/>
                  </a:lnTo>
                  <a:lnTo>
                    <a:pt x="10800" y="21600"/>
                  </a:lnTo>
                  <a:lnTo>
                    <a:pt x="0" y="21600"/>
                  </a:lnTo>
                  <a:close/>
                </a:path>
              </a:pathLst>
            </a:custGeom>
            <a:solidFill>
              <a:srgbClr val="4f81bd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8" name="Pentagon 10"/>
            <xdr:cNvSpPr/>
          </xdr:nvSpPr>
          <xdr:spPr>
            <a:xfrm flipH="1">
              <a:off x="14399280" y="9510480"/>
              <a:ext cx="523080" cy="1044720"/>
            </a:xfrm>
            <a:custGeom>
              <a:avLst/>
              <a:gdLst>
                <a:gd name="textAreaLeft" fmla="*/ -360 w 523080"/>
                <a:gd name="textAreaRight" fmla="*/ 523080 w 523080"/>
                <a:gd name="textAreaTop" fmla="*/ 0 h 1044720"/>
                <a:gd name="textAreaBottom" fmla="*/ 1045080 h 1044720"/>
              </a:gdLst>
              <a:ahLst/>
              <a:cxnLst/>
              <a:rect l="textAreaLeft" t="textAreaTop" r="textAreaRight" b="textAreaBottom"/>
              <a:pathLst>
                <a:path w="21600" h="21600">
                  <a:moveTo>
                    <a:pt x="0" y="0"/>
                  </a:moveTo>
                  <a:lnTo>
                    <a:pt x="10800" y="0"/>
                  </a:lnTo>
                  <a:lnTo>
                    <a:pt x="21600" y="10800"/>
                  </a:lnTo>
                  <a:lnTo>
                    <a:pt x="10800" y="21600"/>
                  </a:lnTo>
                  <a:lnTo>
                    <a:pt x="0" y="21600"/>
                  </a:lnTo>
                  <a:close/>
                </a:path>
              </a:pathLst>
            </a:custGeom>
            <a:solidFill>
              <a:srgbClr val="4f81bd"/>
            </a:solidFill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9" name="Group 14"/>
          <xdr:cNvGrpSpPr/>
        </xdr:nvGrpSpPr>
        <xdr:grpSpPr>
          <a:xfrm>
            <a:off x="14139720" y="10627920"/>
            <a:ext cx="2622240" cy="271800"/>
            <a:chOff x="14139720" y="10627920"/>
            <a:chExt cx="2622240" cy="271800"/>
          </a:xfrm>
        </xdr:grpSpPr>
        <xdr:sp>
          <xdr:nvSpPr>
            <xdr:cNvPr id="10" name="TextBox 6"/>
            <xdr:cNvSpPr/>
          </xdr:nvSpPr>
          <xdr:spPr>
            <a:xfrm>
              <a:off x="14139720" y="10627920"/>
              <a:ext cx="905400" cy="2718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lIns="90000" rIns="90000" tIns="46800" bIns="46800" anchor="t">
              <a:spAutoFit/>
            </a:bodyPr>
            <a:p>
              <a:r>
                <a:rPr lang="en-US" sz="1400" b="1" u="none" strike="noStrike">
                  <a:solidFill>
                    <a:srgbClr val="000000"/>
                  </a:solidFill>
                  <a:effectLst/>
                  <a:uFillTx/>
                  <a:latin typeface="Calibri"/>
                </a:rPr>
                <a:t>2nd Stage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11" name="TextBox 7"/>
            <xdr:cNvSpPr/>
          </xdr:nvSpPr>
          <xdr:spPr>
            <a:xfrm>
              <a:off x="15916680" y="10627920"/>
              <a:ext cx="845280" cy="271800"/>
            </a:xfrm>
            <a:prstGeom prst="rect">
              <a:avLst/>
            </a:prstGeom>
            <a:noFill/>
            <a:ln w="0">
              <a:noFill/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lIns="90000" rIns="90000" tIns="46800" bIns="46800" anchor="t">
              <a:spAutoFit/>
            </a:bodyPr>
            <a:p>
              <a:r>
                <a:rPr lang="en-US" sz="1400" b="1" u="none" strike="noStrike">
                  <a:solidFill>
                    <a:srgbClr val="000000"/>
                  </a:solidFill>
                  <a:effectLst/>
                  <a:uFillTx/>
                  <a:latin typeface="Calibri"/>
                </a:rPr>
                <a:t>1st Stage</a:t>
              </a:r>
              <a:endParaRPr lang="en-US" sz="1400" b="0" u="none" strike="noStrike">
                <a:effectLst/>
                <a:uFillTx/>
                <a:latin typeface="Times New Roman"/>
              </a:endParaRPr>
            </a:p>
          </xdr:txBody>
        </xdr:sp>
      </xdr:grpSp>
      <xdr:sp>
        <xdr:nvSpPr>
          <xdr:cNvPr id="12" name="TextBox 5"/>
          <xdr:cNvSpPr/>
        </xdr:nvSpPr>
        <xdr:spPr>
          <a:xfrm>
            <a:off x="12297240" y="8802720"/>
            <a:ext cx="3482640" cy="513720"/>
          </a:xfrm>
          <a:prstGeom prst="rect">
            <a:avLst/>
          </a:prstGeom>
          <a:noFill/>
          <a:ln w="0">
            <a:noFill/>
          </a:ln>
        </xdr:spPr>
        <xdr:style>
          <a:lnRef idx="0"/>
          <a:fillRef idx="0"/>
          <a:effectRef idx="0"/>
          <a:fontRef idx="minor"/>
        </xdr:style>
        <xdr:txBody>
          <a:bodyPr wrap="none" lIns="90000" rIns="90000" tIns="46800" bIns="46800" anchor="t">
            <a:noAutofit/>
          </a:bodyPr>
          <a:p>
            <a:r>
              <a:rPr lang="en-US" sz="2000" b="1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2 Stage Rocket Nomenclature</a:t>
            </a:r>
            <a:endParaRPr lang="en-US" sz="20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oneCell">
    <xdr:from>
      <xdr:col>4</xdr:col>
      <xdr:colOff>110160</xdr:colOff>
      <xdr:row>1</xdr:row>
      <xdr:rowOff>75960</xdr:rowOff>
    </xdr:from>
    <xdr:to>
      <xdr:col>8</xdr:col>
      <xdr:colOff>243000</xdr:colOff>
      <xdr:row>5</xdr:row>
      <xdr:rowOff>66960</xdr:rowOff>
    </xdr:to>
    <xdr:grpSp>
      <xdr:nvGrpSpPr>
        <xdr:cNvPr id="13" name="Group 17"/>
        <xdr:cNvGrpSpPr/>
      </xdr:nvGrpSpPr>
      <xdr:grpSpPr>
        <a:xfrm>
          <a:off x="5161680" y="266400"/>
          <a:ext cx="5094000" cy="1515240"/>
          <a:chOff x="5161680" y="266400"/>
          <a:chExt cx="5094000" cy="1515240"/>
        </a:xfrm>
      </xdr:grpSpPr>
      <xdr:sp>
        <xdr:nvSpPr>
          <xdr:cNvPr id="14" name="Rectangle 14"/>
          <xdr:cNvSpPr/>
        </xdr:nvSpPr>
        <xdr:spPr>
          <a:xfrm>
            <a:off x="5161680" y="266400"/>
            <a:ext cx="5094000" cy="1515240"/>
          </a:xfrm>
          <a:prstGeom prst="rect">
            <a:avLst/>
          </a:prstGeom>
          <a:gradFill rotWithShape="0">
            <a:gsLst>
              <a:gs pos="0">
                <a:srgbClr val="bcbcbc"/>
              </a:gs>
              <a:gs pos="100000">
                <a:srgbClr val="ededed"/>
              </a:gs>
            </a:gsLst>
            <a:lin ang="16200000"/>
          </a:gradFill>
          <a:ln w="9360">
            <a:solidFill>
              <a:srgbClr val="000000"/>
            </a:solidFill>
            <a:miter/>
          </a:ln>
          <a:effectLst>
            <a:outerShdw dist="20160" dir="5400000" rotWithShape="0">
              <a:srgbClr val="000000">
                <a:alpha val="38000"/>
              </a:srgbClr>
            </a:outerShdw>
          </a:effectLst>
        </xdr:spPr>
        <xdr:style>
          <a:lnRef idx="0"/>
          <a:fillRef idx="0"/>
          <a:effectRef idx="0"/>
          <a:fontRef idx="minor"/>
        </xdr:style>
        <xdr:txBody>
          <a:bodyPr lIns="90000" rIns="90000" tIns="46800" bIns="46800" anchor="ctr">
            <a:noAutofit/>
          </a:bodyPr>
          <a:p>
            <a:pPr algn="ctr"/>
            <a:r>
              <a:rPr lang="en-US" sz="1200" b="1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Rocket Science and Engineering Technologies</a:t>
            </a:r>
            <a:endParaRPr lang="en-US" sz="1200" b="0" u="none" strike="noStrike">
              <a:effectLst/>
              <a:uFillTx/>
              <a:latin typeface="Times New Roman"/>
            </a:endParaRPr>
          </a:p>
          <a:p>
            <a:pPr algn="ctr"/>
            <a:r>
              <a:rPr lang="en-US" sz="1400" b="1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BENDIT 7</a:t>
            </a:r>
            <a:endParaRPr lang="en-US" sz="1400" b="0" u="none" strike="noStrike">
              <a:effectLst/>
              <a:uFillTx/>
              <a:latin typeface="Times New Roman"/>
            </a:endParaRPr>
          </a:p>
          <a:p>
            <a:pPr algn="ctr"/>
            <a:endParaRPr lang="en-US" sz="1400" b="0" u="none" strike="noStrike">
              <a:effectLst/>
              <a:uFillTx/>
              <a:latin typeface="Times New Roman"/>
            </a:endParaRPr>
          </a:p>
          <a:p>
            <a:pPr algn="ctr"/>
            <a:endParaRPr lang="en-US" sz="1400" b="0" u="none" strike="noStrike">
              <a:effectLst/>
              <a:uFillTx/>
              <a:latin typeface="Times New Roman"/>
            </a:endParaRPr>
          </a:p>
          <a:p>
            <a:pPr algn="ctr"/>
            <a:endParaRPr lang="en-US" sz="1400" b="0" u="none" strike="noStrike">
              <a:effectLst/>
              <a:uFillTx/>
              <a:latin typeface="Times New Roman"/>
            </a:endParaRPr>
          </a:p>
          <a:p>
            <a:pPr algn="ctr"/>
            <a:r>
              <a:rPr lang="en-US" sz="1200" b="1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Written By: Charley Hoult, Armando Fuentes, Hien Tran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15" name="Rectangle 13"/>
          <xdr:cNvSpPr/>
        </xdr:nvSpPr>
        <xdr:spPr>
          <a:xfrm>
            <a:off x="5403240" y="914400"/>
            <a:ext cx="2164320" cy="333360"/>
          </a:xfrm>
          <a:prstGeom prst="rect">
            <a:avLst/>
          </a:prstGeom>
          <a:gradFill rotWithShape="0">
            <a:gsLst>
              <a:gs pos="0">
                <a:srgbClr val="769535"/>
              </a:gs>
              <a:gs pos="100000">
                <a:srgbClr val="9cc746"/>
              </a:gs>
            </a:gsLst>
            <a:lin ang="16200000"/>
          </a:gradFill>
          <a:ln w="9360">
            <a:solidFill>
              <a:srgbClr val="98b954"/>
            </a:solidFill>
            <a:miter/>
          </a:ln>
          <a:effectLst>
            <a:outerShdw dist="23040" dir="5400000" rotWithShape="0">
              <a:srgbClr val="000000">
                <a:alpha val="35000"/>
              </a:srgbClr>
            </a:outerShdw>
          </a:effectLst>
        </xdr:spPr>
        <xdr:style>
          <a:lnRef idx="0"/>
          <a:fillRef idx="0"/>
          <a:effectRef idx="0"/>
          <a:fontRef idx="minor"/>
        </xdr:style>
        <xdr:txBody>
          <a:bodyPr lIns="90000" rIns="90000" tIns="46800" bIns="46800" anchor="ctr">
            <a:noAutofit/>
          </a:bodyPr>
          <a:p>
            <a:pPr algn="ctr"/>
            <a:r>
              <a:rPr lang="en-US" sz="1600" b="1" u="none" strike="noStrike">
                <a:solidFill>
                  <a:srgbClr val="ffffff"/>
                </a:solidFill>
                <a:effectLst/>
                <a:uFillTx/>
                <a:latin typeface="Calibri"/>
              </a:rPr>
              <a:t>Run BENDIT</a:t>
            </a:r>
            <a:endParaRPr lang="en-US" sz="16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16" name="Rectangle 15"/>
          <xdr:cNvSpPr/>
        </xdr:nvSpPr>
        <xdr:spPr>
          <a:xfrm>
            <a:off x="7849800" y="914400"/>
            <a:ext cx="2164320" cy="333360"/>
          </a:xfrm>
          <a:prstGeom prst="rect">
            <a:avLst/>
          </a:prstGeom>
          <a:solidFill>
            <a:srgbClr val="bfbfbf"/>
          </a:solidFill>
          <a:ln w="9360">
            <a:solidFill>
              <a:srgbClr val="000000"/>
            </a:solidFill>
            <a:miter/>
          </a:ln>
          <a:effectLst>
            <a:outerShdw dist="23040" dir="5400000" rotWithShape="0">
              <a:srgbClr val="000000">
                <a:alpha val="35000"/>
              </a:srgbClr>
            </a:outerShdw>
          </a:effectLst>
        </xdr:spPr>
        <xdr:style>
          <a:lnRef idx="0"/>
          <a:fillRef idx="0"/>
          <a:effectRef idx="0"/>
          <a:fontRef idx="minor"/>
        </xdr:style>
        <xdr:txBody>
          <a:bodyPr lIns="90000" rIns="90000" tIns="46800" bIns="46800" anchor="ctr">
            <a:noAutofit/>
          </a:bodyPr>
          <a:p>
            <a:pPr algn="ctr"/>
            <a:r>
              <a:rPr lang="en-US" sz="1600" b="1" u="none" strike="noStrike">
                <a:solidFill>
                  <a:srgbClr val="000000"/>
                </a:solidFill>
                <a:effectLst/>
                <a:uFillTx/>
                <a:latin typeface="Calibri"/>
              </a:rPr>
              <a:t>Clear BENDIT</a:t>
            </a:r>
            <a:endParaRPr lang="en-US" sz="16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53</xdr:row>
      <xdr:rowOff>180720</xdr:rowOff>
    </xdr:from>
    <xdr:to>
      <xdr:col>9</xdr:col>
      <xdr:colOff>947520</xdr:colOff>
      <xdr:row>78</xdr:row>
      <xdr:rowOff>66960</xdr:rowOff>
    </xdr:to>
    <xdr:graphicFrame>
      <xdr:nvGraphicFramePr>
        <xdr:cNvPr id="17" name="Chart 1"/>
        <xdr:cNvGraphicFramePr/>
      </xdr:nvGraphicFramePr>
      <xdr:xfrm>
        <a:off x="0" y="11067840"/>
        <a:ext cx="9732240" cy="464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9</xdr:col>
      <xdr:colOff>937080</xdr:colOff>
      <xdr:row>53</xdr:row>
      <xdr:rowOff>85680</xdr:rowOff>
    </xdr:to>
    <xdr:graphicFrame>
      <xdr:nvGraphicFramePr>
        <xdr:cNvPr id="18" name="Chart 2"/>
        <xdr:cNvGraphicFramePr/>
      </xdr:nvGraphicFramePr>
      <xdr:xfrm>
        <a:off x="0" y="6315120"/>
        <a:ext cx="9721800" cy="46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79</xdr:row>
      <xdr:rowOff>9720</xdr:rowOff>
    </xdr:from>
    <xdr:to>
      <xdr:col>9</xdr:col>
      <xdr:colOff>967320</xdr:colOff>
      <xdr:row>103</xdr:row>
      <xdr:rowOff>85680</xdr:rowOff>
    </xdr:to>
    <xdr:graphicFrame>
      <xdr:nvGraphicFramePr>
        <xdr:cNvPr id="19" name="Chart 3"/>
        <xdr:cNvGraphicFramePr/>
      </xdr:nvGraphicFramePr>
      <xdr:xfrm>
        <a:off x="0" y="15849720"/>
        <a:ext cx="9752040" cy="464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381960</xdr:colOff>
      <xdr:row>28</xdr:row>
      <xdr:rowOff>57240</xdr:rowOff>
    </xdr:from>
    <xdr:to>
      <xdr:col>18</xdr:col>
      <xdr:colOff>141480</xdr:colOff>
      <xdr:row>50</xdr:row>
      <xdr:rowOff>57600</xdr:rowOff>
    </xdr:to>
    <xdr:graphicFrame>
      <xdr:nvGraphicFramePr>
        <xdr:cNvPr id="20" name="Chart 4"/>
        <xdr:cNvGraphicFramePr/>
      </xdr:nvGraphicFramePr>
      <xdr:xfrm>
        <a:off x="10243440" y="6181920"/>
        <a:ext cx="8191800" cy="419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381960</xdr:colOff>
      <xdr:row>72</xdr:row>
      <xdr:rowOff>104760</xdr:rowOff>
    </xdr:from>
    <xdr:to>
      <xdr:col>18</xdr:col>
      <xdr:colOff>151920</xdr:colOff>
      <xdr:row>94</xdr:row>
      <xdr:rowOff>95040</xdr:rowOff>
    </xdr:to>
    <xdr:graphicFrame>
      <xdr:nvGraphicFramePr>
        <xdr:cNvPr id="21" name="Chart 6"/>
        <xdr:cNvGraphicFramePr/>
      </xdr:nvGraphicFramePr>
      <xdr:xfrm>
        <a:off x="10243440" y="14611320"/>
        <a:ext cx="8202240" cy="418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50400</xdr:colOff>
      <xdr:row>29</xdr:row>
      <xdr:rowOff>28080</xdr:rowOff>
    </xdr:from>
    <xdr:to>
      <xdr:col>27</xdr:col>
      <xdr:colOff>30240</xdr:colOff>
      <xdr:row>53</xdr:row>
      <xdr:rowOff>37800</xdr:rowOff>
    </xdr:to>
    <xdr:graphicFrame>
      <xdr:nvGraphicFramePr>
        <xdr:cNvPr id="22" name="Chart 7"/>
        <xdr:cNvGraphicFramePr/>
      </xdr:nvGraphicFramePr>
      <xdr:xfrm>
        <a:off x="19380600" y="6343200"/>
        <a:ext cx="8704080" cy="458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20520</xdr:colOff>
      <xdr:row>54</xdr:row>
      <xdr:rowOff>0</xdr:rowOff>
    </xdr:from>
    <xdr:to>
      <xdr:col>26</xdr:col>
      <xdr:colOff>866520</xdr:colOff>
      <xdr:row>78</xdr:row>
      <xdr:rowOff>9720</xdr:rowOff>
    </xdr:to>
    <xdr:graphicFrame>
      <xdr:nvGraphicFramePr>
        <xdr:cNvPr id="23" name="Chart 8"/>
        <xdr:cNvGraphicFramePr/>
      </xdr:nvGraphicFramePr>
      <xdr:xfrm>
        <a:off x="19350720" y="11077560"/>
        <a:ext cx="8654400" cy="458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381960</xdr:colOff>
      <xdr:row>50</xdr:row>
      <xdr:rowOff>85680</xdr:rowOff>
    </xdr:from>
    <xdr:to>
      <xdr:col>18</xdr:col>
      <xdr:colOff>141480</xdr:colOff>
      <xdr:row>72</xdr:row>
      <xdr:rowOff>85680</xdr:rowOff>
    </xdr:to>
    <xdr:graphicFrame>
      <xdr:nvGraphicFramePr>
        <xdr:cNvPr id="24" name="Chart 9"/>
        <xdr:cNvGraphicFramePr/>
      </xdr:nvGraphicFramePr>
      <xdr:xfrm>
        <a:off x="10243440" y="10401120"/>
        <a:ext cx="8191800" cy="4191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392040</xdr:colOff>
      <xdr:row>94</xdr:row>
      <xdr:rowOff>142920</xdr:rowOff>
    </xdr:from>
    <xdr:to>
      <xdr:col>18</xdr:col>
      <xdr:colOff>162000</xdr:colOff>
      <xdr:row>116</xdr:row>
      <xdr:rowOff>133200</xdr:rowOff>
    </xdr:to>
    <xdr:graphicFrame>
      <xdr:nvGraphicFramePr>
        <xdr:cNvPr id="25" name="Chart 10"/>
        <xdr:cNvGraphicFramePr/>
      </xdr:nvGraphicFramePr>
      <xdr:xfrm>
        <a:off x="10253520" y="18840600"/>
        <a:ext cx="8202240" cy="418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16.84"/>
    <col collapsed="false" customWidth="true" hidden="false" outlineLevel="0" max="3" min="2" style="0" width="17.56"/>
    <col collapsed="false" customWidth="true" hidden="false" outlineLevel="0" max="4" min="4" style="0" width="19.7"/>
    <col collapsed="false" customWidth="true" hidden="false" outlineLevel="0" max="5" min="5" style="0" width="17.99"/>
    <col collapsed="false" customWidth="true" hidden="false" outlineLevel="0" max="6" min="6" style="0" width="17.85"/>
    <col collapsed="false" customWidth="true" hidden="false" outlineLevel="0" max="7" min="7" style="0" width="18.7"/>
    <col collapsed="false" customWidth="true" hidden="false" outlineLevel="0" max="8" min="8" style="0" width="15.85"/>
    <col collapsed="false" customWidth="true" hidden="false" outlineLevel="0" max="9" min="9" style="0" width="15.41"/>
    <col collapsed="false" customWidth="true" hidden="false" outlineLevel="0" max="10" min="10" style="0" width="13.56"/>
    <col collapsed="false" customWidth="true" hidden="false" outlineLevel="0" max="11" min="11" style="0" width="12.28"/>
    <col collapsed="false" customWidth="true" hidden="false" outlineLevel="0" max="12" min="12" style="0" width="14.7"/>
    <col collapsed="false" customWidth="true" hidden="false" outlineLevel="0" max="13" min="13" style="0" width="19.85"/>
    <col collapsed="false" customWidth="true" hidden="false" outlineLevel="0" max="14" min="14" style="0" width="15.99"/>
    <col collapsed="false" customWidth="true" hidden="false" outlineLevel="0" max="15" min="15" style="0" width="16.13"/>
    <col collapsed="false" customWidth="true" hidden="false" outlineLevel="0" max="16" min="16" style="0" width="14.14"/>
    <col collapsed="false" customWidth="true" hidden="false" outlineLevel="0" max="17" min="17" style="0" width="13.7"/>
    <col collapsed="false" customWidth="true" hidden="false" outlineLevel="0" max="18" min="18" style="0" width="11.42"/>
  </cols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  <c r="J1" s="0" t="n">
        <v>10</v>
      </c>
      <c r="K1" s="0" t="n">
        <v>11</v>
      </c>
      <c r="L1" s="0" t="n">
        <v>12</v>
      </c>
      <c r="M1" s="0" t="n">
        <v>13</v>
      </c>
      <c r="N1" s="0" t="n">
        <v>14</v>
      </c>
      <c r="O1" s="0" t="n">
        <v>15</v>
      </c>
      <c r="P1" s="0" t="n">
        <v>16</v>
      </c>
      <c r="Q1" s="0" t="n">
        <v>17</v>
      </c>
      <c r="R1" s="0" t="n">
        <v>18</v>
      </c>
    </row>
    <row r="3" customFormat="false" ht="75" hidden="false" customHeight="false" outlineLevel="0" collapsed="false">
      <c r="A3" s="1" t="s">
        <v>0</v>
      </c>
      <c r="B3" s="2" t="n">
        <v>1</v>
      </c>
      <c r="C3" s="3" t="str">
        <f aca="false">IF(B3&lt;3,IF(B3&gt;0,"","&lt;- Error"),"&lt;- Error")</f>
        <v/>
      </c>
      <c r="D3" s="1" t="s">
        <v>1</v>
      </c>
    </row>
    <row r="4" customFormat="false" ht="15" hidden="false" customHeight="false" outlineLevel="0" collapsed="false">
      <c r="A4" s="1" t="s">
        <v>2</v>
      </c>
      <c r="B4" s="4" t="n">
        <f aca="false">PI()</f>
        <v>3.14159265358979</v>
      </c>
      <c r="D4" s="2" t="n">
        <v>1</v>
      </c>
      <c r="E4" s="3" t="str">
        <f aca="false">IF(D4&lt;4,IF(D4&gt;0,"","&lt;- Error"),"&lt;- Error")</f>
        <v/>
      </c>
      <c r="H4" s="5"/>
      <c r="I4" s="5"/>
    </row>
    <row r="5" customFormat="false" ht="15" hidden="false" customHeight="false" outlineLevel="0" collapsed="false">
      <c r="A5" s="1" t="s">
        <v>3</v>
      </c>
      <c r="B5" s="4" t="n">
        <v>32.174</v>
      </c>
      <c r="I5" s="5"/>
    </row>
    <row r="6" customFormat="false" ht="15" hidden="false" customHeight="false" outlineLevel="0" collapsed="false">
      <c r="A6" s="1" t="s">
        <v>4</v>
      </c>
      <c r="B6" s="4" t="n">
        <f aca="false">PI()/180</f>
        <v>0.0174532925199433</v>
      </c>
      <c r="I6" s="5"/>
    </row>
    <row r="8" customFormat="false" ht="15.75" hidden="false" customHeight="false" outlineLevel="0" collapsed="false">
      <c r="A8" s="6" t="s">
        <v>5</v>
      </c>
      <c r="B8" s="6"/>
      <c r="C8" s="6"/>
      <c r="D8" s="6"/>
      <c r="E8" s="6"/>
      <c r="F8" s="6"/>
      <c r="G8" s="6"/>
      <c r="H8" s="6"/>
      <c r="J8" s="7" t="s">
        <v>6</v>
      </c>
      <c r="K8" s="7"/>
      <c r="L8" s="7"/>
      <c r="M8" s="7"/>
      <c r="N8" s="7"/>
      <c r="O8" s="7"/>
      <c r="P8" s="7"/>
      <c r="Q8" s="7"/>
      <c r="R8" s="7"/>
    </row>
    <row r="9" customFormat="false" ht="64.5" hidden="false" customHeight="true" outlineLevel="0" collapsed="false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8" t="s">
        <v>14</v>
      </c>
      <c r="J9" s="1" t="s">
        <v>15</v>
      </c>
      <c r="K9" s="1" t="s">
        <v>16</v>
      </c>
      <c r="L9" s="1" t="s">
        <v>17</v>
      </c>
      <c r="M9" s="1" t="s">
        <v>18</v>
      </c>
      <c r="N9" s="9" t="s">
        <v>19</v>
      </c>
      <c r="O9" s="1" t="s">
        <v>20</v>
      </c>
      <c r="P9" s="1" t="s">
        <v>21</v>
      </c>
      <c r="Q9" s="1" t="s">
        <v>22</v>
      </c>
      <c r="R9" s="1" t="s">
        <v>23</v>
      </c>
    </row>
    <row r="10" customFormat="false" ht="15" hidden="false" customHeight="false" outlineLevel="0" collapsed="false">
      <c r="A10" s="2" t="n">
        <v>3366.17</v>
      </c>
      <c r="B10" s="2" t="n">
        <v>0</v>
      </c>
      <c r="C10" s="2" t="n">
        <v>19</v>
      </c>
      <c r="D10" s="2" t="n">
        <v>0.915</v>
      </c>
      <c r="E10" s="2" t="n">
        <v>1037.17</v>
      </c>
      <c r="F10" s="10" t="n">
        <v>956.87</v>
      </c>
      <c r="G10" s="11" t="n">
        <v>0.19635</v>
      </c>
      <c r="H10" s="10" t="n">
        <v>3.12</v>
      </c>
      <c r="K10" s="5"/>
    </row>
    <row r="11" customFormat="false" ht="15" hidden="false" customHeight="false" outlineLevel="0" collapsed="false">
      <c r="J11" s="12" t="n">
        <v>0</v>
      </c>
      <c r="K11" s="12" t="n">
        <v>0</v>
      </c>
      <c r="L11" s="10" t="n">
        <v>0</v>
      </c>
      <c r="M11" s="10" t="n">
        <v>0</v>
      </c>
    </row>
    <row r="12" customFormat="false" ht="64.5" hidden="false" customHeight="true" outlineLevel="0" collapsed="false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29</v>
      </c>
      <c r="G12" s="13" t="s">
        <v>30</v>
      </c>
      <c r="H12" s="1" t="s">
        <v>31</v>
      </c>
      <c r="J12" s="14" t="n">
        <f aca="false">J11+1</f>
        <v>1</v>
      </c>
      <c r="K12" s="15" t="s">
        <v>32</v>
      </c>
      <c r="L12" s="10" t="n">
        <v>6.12</v>
      </c>
      <c r="M12" s="10" t="n">
        <f aca="false">1.8833/2</f>
        <v>0.94165</v>
      </c>
      <c r="N12" s="10" t="n">
        <v>0.09</v>
      </c>
      <c r="O12" s="10" t="n">
        <v>2</v>
      </c>
      <c r="P12" s="10" t="n">
        <v>18.705</v>
      </c>
      <c r="R12" s="0" t="n">
        <v>18.705</v>
      </c>
    </row>
    <row r="13" customFormat="false" ht="19.5" hidden="false" customHeight="true" outlineLevel="0" collapsed="false">
      <c r="A13" s="2" t="n">
        <v>0.999</v>
      </c>
      <c r="B13" s="2" t="n">
        <v>400</v>
      </c>
      <c r="C13" s="2" t="n">
        <v>546.2</v>
      </c>
      <c r="D13" s="2" t="n">
        <v>0.015</v>
      </c>
      <c r="E13" s="10" t="n">
        <v>0.002</v>
      </c>
      <c r="F13" s="16" t="n">
        <v>104</v>
      </c>
      <c r="G13" s="10" t="n">
        <v>10</v>
      </c>
      <c r="H13" s="10" t="b">
        <f aca="false">FALSE()</f>
        <v>0</v>
      </c>
      <c r="J13" s="14" t="n">
        <f aca="false">J12+1</f>
        <v>2</v>
      </c>
      <c r="K13" s="15" t="s">
        <v>32</v>
      </c>
      <c r="L13" s="10" t="n">
        <v>16.12</v>
      </c>
      <c r="M13" s="10" t="n">
        <f aca="false">4.2286/2</f>
        <v>2.1143</v>
      </c>
      <c r="N13" s="10" t="n">
        <v>0.49</v>
      </c>
      <c r="O13" s="10" t="n">
        <v>0.1704</v>
      </c>
      <c r="P13" s="10" t="n">
        <v>30.25</v>
      </c>
      <c r="R13" s="0" t="n">
        <v>36.37</v>
      </c>
    </row>
    <row r="14" customFormat="false" ht="15" hidden="false" customHeight="false" outlineLevel="0" collapsed="false">
      <c r="J14" s="12" t="n">
        <v>3</v>
      </c>
      <c r="K14" s="15" t="s">
        <v>32</v>
      </c>
      <c r="L14" s="10" t="n">
        <v>23.76</v>
      </c>
      <c r="M14" s="10" t="n">
        <f aca="false">5.415/2</f>
        <v>2.7075</v>
      </c>
      <c r="N14" s="10" t="n">
        <v>0.58</v>
      </c>
      <c r="O14" s="10" t="n">
        <v>0</v>
      </c>
      <c r="P14" s="10" t="n">
        <v>0</v>
      </c>
      <c r="R14" s="0" t="n">
        <v>16.12</v>
      </c>
    </row>
    <row r="15" customFormat="false" ht="75.75" hidden="false" customHeight="true" outlineLevel="0" collapsed="false">
      <c r="A15" s="1" t="s">
        <v>33</v>
      </c>
      <c r="B15" s="1" t="s">
        <v>34</v>
      </c>
      <c r="C15" s="1" t="s">
        <v>35</v>
      </c>
      <c r="D15" s="1" t="s">
        <v>36</v>
      </c>
      <c r="E15" s="1" t="s">
        <v>37</v>
      </c>
      <c r="F15" s="1" t="s">
        <v>38</v>
      </c>
      <c r="G15" s="1" t="s">
        <v>39</v>
      </c>
      <c r="H15" s="1" t="s">
        <v>40</v>
      </c>
      <c r="J15" s="14" t="n">
        <f aca="false">J14+1</f>
        <v>4</v>
      </c>
      <c r="K15" s="17" t="s">
        <v>41</v>
      </c>
      <c r="L15" s="10" t="n">
        <v>36</v>
      </c>
      <c r="M15" s="10" t="n">
        <v>3.12</v>
      </c>
      <c r="N15" s="10" t="n">
        <v>1.13</v>
      </c>
      <c r="O15" s="10" t="n">
        <v>0</v>
      </c>
      <c r="P15" s="10" t="n">
        <v>0</v>
      </c>
      <c r="R15" s="0" t="n">
        <v>23.76</v>
      </c>
    </row>
    <row r="16" customFormat="false" ht="25.5" hidden="false" customHeight="false" outlineLevel="0" collapsed="false">
      <c r="A16" s="2" t="n">
        <f aca="false">0.0000139</f>
        <v>1.39E-005</v>
      </c>
      <c r="B16" s="18" t="n">
        <f aca="false">2300000000</f>
        <v>2300000000</v>
      </c>
      <c r="C16" s="2" t="n">
        <v>3</v>
      </c>
      <c r="D16" s="10" t="b">
        <f aca="false">FALSE()</f>
        <v>0</v>
      </c>
      <c r="E16" s="10" t="n">
        <v>4</v>
      </c>
      <c r="F16" s="10" t="n">
        <v>3.3</v>
      </c>
      <c r="G16" s="10" t="n">
        <v>1000</v>
      </c>
      <c r="H16" s="19"/>
      <c r="J16" s="14" t="n">
        <f aca="false">J15+1</f>
        <v>5</v>
      </c>
      <c r="K16" s="17" t="s">
        <v>42</v>
      </c>
      <c r="L16" s="10" t="n">
        <v>39.91</v>
      </c>
      <c r="M16" s="10" t="n">
        <v>3.12</v>
      </c>
      <c r="N16" s="10" t="n">
        <v>5.92</v>
      </c>
      <c r="O16" s="10" t="n">
        <v>0</v>
      </c>
      <c r="P16" s="10" t="n">
        <v>0</v>
      </c>
      <c r="R16" s="0" t="n">
        <v>36</v>
      </c>
    </row>
    <row r="17" customFormat="false" ht="38.25" hidden="false" customHeight="false" outlineLevel="0" collapsed="false">
      <c r="J17" s="12" t="n">
        <v>6</v>
      </c>
      <c r="K17" s="17" t="s">
        <v>43</v>
      </c>
      <c r="L17" s="10" t="n">
        <v>52.91</v>
      </c>
      <c r="M17" s="10" t="n">
        <v>3.12</v>
      </c>
      <c r="N17" s="10" t="n">
        <f aca="false">7.82</f>
        <v>7.82</v>
      </c>
      <c r="O17" s="10" t="n">
        <v>0</v>
      </c>
      <c r="P17" s="10" t="n">
        <v>0</v>
      </c>
      <c r="R17" s="0" t="n">
        <v>39.91</v>
      </c>
    </row>
    <row r="18" customFormat="false" ht="86.25" hidden="false" customHeight="true" outlineLevel="0" collapsed="false">
      <c r="A18" s="20" t="s">
        <v>44</v>
      </c>
      <c r="B18" s="21" t="s">
        <v>45</v>
      </c>
      <c r="C18" s="1" t="s">
        <v>46</v>
      </c>
      <c r="D18" s="1" t="s">
        <v>47</v>
      </c>
      <c r="F18" s="22" t="s">
        <v>48</v>
      </c>
      <c r="G18" s="1" t="s">
        <v>49</v>
      </c>
      <c r="H18" s="23"/>
      <c r="J18" s="14" t="n">
        <f aca="false">J17+1</f>
        <v>7</v>
      </c>
      <c r="K18" s="17" t="s">
        <v>50</v>
      </c>
      <c r="L18" s="10" t="n">
        <v>55.71</v>
      </c>
      <c r="M18" s="10" t="n">
        <v>3.12</v>
      </c>
      <c r="N18" s="10" t="n">
        <v>0.68</v>
      </c>
      <c r="O18" s="10" t="n">
        <v>0</v>
      </c>
      <c r="P18" s="10" t="n">
        <v>0</v>
      </c>
      <c r="R18" s="0" t="n">
        <v>52.91</v>
      </c>
    </row>
    <row r="19" customFormat="false" ht="38.25" hidden="false" customHeight="false" outlineLevel="0" collapsed="false">
      <c r="A19" s="3" t="str">
        <f aca="false">IF(B19&lt;4,IF(B19&gt;0,"","Error -&gt;"),"Error -&gt;")</f>
        <v/>
      </c>
      <c r="B19" s="24" t="n">
        <v>1</v>
      </c>
      <c r="C19" s="16" t="n">
        <v>4</v>
      </c>
      <c r="D19" s="25" t="n">
        <v>0.3</v>
      </c>
      <c r="E19" s="3" t="str">
        <f aca="false">IF(F19&lt;4,IF(F19&gt;1,"","Error -&gt;"),"Error -&gt;")</f>
        <v/>
      </c>
      <c r="F19" s="10" t="n">
        <v>2</v>
      </c>
      <c r="G19" s="25" t="n">
        <v>0.3</v>
      </c>
      <c r="J19" s="14" t="n">
        <f aca="false">J18+1</f>
        <v>8</v>
      </c>
      <c r="K19" s="17" t="s">
        <v>51</v>
      </c>
      <c r="L19" s="10" t="n">
        <v>67.71</v>
      </c>
      <c r="M19" s="10" t="n">
        <v>3.12</v>
      </c>
      <c r="N19" s="10" t="n">
        <v>5.59</v>
      </c>
      <c r="O19" s="10" t="n">
        <v>0</v>
      </c>
      <c r="P19" s="10" t="n">
        <v>0</v>
      </c>
      <c r="R19" s="0" t="n">
        <v>55.71</v>
      </c>
    </row>
    <row r="20" customFormat="false" ht="76.5" hidden="false" customHeight="false" outlineLevel="0" collapsed="false">
      <c r="H20" s="23"/>
      <c r="J20" s="12" t="n">
        <v>9</v>
      </c>
      <c r="K20" s="17" t="s">
        <v>52</v>
      </c>
      <c r="L20" s="10" t="n">
        <v>73.71</v>
      </c>
      <c r="M20" s="10" t="n">
        <v>3.12</v>
      </c>
      <c r="N20" s="10" t="n">
        <v>2.22</v>
      </c>
      <c r="O20" s="10" t="n">
        <v>0</v>
      </c>
      <c r="P20" s="10" t="n">
        <v>0</v>
      </c>
      <c r="R20" s="0" t="n">
        <v>67.71</v>
      </c>
    </row>
    <row r="21" customFormat="false" ht="51" hidden="false" customHeight="false" outlineLevel="0" collapsed="false">
      <c r="H21" s="23"/>
      <c r="J21" s="14" t="n">
        <f aca="false">J20+1</f>
        <v>10</v>
      </c>
      <c r="K21" s="17" t="s">
        <v>53</v>
      </c>
      <c r="L21" s="10" t="n">
        <v>78.27</v>
      </c>
      <c r="M21" s="10" t="n">
        <v>3.12</v>
      </c>
      <c r="N21" s="10" t="n">
        <v>1.35</v>
      </c>
      <c r="O21" s="10" t="n">
        <v>0</v>
      </c>
      <c r="P21" s="10" t="n">
        <v>0</v>
      </c>
      <c r="R21" s="0" t="n">
        <v>73.71</v>
      </c>
    </row>
    <row r="22" customFormat="false" ht="15" hidden="false" customHeight="true" outlineLevel="0" collapsed="false">
      <c r="G22" s="26"/>
      <c r="H22" s="23"/>
      <c r="J22" s="14" t="n">
        <f aca="false">J21+1</f>
        <v>11</v>
      </c>
      <c r="K22" s="15" t="s">
        <v>54</v>
      </c>
      <c r="L22" s="10" t="n">
        <v>100.5</v>
      </c>
      <c r="M22" s="10" t="n">
        <v>3.12</v>
      </c>
      <c r="N22" s="10" t="n">
        <v>8.63</v>
      </c>
      <c r="O22" s="10" t="n">
        <v>0</v>
      </c>
      <c r="P22" s="10" t="n">
        <v>0</v>
      </c>
      <c r="R22" s="0" t="n">
        <v>78.27</v>
      </c>
    </row>
    <row r="23" customFormat="false" ht="15" hidden="false" customHeight="false" outlineLevel="0" collapsed="false">
      <c r="H23" s="23"/>
      <c r="J23" s="14" t="n">
        <f aca="false">J22+1</f>
        <v>12</v>
      </c>
      <c r="K23" s="17" t="s">
        <v>55</v>
      </c>
      <c r="L23" s="10" t="n">
        <v>111.32</v>
      </c>
      <c r="M23" s="10" t="n">
        <v>3.12</v>
      </c>
      <c r="N23" s="10" t="n">
        <f aca="false">4.4-0.41925</f>
        <v>3.98075</v>
      </c>
      <c r="O23" s="10" t="n">
        <v>0</v>
      </c>
      <c r="P23" s="10" t="n">
        <v>0</v>
      </c>
      <c r="R23" s="0" t="n">
        <v>100.54758</v>
      </c>
    </row>
    <row r="24" customFormat="false" ht="15" hidden="false" customHeight="false" outlineLevel="0" collapsed="false">
      <c r="H24" s="23"/>
      <c r="J24" s="14" t="n">
        <f aca="false">J23+1</f>
        <v>13</v>
      </c>
      <c r="K24" s="15"/>
      <c r="L24" s="10"/>
      <c r="M24" s="10"/>
      <c r="N24" s="10"/>
      <c r="O24" s="10"/>
      <c r="P24" s="10"/>
    </row>
    <row r="25" customFormat="false" ht="15" hidden="false" customHeight="false" outlineLevel="0" collapsed="false">
      <c r="H25" s="23"/>
      <c r="J25" s="14" t="n">
        <f aca="false">J24+1</f>
        <v>14</v>
      </c>
      <c r="K25" s="15"/>
      <c r="L25" s="10"/>
      <c r="M25" s="10"/>
      <c r="N25" s="10"/>
      <c r="O25" s="10"/>
      <c r="P25" s="10"/>
    </row>
    <row r="26" customFormat="false" ht="15" hidden="false" customHeight="false" outlineLevel="0" collapsed="false">
      <c r="H26" s="23"/>
      <c r="J26" s="14" t="n">
        <f aca="false">J25+1</f>
        <v>15</v>
      </c>
      <c r="K26" s="15"/>
      <c r="L26" s="10"/>
      <c r="M26" s="10"/>
      <c r="N26" s="10"/>
      <c r="O26" s="10"/>
      <c r="P26" s="10"/>
    </row>
    <row r="27" customFormat="false" ht="15" hidden="false" customHeight="false" outlineLevel="0" collapsed="false">
      <c r="H27" s="23"/>
      <c r="J27" s="14" t="n">
        <f aca="false">J26+1</f>
        <v>16</v>
      </c>
      <c r="K27" s="15"/>
      <c r="L27" s="10"/>
      <c r="M27" s="10"/>
      <c r="N27" s="10"/>
      <c r="O27" s="10"/>
      <c r="P27" s="10"/>
    </row>
    <row r="28" customFormat="false" ht="15" hidden="false" customHeight="false" outlineLevel="0" collapsed="false">
      <c r="H28" s="23"/>
      <c r="J28" s="14" t="n">
        <f aca="false">J27+1</f>
        <v>17</v>
      </c>
      <c r="K28" s="15"/>
      <c r="L28" s="10"/>
      <c r="M28" s="10"/>
      <c r="N28" s="10"/>
      <c r="O28" s="10"/>
      <c r="P28" s="10"/>
    </row>
    <row r="29" customFormat="false" ht="15" hidden="false" customHeight="false" outlineLevel="0" collapsed="false">
      <c r="H29" s="23"/>
      <c r="J29" s="14" t="n">
        <f aca="false">J28+1</f>
        <v>18</v>
      </c>
      <c r="K29" s="15"/>
      <c r="L29" s="10"/>
      <c r="M29" s="10"/>
      <c r="N29" s="10"/>
      <c r="O29" s="10"/>
      <c r="P29" s="10"/>
    </row>
    <row r="30" customFormat="false" ht="15" hidden="false" customHeight="false" outlineLevel="0" collapsed="false">
      <c r="H30" s="23"/>
      <c r="J30" s="14" t="n">
        <f aca="false">J29+1</f>
        <v>19</v>
      </c>
      <c r="K30" s="15"/>
      <c r="L30" s="10"/>
      <c r="M30" s="10"/>
      <c r="N30" s="10"/>
      <c r="O30" s="10"/>
      <c r="P30" s="10"/>
    </row>
    <row r="31" customFormat="false" ht="15" hidden="false" customHeight="false" outlineLevel="0" collapsed="false">
      <c r="H31" s="23"/>
      <c r="J31" s="14" t="n">
        <f aca="false">J30+1</f>
        <v>20</v>
      </c>
      <c r="K31" s="15"/>
      <c r="L31" s="10"/>
      <c r="M31" s="10"/>
      <c r="N31" s="10"/>
      <c r="O31" s="10"/>
      <c r="P31" s="10"/>
    </row>
    <row r="32" customFormat="false" ht="15" hidden="false" customHeight="false" outlineLevel="0" collapsed="false">
      <c r="H32" s="23"/>
      <c r="J32" s="14" t="n">
        <f aca="false">J31+1</f>
        <v>21</v>
      </c>
      <c r="K32" s="15"/>
      <c r="L32" s="10"/>
      <c r="M32" s="10"/>
      <c r="N32" s="10"/>
      <c r="O32" s="10"/>
      <c r="P32" s="10"/>
    </row>
    <row r="33" customFormat="false" ht="15" hidden="false" customHeight="false" outlineLevel="0" collapsed="false">
      <c r="J33" s="14" t="n">
        <f aca="false">J32+1</f>
        <v>22</v>
      </c>
      <c r="K33" s="15"/>
      <c r="L33" s="10"/>
      <c r="M33" s="10"/>
      <c r="N33" s="10"/>
      <c r="O33" s="10"/>
      <c r="P33" s="10"/>
    </row>
    <row r="34" customFormat="false" ht="15.75" hidden="false" customHeight="false" outlineLevel="0" collapsed="false">
      <c r="A34" s="27" t="s">
        <v>56</v>
      </c>
      <c r="B34" s="27"/>
      <c r="C34" s="27"/>
      <c r="D34" s="27"/>
      <c r="E34" s="27"/>
      <c r="F34" s="27"/>
      <c r="G34" s="27"/>
      <c r="J34" s="14" t="n">
        <f aca="false">J33+1</f>
        <v>23</v>
      </c>
      <c r="K34" s="15"/>
      <c r="L34" s="10"/>
      <c r="M34" s="10"/>
      <c r="N34" s="10"/>
      <c r="O34" s="10"/>
      <c r="P34" s="10"/>
    </row>
    <row r="35" customFormat="false" ht="45" hidden="false" customHeight="false" outlineLevel="0" collapsed="false">
      <c r="A35" s="1" t="s">
        <v>57</v>
      </c>
      <c r="B35" s="28" t="s">
        <v>58</v>
      </c>
      <c r="C35" s="28" t="s">
        <v>59</v>
      </c>
      <c r="D35" s="1" t="s">
        <v>60</v>
      </c>
      <c r="E35" s="1" t="s">
        <v>61</v>
      </c>
      <c r="F35" s="1" t="s">
        <v>62</v>
      </c>
      <c r="G35" s="29" t="s">
        <v>63</v>
      </c>
      <c r="J35" s="14" t="n">
        <f aca="false">J34+1</f>
        <v>24</v>
      </c>
      <c r="K35" s="15"/>
      <c r="L35" s="10"/>
      <c r="M35" s="10"/>
      <c r="N35" s="10"/>
      <c r="O35" s="10"/>
      <c r="P35" s="10"/>
    </row>
    <row r="36" customFormat="false" ht="15" hidden="false" customHeight="false" outlineLevel="0" collapsed="false">
      <c r="A36" s="2" t="n">
        <v>12</v>
      </c>
      <c r="B36" s="2" t="n">
        <v>10</v>
      </c>
      <c r="C36" s="2" t="n">
        <v>2</v>
      </c>
      <c r="D36" s="10" t="n">
        <v>5.5</v>
      </c>
      <c r="E36" s="11" t="n">
        <v>51.84</v>
      </c>
      <c r="F36" s="10" t="n">
        <v>0.004</v>
      </c>
      <c r="G36" s="10" t="n">
        <v>50</v>
      </c>
      <c r="J36" s="14" t="n">
        <f aca="false">J35+1</f>
        <v>25</v>
      </c>
      <c r="K36" s="15"/>
      <c r="L36" s="10"/>
      <c r="M36" s="10"/>
      <c r="N36" s="10"/>
      <c r="O36" s="10"/>
      <c r="P36" s="10"/>
    </row>
    <row r="37" customFormat="false" ht="15" hidden="false" customHeight="false" outlineLevel="0" collapsed="false">
      <c r="J37" s="14" t="n">
        <f aca="false">J36+1</f>
        <v>26</v>
      </c>
      <c r="K37" s="15"/>
      <c r="L37" s="10"/>
      <c r="M37" s="10"/>
      <c r="N37" s="10"/>
      <c r="O37" s="10"/>
      <c r="P37" s="10"/>
    </row>
    <row r="38" customFormat="false" ht="55.5" hidden="false" customHeight="false" outlineLevel="0" collapsed="false">
      <c r="A38" s="1" t="s">
        <v>64</v>
      </c>
      <c r="B38" s="1" t="s">
        <v>65</v>
      </c>
      <c r="C38" s="1" t="s">
        <v>66</v>
      </c>
      <c r="D38" s="28" t="s">
        <v>67</v>
      </c>
      <c r="E38" s="1" t="s">
        <v>68</v>
      </c>
      <c r="F38" s="28" t="s">
        <v>69</v>
      </c>
      <c r="G38" s="1" t="s">
        <v>70</v>
      </c>
      <c r="J38" s="14" t="n">
        <f aca="false">J37+1</f>
        <v>27</v>
      </c>
      <c r="K38" s="15"/>
      <c r="L38" s="10"/>
      <c r="M38" s="10"/>
      <c r="N38" s="10"/>
      <c r="O38" s="10"/>
      <c r="P38" s="10"/>
    </row>
    <row r="39" customFormat="false" ht="15" hidden="false" customHeight="false" outlineLevel="0" collapsed="false">
      <c r="A39" s="2" t="n">
        <v>0.402188</v>
      </c>
      <c r="B39" s="2" t="n">
        <v>96.25</v>
      </c>
      <c r="C39" s="2" t="n">
        <v>100.54758</v>
      </c>
      <c r="D39" s="10" t="n">
        <v>2.447528</v>
      </c>
      <c r="E39" s="10" t="n">
        <v>5.282172</v>
      </c>
      <c r="F39" s="10" t="n">
        <v>9.79792707560296</v>
      </c>
      <c r="G39" s="19" t="n">
        <f aca="false">C39-B39</f>
        <v>4.29758</v>
      </c>
      <c r="H39" s="23"/>
      <c r="J39" s="14" t="n">
        <f aca="false">J38+1</f>
        <v>28</v>
      </c>
      <c r="K39" s="15"/>
      <c r="L39" s="10"/>
      <c r="M39" s="10"/>
      <c r="N39" s="10"/>
      <c r="O39" s="10"/>
      <c r="P39" s="10"/>
    </row>
    <row r="40" customFormat="false" ht="15" hidden="false" customHeight="false" outlineLevel="0" collapsed="false">
      <c r="J40" s="14" t="n">
        <f aca="false">J39+1</f>
        <v>29</v>
      </c>
      <c r="K40" s="15"/>
      <c r="L40" s="10"/>
      <c r="M40" s="10"/>
      <c r="N40" s="10"/>
      <c r="O40" s="10"/>
      <c r="P40" s="10"/>
    </row>
    <row r="41" customFormat="false" ht="60" hidden="false" customHeight="false" outlineLevel="0" collapsed="false">
      <c r="A41" s="1" t="s">
        <v>71</v>
      </c>
      <c r="B41" s="1" t="s">
        <v>72</v>
      </c>
      <c r="C41" s="1" t="s">
        <v>73</v>
      </c>
      <c r="D41" s="1" t="s">
        <v>74</v>
      </c>
      <c r="E41" s="1" t="s">
        <v>75</v>
      </c>
      <c r="F41" s="1" t="s">
        <v>76</v>
      </c>
      <c r="G41" s="1" t="s">
        <v>77</v>
      </c>
      <c r="J41" s="14" t="n">
        <f aca="false">J40+1</f>
        <v>30</v>
      </c>
      <c r="K41" s="15"/>
      <c r="L41" s="10"/>
      <c r="M41" s="10"/>
      <c r="N41" s="10"/>
      <c r="O41" s="10"/>
      <c r="P41" s="10"/>
    </row>
    <row r="42" customFormat="false" ht="15" hidden="false" customHeight="false" outlineLevel="0" collapsed="false">
      <c r="A42" s="2" t="n">
        <v>60.4715066214106</v>
      </c>
      <c r="B42" s="2" t="n">
        <v>8.61854466222495</v>
      </c>
      <c r="C42" s="2" t="n">
        <v>1.12947143415823</v>
      </c>
      <c r="D42" s="19"/>
      <c r="E42" s="19"/>
      <c r="F42" s="19"/>
      <c r="G42" s="19"/>
      <c r="H42" s="23"/>
      <c r="J42" s="14" t="n">
        <f aca="false">J41+1</f>
        <v>31</v>
      </c>
      <c r="K42" s="15"/>
      <c r="L42" s="10"/>
      <c r="M42" s="10"/>
      <c r="N42" s="10"/>
      <c r="O42" s="10"/>
      <c r="P42" s="10"/>
    </row>
    <row r="43" customFormat="false" ht="15" hidden="false" customHeight="false" outlineLevel="0" collapsed="false">
      <c r="A43" s="5"/>
      <c r="B43" s="30"/>
      <c r="C43" s="5"/>
      <c r="D43" s="5"/>
      <c r="E43" s="5"/>
      <c r="F43" s="5"/>
      <c r="G43" s="5"/>
      <c r="J43" s="14" t="n">
        <f aca="false">J42+1</f>
        <v>32</v>
      </c>
      <c r="K43" s="15"/>
      <c r="L43" s="10"/>
      <c r="M43" s="10"/>
      <c r="N43" s="10"/>
      <c r="O43" s="10"/>
      <c r="P43" s="10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J44" s="14" t="n">
        <f aca="false">J43+1</f>
        <v>33</v>
      </c>
      <c r="K44" s="15"/>
      <c r="L44" s="10"/>
      <c r="M44" s="10"/>
      <c r="N44" s="10"/>
      <c r="O44" s="10"/>
      <c r="P44" s="10"/>
    </row>
    <row r="45" customFormat="false" ht="15.75" hidden="false" customHeight="false" outlineLevel="0" collapsed="false">
      <c r="A45" s="27" t="s">
        <v>78</v>
      </c>
      <c r="B45" s="27"/>
      <c r="C45" s="27"/>
      <c r="D45" s="27"/>
      <c r="E45" s="27"/>
      <c r="F45" s="27"/>
      <c r="G45" s="27"/>
      <c r="H45" s="23"/>
      <c r="J45" s="14" t="n">
        <f aca="false">J44+1</f>
        <v>34</v>
      </c>
      <c r="K45" s="15"/>
      <c r="L45" s="10"/>
      <c r="M45" s="10"/>
      <c r="N45" s="10"/>
      <c r="O45" s="10"/>
      <c r="P45" s="10"/>
    </row>
    <row r="46" customFormat="false" ht="45" hidden="false" customHeight="false" outlineLevel="0" collapsed="false">
      <c r="A46" s="1" t="s">
        <v>57</v>
      </c>
      <c r="B46" s="28" t="s">
        <v>58</v>
      </c>
      <c r="C46" s="28" t="s">
        <v>59</v>
      </c>
      <c r="D46" s="1" t="s">
        <v>60</v>
      </c>
      <c r="E46" s="1" t="s">
        <v>61</v>
      </c>
      <c r="F46" s="1" t="s">
        <v>62</v>
      </c>
      <c r="G46" s="29" t="s">
        <v>63</v>
      </c>
      <c r="H46" s="23"/>
      <c r="J46" s="14" t="n">
        <f aca="false">J45+1</f>
        <v>35</v>
      </c>
      <c r="K46" s="15"/>
      <c r="L46" s="10"/>
      <c r="M46" s="10"/>
      <c r="N46" s="10"/>
      <c r="O46" s="10"/>
      <c r="P46" s="10"/>
    </row>
    <row r="47" customFormat="false" ht="15" hidden="false" customHeight="false" outlineLevel="0" collapsed="false">
      <c r="A47" s="2" t="n">
        <v>6</v>
      </c>
      <c r="B47" s="2" t="n">
        <v>13.2090909090909</v>
      </c>
      <c r="C47" s="2" t="n">
        <v>2.64181818181818</v>
      </c>
      <c r="D47" s="10" t="n">
        <v>7.265</v>
      </c>
      <c r="E47" s="10" t="n">
        <v>51.84</v>
      </c>
      <c r="F47" s="10" t="n">
        <v>0.004</v>
      </c>
      <c r="G47" s="10" t="n">
        <v>22</v>
      </c>
      <c r="H47" s="23"/>
      <c r="J47" s="14" t="n">
        <f aca="false">J46+1</f>
        <v>36</v>
      </c>
      <c r="K47" s="15"/>
      <c r="L47" s="10"/>
      <c r="M47" s="10"/>
      <c r="N47" s="10"/>
      <c r="O47" s="10"/>
      <c r="P47" s="10"/>
    </row>
    <row r="48" customFormat="false" ht="15" hidden="false" customHeight="false" outlineLevel="0" collapsed="false">
      <c r="J48" s="14" t="n">
        <f aca="false">J47+1</f>
        <v>37</v>
      </c>
      <c r="K48" s="15"/>
      <c r="L48" s="10"/>
      <c r="M48" s="10"/>
      <c r="N48" s="10"/>
      <c r="O48" s="10"/>
      <c r="P48" s="10"/>
    </row>
    <row r="49" customFormat="false" ht="49.5" hidden="false" customHeight="false" outlineLevel="0" collapsed="false">
      <c r="A49" s="1" t="s">
        <v>64</v>
      </c>
      <c r="B49" s="1" t="s">
        <v>65</v>
      </c>
      <c r="C49" s="1" t="s">
        <v>66</v>
      </c>
      <c r="D49" s="28" t="s">
        <v>67</v>
      </c>
      <c r="E49" s="1" t="s">
        <v>68</v>
      </c>
      <c r="F49" s="1" t="s">
        <v>79</v>
      </c>
      <c r="G49" s="1" t="s">
        <v>70</v>
      </c>
      <c r="J49" s="14" t="n">
        <f aca="false">J48+1</f>
        <v>38</v>
      </c>
      <c r="K49" s="15"/>
      <c r="L49" s="10"/>
      <c r="M49" s="10"/>
      <c r="N49" s="10"/>
      <c r="O49" s="10"/>
      <c r="P49" s="10"/>
    </row>
    <row r="50" customFormat="false" ht="15" hidden="false" customHeight="false" outlineLevel="0" collapsed="false">
      <c r="A50" s="2" t="n">
        <v>0.701737954786777</v>
      </c>
      <c r="B50" s="2" t="n">
        <v>52.91</v>
      </c>
      <c r="C50" s="2" t="n">
        <v>58.5701840246899</v>
      </c>
      <c r="D50" s="10" t="n">
        <v>2.44752798242569</v>
      </c>
      <c r="E50" s="10" t="n">
        <v>9.21633810963256</v>
      </c>
      <c r="F50" s="10" t="n">
        <v>15.5859964921424</v>
      </c>
      <c r="G50" s="19" t="n">
        <f aca="false">C50-B50</f>
        <v>5.66018402468993</v>
      </c>
      <c r="J50" s="14" t="n">
        <f aca="false">J49+1</f>
        <v>39</v>
      </c>
      <c r="K50" s="15"/>
      <c r="L50" s="10"/>
      <c r="M50" s="10"/>
      <c r="N50" s="10"/>
      <c r="O50" s="10"/>
      <c r="P50" s="10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J51" s="14" t="n">
        <f aca="false">J50+1</f>
        <v>40</v>
      </c>
      <c r="K51" s="15"/>
      <c r="L51" s="10"/>
      <c r="M51" s="10"/>
      <c r="N51" s="10"/>
      <c r="O51" s="10"/>
      <c r="P51" s="10"/>
    </row>
    <row r="52" customFormat="false" ht="33" hidden="false" customHeight="false" outlineLevel="0" collapsed="false">
      <c r="D52" s="1" t="s">
        <v>74</v>
      </c>
      <c r="E52" s="1" t="s">
        <v>75</v>
      </c>
      <c r="F52" s="1" t="s">
        <v>76</v>
      </c>
      <c r="G52" s="1" t="s">
        <v>77</v>
      </c>
      <c r="H52" s="23"/>
      <c r="J52" s="14" t="n">
        <f aca="false">J51+1</f>
        <v>41</v>
      </c>
      <c r="K52" s="15"/>
      <c r="L52" s="10"/>
      <c r="M52" s="10"/>
      <c r="N52" s="10"/>
      <c r="O52" s="10"/>
      <c r="P52" s="10"/>
    </row>
    <row r="53" customFormat="false" ht="15" hidden="false" customHeight="false" outlineLevel="0" collapsed="false">
      <c r="D53" s="19"/>
      <c r="E53" s="19"/>
      <c r="F53" s="19"/>
      <c r="G53" s="19"/>
      <c r="H53" s="23"/>
      <c r="J53" s="14" t="n">
        <f aca="false">J52+1</f>
        <v>42</v>
      </c>
      <c r="K53" s="15"/>
      <c r="L53" s="10"/>
      <c r="M53" s="10"/>
      <c r="N53" s="10"/>
      <c r="O53" s="10"/>
      <c r="P53" s="10"/>
    </row>
    <row r="54" customFormat="false" ht="15" hidden="false" customHeight="false" outlineLevel="0" collapsed="false">
      <c r="H54" s="23"/>
      <c r="J54" s="14" t="n">
        <f aca="false">J53+1</f>
        <v>43</v>
      </c>
      <c r="K54" s="15"/>
      <c r="L54" s="10"/>
      <c r="M54" s="10"/>
      <c r="N54" s="10"/>
      <c r="O54" s="10"/>
      <c r="P54" s="10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23"/>
      <c r="J55" s="14" t="n">
        <f aca="false">J54+1</f>
        <v>44</v>
      </c>
      <c r="K55" s="15"/>
      <c r="L55" s="10"/>
      <c r="M55" s="10"/>
      <c r="N55" s="10"/>
      <c r="O55" s="10"/>
      <c r="P55" s="10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23"/>
      <c r="J56" s="14" t="n">
        <f aca="false">J55+1</f>
        <v>45</v>
      </c>
      <c r="K56" s="15"/>
      <c r="L56" s="10"/>
      <c r="M56" s="10"/>
      <c r="N56" s="10"/>
      <c r="O56" s="10"/>
      <c r="P56" s="10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23"/>
      <c r="J57" s="14" t="n">
        <f aca="false">J56+1</f>
        <v>46</v>
      </c>
      <c r="K57" s="15"/>
      <c r="L57" s="10"/>
      <c r="M57" s="10"/>
      <c r="N57" s="10"/>
      <c r="O57" s="10"/>
      <c r="P57" s="10"/>
    </row>
    <row r="58" customFormat="false" ht="15" hidden="false" customHeight="false" outlineLevel="0" collapsed="false">
      <c r="B58" s="5"/>
      <c r="C58" s="5"/>
      <c r="D58" s="5"/>
      <c r="E58" s="5"/>
      <c r="F58" s="5"/>
      <c r="G58" s="5"/>
      <c r="H58" s="23"/>
      <c r="J58" s="14" t="n">
        <f aca="false">J57+1</f>
        <v>47</v>
      </c>
      <c r="K58" s="15"/>
      <c r="L58" s="10"/>
      <c r="M58" s="10"/>
      <c r="N58" s="10"/>
      <c r="O58" s="10"/>
      <c r="P58" s="10"/>
    </row>
    <row r="59" customFormat="false" ht="15.75" hidden="false" customHeight="false" outlineLevel="0" collapsed="false">
      <c r="A59" s="6" t="s">
        <v>80</v>
      </c>
      <c r="B59" s="6"/>
      <c r="C59" s="6"/>
      <c r="D59" s="5"/>
      <c r="E59" s="5"/>
      <c r="F59" s="5"/>
      <c r="G59" s="5"/>
      <c r="H59" s="23"/>
      <c r="J59" s="14" t="n">
        <f aca="false">J58+1</f>
        <v>48</v>
      </c>
      <c r="K59" s="15"/>
      <c r="L59" s="10"/>
      <c r="M59" s="10"/>
      <c r="N59" s="10"/>
      <c r="O59" s="10"/>
      <c r="P59" s="10"/>
    </row>
    <row r="60" customFormat="false" ht="45" hidden="false" customHeight="false" outlineLevel="0" collapsed="false">
      <c r="A60" s="1" t="s">
        <v>81</v>
      </c>
      <c r="B60" s="1" t="s">
        <v>82</v>
      </c>
      <c r="C60" s="1" t="s">
        <v>83</v>
      </c>
      <c r="D60" s="5"/>
      <c r="E60" s="5"/>
      <c r="F60" s="5"/>
      <c r="G60" s="5"/>
      <c r="H60" s="23"/>
      <c r="J60" s="14" t="n">
        <f aca="false">J59+1</f>
        <v>49</v>
      </c>
      <c r="K60" s="15"/>
      <c r="L60" s="10"/>
      <c r="M60" s="10"/>
      <c r="N60" s="10"/>
      <c r="O60" s="10"/>
      <c r="P60" s="10"/>
    </row>
    <row r="61" customFormat="false" ht="15" hidden="false" customHeight="false" outlineLevel="0" collapsed="false">
      <c r="A61" s="2" t="n">
        <v>450</v>
      </c>
      <c r="B61" s="2" t="n">
        <v>8</v>
      </c>
      <c r="C61" s="2" t="n">
        <v>0.06</v>
      </c>
      <c r="D61" s="5"/>
      <c r="E61" s="5"/>
      <c r="F61" s="5"/>
      <c r="G61" s="5"/>
      <c r="H61" s="23"/>
      <c r="J61" s="14" t="n">
        <f aca="false">J60+1</f>
        <v>50</v>
      </c>
      <c r="K61" s="15"/>
      <c r="L61" s="10"/>
      <c r="M61" s="10"/>
      <c r="N61" s="10"/>
      <c r="O61" s="10"/>
      <c r="P61" s="10"/>
    </row>
    <row r="62" customFormat="false" ht="15" hidden="false" customHeight="false" outlineLevel="0" collapsed="false">
      <c r="A62" s="23"/>
      <c r="B62" s="23"/>
      <c r="D62" s="23"/>
      <c r="E62" s="23"/>
      <c r="F62" s="23"/>
      <c r="G62" s="23"/>
      <c r="H62" s="23"/>
      <c r="J62" s="14" t="n">
        <f aca="false">J61+1</f>
        <v>51</v>
      </c>
      <c r="K62" s="15"/>
      <c r="L62" s="10"/>
      <c r="M62" s="10"/>
      <c r="N62" s="10"/>
      <c r="O62" s="10"/>
      <c r="P62" s="10"/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  <c r="G63" s="23"/>
      <c r="H63" s="23"/>
      <c r="J63" s="14" t="n">
        <f aca="false">J62+1</f>
        <v>52</v>
      </c>
      <c r="K63" s="15"/>
      <c r="L63" s="10"/>
      <c r="M63" s="10"/>
      <c r="N63" s="10"/>
      <c r="O63" s="10"/>
      <c r="P63" s="10"/>
    </row>
    <row r="65" customFormat="false" ht="15" hidden="false" customHeight="false" outlineLevel="0" collapsed="false">
      <c r="A65" s="31" t="s">
        <v>84</v>
      </c>
      <c r="B65" s="31"/>
      <c r="C65" s="31"/>
    </row>
    <row r="66" customFormat="false" ht="48" hidden="false" customHeight="false" outlineLevel="0" collapsed="false">
      <c r="A66" s="32" t="s">
        <v>85</v>
      </c>
      <c r="B66" s="1" t="s">
        <v>86</v>
      </c>
      <c r="C66" s="1" t="s">
        <v>87</v>
      </c>
    </row>
    <row r="67" customFormat="false" ht="15" hidden="false" customHeight="false" outlineLevel="0" collapsed="false">
      <c r="A67" s="2" t="n">
        <v>45</v>
      </c>
      <c r="B67" s="2" t="n">
        <v>95</v>
      </c>
      <c r="C67" s="2" t="n">
        <v>2</v>
      </c>
    </row>
    <row r="68" customFormat="false" ht="15" hidden="false" customHeight="true" outlineLevel="0" collapsed="false"/>
    <row r="76" customFormat="false" ht="15" hidden="false" customHeight="true" outlineLevel="0" collapsed="false">
      <c r="A76" s="33" t="s">
        <v>88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customFormat="false" ht="15" hidden="false" customHeight="false" outlineLevel="0" collapsed="false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</row>
    <row r="78" customFormat="false" ht="15" hidden="false" customHeight="false" outlineLevel="0" collapsed="false">
      <c r="A78" s="34" t="s">
        <v>89</v>
      </c>
      <c r="B78" s="34"/>
      <c r="C78" s="34"/>
      <c r="D78" s="34"/>
      <c r="E78" s="34"/>
      <c r="F78" s="34"/>
      <c r="G78" s="5"/>
      <c r="H78" s="31" t="s">
        <v>90</v>
      </c>
      <c r="I78" s="31"/>
      <c r="J78" s="31"/>
      <c r="K78" s="5"/>
      <c r="L78" s="34"/>
      <c r="M78" s="34"/>
      <c r="N78" s="35"/>
    </row>
    <row r="79" customFormat="false" ht="63" hidden="false" customHeight="true" outlineLevel="0" collapsed="false">
      <c r="A79" s="1" t="s">
        <v>91</v>
      </c>
      <c r="B79" s="1" t="s">
        <v>92</v>
      </c>
      <c r="C79" s="1" t="s">
        <v>93</v>
      </c>
      <c r="D79" s="1" t="s">
        <v>94</v>
      </c>
      <c r="E79" s="1" t="s">
        <v>95</v>
      </c>
      <c r="F79" s="1" t="s">
        <v>96</v>
      </c>
      <c r="G79" s="5"/>
      <c r="H79" s="1" t="s">
        <v>97</v>
      </c>
      <c r="I79" s="1" t="s">
        <v>98</v>
      </c>
      <c r="J79" s="1" t="s">
        <v>99</v>
      </c>
      <c r="K79" s="5"/>
      <c r="L79" s="1" t="s">
        <v>100</v>
      </c>
      <c r="M79" s="36" t="s">
        <v>101</v>
      </c>
      <c r="N79" s="5"/>
    </row>
    <row r="80" customFormat="false" ht="20.1" hidden="false" customHeight="true" outlineLevel="0" collapsed="false">
      <c r="A80" s="37"/>
      <c r="B80" s="37"/>
      <c r="C80" s="37"/>
      <c r="D80" s="37"/>
      <c r="E80" s="37"/>
      <c r="F80" s="38"/>
      <c r="G80" s="5"/>
      <c r="H80" s="37"/>
      <c r="I80" s="37"/>
      <c r="J80" s="37"/>
      <c r="K80" s="5"/>
      <c r="L80" s="39"/>
      <c r="M80" s="38"/>
    </row>
    <row r="81" customFormat="false" ht="15" hidden="false" customHeight="false" outlineLevel="0" collapsed="false">
      <c r="A81" s="40"/>
      <c r="B81" s="41"/>
      <c r="C81" s="41"/>
      <c r="D81" s="41"/>
      <c r="E81" s="41"/>
      <c r="F81" s="42"/>
      <c r="G81" s="5"/>
      <c r="H81" s="41"/>
      <c r="I81" s="41"/>
      <c r="J81" s="41"/>
      <c r="K81" s="42"/>
      <c r="L81" s="5"/>
      <c r="P81" s="43"/>
    </row>
    <row r="82" customFormat="false" ht="15" hidden="false" customHeight="false" outlineLevel="0" collapsed="false">
      <c r="A82" s="44" t="s">
        <v>102</v>
      </c>
      <c r="B82" s="44"/>
      <c r="C82" s="44"/>
      <c r="D82" s="44"/>
      <c r="E82" s="44"/>
      <c r="F82" s="44"/>
      <c r="H82" s="44" t="s">
        <v>103</v>
      </c>
      <c r="I82" s="44"/>
      <c r="J82" s="44"/>
      <c r="L82" s="5"/>
      <c r="P82" s="43"/>
    </row>
    <row r="83" customFormat="false" ht="63" hidden="false" customHeight="true" outlineLevel="0" collapsed="false">
      <c r="A83" s="1" t="s">
        <v>104</v>
      </c>
      <c r="B83" s="1" t="s">
        <v>105</v>
      </c>
      <c r="C83" s="1" t="s">
        <v>106</v>
      </c>
      <c r="D83" s="1" t="s">
        <v>107</v>
      </c>
      <c r="E83" s="1" t="s">
        <v>108</v>
      </c>
      <c r="F83" s="1" t="s">
        <v>109</v>
      </c>
      <c r="H83" s="1" t="s">
        <v>110</v>
      </c>
      <c r="I83" s="1" t="s">
        <v>111</v>
      </c>
      <c r="J83" s="1" t="s">
        <v>112</v>
      </c>
      <c r="L83" s="1" t="s">
        <v>113</v>
      </c>
    </row>
    <row r="84" customFormat="false" ht="20.1" hidden="false" customHeight="true" outlineLevel="0" collapsed="false">
      <c r="A84" s="45"/>
      <c r="B84" s="45"/>
      <c r="C84" s="46"/>
      <c r="D84" s="45"/>
      <c r="E84" s="45"/>
      <c r="F84" s="45"/>
      <c r="H84" s="38"/>
      <c r="I84" s="37"/>
      <c r="J84" s="47"/>
      <c r="L84" s="48"/>
    </row>
    <row r="88" customFormat="false" ht="90" hidden="false" customHeight="true" outlineLevel="0" collapsed="false">
      <c r="F88" s="49" t="s">
        <v>114</v>
      </c>
      <c r="G88" s="49"/>
      <c r="H88" s="49" t="s">
        <v>115</v>
      </c>
      <c r="I88" s="49"/>
      <c r="J88" s="49" t="s">
        <v>116</v>
      </c>
      <c r="K88" s="49"/>
    </row>
    <row r="89" customFormat="false" ht="30" hidden="false" customHeight="false" outlineLevel="0" collapsed="false">
      <c r="E89" s="50" t="s">
        <v>117</v>
      </c>
      <c r="F89" s="13" t="s">
        <v>118</v>
      </c>
      <c r="G89" s="13" t="s">
        <v>119</v>
      </c>
      <c r="H89" s="13" t="s">
        <v>118</v>
      </c>
      <c r="I89" s="13" t="s">
        <v>119</v>
      </c>
      <c r="J89" s="13" t="s">
        <v>118</v>
      </c>
      <c r="K89" s="13" t="s">
        <v>119</v>
      </c>
    </row>
    <row r="90" customFormat="false" ht="30" hidden="false" customHeight="false" outlineLevel="0" collapsed="false">
      <c r="E90" s="1" t="s">
        <v>120</v>
      </c>
      <c r="F90" s="51" t="s">
        <v>121</v>
      </c>
      <c r="G90" s="52" t="s">
        <v>122</v>
      </c>
      <c r="H90" s="51" t="s">
        <v>123</v>
      </c>
      <c r="I90" s="53" t="s">
        <v>124</v>
      </c>
      <c r="J90" s="52" t="s">
        <v>125</v>
      </c>
      <c r="K90" s="53" t="s">
        <v>126</v>
      </c>
    </row>
    <row r="91" customFormat="false" ht="32.25" hidden="false" customHeight="false" outlineLevel="0" collapsed="false">
      <c r="E91" s="54" t="s">
        <v>67</v>
      </c>
      <c r="F91" s="51" t="s">
        <v>127</v>
      </c>
      <c r="G91" s="52" t="s">
        <v>128</v>
      </c>
      <c r="H91" s="51" t="s">
        <v>129</v>
      </c>
      <c r="I91" s="52" t="s">
        <v>130</v>
      </c>
      <c r="J91" s="55" t="s">
        <v>131</v>
      </c>
      <c r="K91" s="56" t="s">
        <v>132</v>
      </c>
    </row>
    <row r="92" customFormat="false" ht="30.75" hidden="false" customHeight="false" outlineLevel="0" collapsed="false">
      <c r="E92" s="32" t="s">
        <v>68</v>
      </c>
      <c r="F92" s="51" t="s">
        <v>133</v>
      </c>
      <c r="G92" s="52" t="s">
        <v>134</v>
      </c>
      <c r="H92" s="51" t="s">
        <v>135</v>
      </c>
      <c r="I92" s="53" t="s">
        <v>136</v>
      </c>
      <c r="J92" s="52" t="s">
        <v>137</v>
      </c>
      <c r="K92" s="53" t="s">
        <v>138</v>
      </c>
    </row>
    <row r="93" customFormat="false" ht="45" hidden="false" customHeight="false" outlineLevel="0" collapsed="false">
      <c r="E93" s="32" t="s">
        <v>139</v>
      </c>
      <c r="F93" s="57" t="s">
        <v>140</v>
      </c>
      <c r="G93" s="58" t="s">
        <v>141</v>
      </c>
      <c r="H93" s="59" t="s">
        <v>142</v>
      </c>
      <c r="I93" s="60" t="s">
        <v>143</v>
      </c>
      <c r="J93" s="61" t="s">
        <v>144</v>
      </c>
      <c r="K93" s="62" t="s">
        <v>145</v>
      </c>
    </row>
    <row r="94" customFormat="false" ht="45" hidden="false" customHeight="false" outlineLevel="0" collapsed="false">
      <c r="E94" s="32" t="s">
        <v>146</v>
      </c>
      <c r="F94" s="51" t="s">
        <v>147</v>
      </c>
      <c r="G94" s="53" t="s">
        <v>148</v>
      </c>
      <c r="H94" s="52" t="s">
        <v>149</v>
      </c>
      <c r="I94" s="53" t="s">
        <v>148</v>
      </c>
      <c r="J94" s="52" t="s">
        <v>150</v>
      </c>
      <c r="K94" s="53" t="s">
        <v>148</v>
      </c>
    </row>
    <row r="95" customFormat="false" ht="45" hidden="false" customHeight="false" outlineLevel="0" collapsed="false">
      <c r="E95" s="32" t="s">
        <v>151</v>
      </c>
      <c r="F95" s="51" t="s">
        <v>152</v>
      </c>
      <c r="G95" s="53" t="s">
        <v>148</v>
      </c>
      <c r="H95" s="52" t="s">
        <v>153</v>
      </c>
      <c r="I95" s="52" t="s">
        <v>148</v>
      </c>
      <c r="J95" s="51" t="s">
        <v>154</v>
      </c>
      <c r="K95" s="53" t="s">
        <v>148</v>
      </c>
    </row>
    <row r="96" customFormat="false" ht="45" hidden="false" customHeight="true" outlineLevel="0" collapsed="false">
      <c r="E96" s="1" t="s">
        <v>73</v>
      </c>
      <c r="F96" s="57" t="s">
        <v>155</v>
      </c>
      <c r="G96" s="60" t="s">
        <v>148</v>
      </c>
      <c r="H96" s="58" t="s">
        <v>156</v>
      </c>
      <c r="I96" s="60" t="s">
        <v>148</v>
      </c>
      <c r="J96" s="58" t="s">
        <v>157</v>
      </c>
      <c r="K96" s="60" t="s">
        <v>148</v>
      </c>
    </row>
    <row r="97" customFormat="false" ht="60" hidden="false" customHeight="true" outlineLevel="0" collapsed="false">
      <c r="E97" s="1" t="s">
        <v>20</v>
      </c>
      <c r="F97" s="51" t="s">
        <v>158</v>
      </c>
      <c r="G97" s="51"/>
      <c r="H97" s="63" t="s">
        <v>159</v>
      </c>
      <c r="I97" s="63"/>
      <c r="J97" s="56" t="s">
        <v>160</v>
      </c>
      <c r="K97" s="56"/>
    </row>
    <row r="98" customFormat="false" ht="45" hidden="false" customHeight="false" outlineLevel="0" collapsed="false">
      <c r="E98" s="1" t="s">
        <v>21</v>
      </c>
      <c r="F98" s="57" t="s">
        <v>161</v>
      </c>
      <c r="G98" s="57"/>
      <c r="H98" s="64" t="s">
        <v>162</v>
      </c>
      <c r="I98" s="64"/>
      <c r="J98" s="65" t="s">
        <v>163</v>
      </c>
      <c r="K98" s="65"/>
    </row>
  </sheetData>
  <mergeCells count="21">
    <mergeCell ref="A8:H8"/>
    <mergeCell ref="J8:R8"/>
    <mergeCell ref="A34:G34"/>
    <mergeCell ref="A45:G45"/>
    <mergeCell ref="A59:C59"/>
    <mergeCell ref="A65:C65"/>
    <mergeCell ref="A76:M77"/>
    <mergeCell ref="A78:F78"/>
    <mergeCell ref="H78:J78"/>
    <mergeCell ref="L78:M78"/>
    <mergeCell ref="A82:F82"/>
    <mergeCell ref="H82:J82"/>
    <mergeCell ref="F88:G88"/>
    <mergeCell ref="H88:I88"/>
    <mergeCell ref="J88:K88"/>
    <mergeCell ref="F97:G97"/>
    <mergeCell ref="H97:I97"/>
    <mergeCell ref="J97:K97"/>
    <mergeCell ref="F98:G98"/>
    <mergeCell ref="H98:I98"/>
    <mergeCell ref="J98:K98"/>
  </mergeCells>
  <conditionalFormatting sqref="E19 C3 E4 A19">
    <cfRule type="expression" priority="2" aboveAverage="0" equalAverage="0" bottom="0" percent="0" rank="0" text="" dxfId="0">
      <formula>NOT(ISERROR(SEARCH("Error",E19)))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23" activeCellId="0" sqref="B23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12.28"/>
    <col collapsed="false" customWidth="true" hidden="false" outlineLevel="0" max="3" min="3" style="0" width="15.13"/>
    <col collapsed="false" customWidth="true" hidden="false" outlineLevel="0" max="4" min="4" style="0" width="12.7"/>
    <col collapsed="false" customWidth="true" hidden="false" outlineLevel="0" max="5" min="5" style="0" width="13.99"/>
    <col collapsed="false" customWidth="true" hidden="false" outlineLevel="0" max="6" min="6" style="0" width="13.85"/>
    <col collapsed="false" customWidth="true" hidden="false" outlineLevel="0" max="7" min="7" style="0" width="13.56"/>
    <col collapsed="false" customWidth="true" hidden="false" outlineLevel="0" max="8" min="8" style="0" width="13.99"/>
    <col collapsed="false" customWidth="true" hidden="false" outlineLevel="0" max="9" min="9" style="0" width="14.99"/>
    <col collapsed="false" customWidth="true" hidden="false" outlineLevel="0" max="10" min="10" style="0" width="15.28"/>
    <col collapsed="false" customWidth="true" hidden="false" outlineLevel="0" max="11" min="11" style="0" width="16.13"/>
    <col collapsed="false" customWidth="true" hidden="false" outlineLevel="0" max="12" min="12" style="0" width="16.42"/>
    <col collapsed="false" customWidth="true" hidden="false" outlineLevel="0" max="14" min="13" style="0" width="15.85"/>
    <col collapsed="false" customWidth="true" hidden="false" outlineLevel="0" max="15" min="15" style="0" width="11.28"/>
    <col collapsed="false" customWidth="true" hidden="false" outlineLevel="0" max="19" min="16" style="0" width="14.7"/>
    <col collapsed="false" customWidth="true" hidden="false" outlineLevel="0" max="20" min="20" style="0" width="16.7"/>
    <col collapsed="false" customWidth="true" hidden="false" outlineLevel="0" max="22" min="21" style="0" width="19.41"/>
    <col collapsed="false" customWidth="true" hidden="false" outlineLevel="0" max="24" min="23" style="0" width="12.28"/>
    <col collapsed="false" customWidth="true" hidden="false" outlineLevel="0" max="25" min="25" style="0" width="14.99"/>
    <col collapsed="false" customWidth="true" hidden="false" outlineLevel="0" max="26" min="26" style="0" width="15.7"/>
    <col collapsed="false" customWidth="true" hidden="false" outlineLevel="0" max="27" min="27" style="0" width="12.99"/>
  </cols>
  <sheetData>
    <row r="1" customFormat="false" ht="15" hidden="false" customHeight="false" outlineLevel="0" collapsed="false">
      <c r="A1" s="0" t="n">
        <v>1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  <c r="J1" s="0" t="n">
        <v>10</v>
      </c>
      <c r="K1" s="0" t="n">
        <v>11</v>
      </c>
      <c r="L1" s="0" t="n">
        <v>12</v>
      </c>
      <c r="M1" s="0" t="n">
        <v>13</v>
      </c>
      <c r="N1" s="0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  <c r="X1" s="0" t="n">
        <v>24</v>
      </c>
      <c r="Y1" s="0" t="n">
        <v>25</v>
      </c>
      <c r="Z1" s="0" t="n">
        <v>26</v>
      </c>
      <c r="AA1" s="0" t="n">
        <v>27</v>
      </c>
    </row>
    <row r="2" customFormat="false" ht="15" hidden="false" customHeight="false" outlineLevel="0" collapsed="false">
      <c r="U2" s="5"/>
      <c r="V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customFormat="false" ht="15" hidden="false" customHeight="true" outlineLevel="0" collapsed="false">
      <c r="A3" s="66" t="s">
        <v>164</v>
      </c>
      <c r="B3" s="66"/>
      <c r="C3" s="66"/>
      <c r="D3" s="66"/>
      <c r="E3" s="66"/>
      <c r="F3" s="66"/>
      <c r="G3" s="66"/>
      <c r="H3" s="67"/>
      <c r="I3" s="66" t="s">
        <v>165</v>
      </c>
      <c r="J3" s="66"/>
      <c r="K3" s="67"/>
      <c r="L3" s="68" t="s">
        <v>166</v>
      </c>
      <c r="M3" s="68"/>
      <c r="N3" s="69"/>
      <c r="O3" s="67"/>
      <c r="P3" s="68" t="s">
        <v>167</v>
      </c>
      <c r="Q3" s="68"/>
      <c r="R3" s="69"/>
      <c r="S3" s="69"/>
      <c r="T3" s="68" t="s">
        <v>168</v>
      </c>
      <c r="U3" s="68"/>
      <c r="V3" s="68"/>
      <c r="W3" s="5"/>
      <c r="Y3" s="66" t="s">
        <v>84</v>
      </c>
      <c r="Z3" s="66"/>
      <c r="AA3" s="66"/>
      <c r="AB3" s="5"/>
      <c r="AC3" s="5"/>
      <c r="AD3" s="67"/>
      <c r="AE3" s="67"/>
      <c r="AF3" s="67"/>
      <c r="AG3" s="67"/>
      <c r="AH3" s="67"/>
      <c r="AI3" s="67"/>
    </row>
    <row r="4" customFormat="false" ht="77.25" hidden="false" customHeight="true" outlineLevel="0" collapsed="false">
      <c r="A4" s="1" t="s">
        <v>169</v>
      </c>
      <c r="B4" s="1" t="s">
        <v>170</v>
      </c>
      <c r="C4" s="1" t="s">
        <v>171</v>
      </c>
      <c r="D4" s="1" t="s">
        <v>172</v>
      </c>
      <c r="E4" s="1" t="s">
        <v>173</v>
      </c>
      <c r="F4" s="1" t="s">
        <v>174</v>
      </c>
      <c r="G4" s="1" t="s">
        <v>175</v>
      </c>
      <c r="H4" s="70"/>
      <c r="I4" s="1" t="s">
        <v>169</v>
      </c>
      <c r="J4" s="1" t="s">
        <v>176</v>
      </c>
      <c r="K4" s="70"/>
      <c r="L4" s="1" t="s">
        <v>177</v>
      </c>
      <c r="M4" s="1" t="s">
        <v>178</v>
      </c>
      <c r="N4" s="1" t="s">
        <v>179</v>
      </c>
      <c r="O4" s="70"/>
      <c r="P4" s="1" t="s">
        <v>177</v>
      </c>
      <c r="Q4" s="1" t="s">
        <v>178</v>
      </c>
      <c r="R4" s="1" t="s">
        <v>179</v>
      </c>
      <c r="S4" s="71"/>
      <c r="T4" s="1" t="s">
        <v>180</v>
      </c>
      <c r="U4" s="1" t="s">
        <v>169</v>
      </c>
      <c r="V4" s="1" t="s">
        <v>181</v>
      </c>
      <c r="W4" s="72"/>
      <c r="X4" s="72"/>
      <c r="Y4" s="1" t="s">
        <v>169</v>
      </c>
      <c r="Z4" s="1" t="s">
        <v>182</v>
      </c>
      <c r="AA4" s="1" t="s">
        <v>183</v>
      </c>
      <c r="AB4" s="5"/>
      <c r="AC4" s="5"/>
      <c r="AD4" s="72"/>
      <c r="AE4" s="72"/>
      <c r="AF4" s="72"/>
      <c r="AG4" s="72"/>
      <c r="AH4" s="72"/>
      <c r="AI4" s="72"/>
    </row>
    <row r="5" customFormat="false" ht="15" hidden="false" customHeight="false" outlineLevel="0" collapsed="false">
      <c r="D5" s="48"/>
      <c r="E5" s="48"/>
      <c r="I5" s="48"/>
      <c r="J5" s="48"/>
      <c r="L5" s="48"/>
      <c r="M5" s="48"/>
      <c r="N5" s="48"/>
      <c r="P5" s="48"/>
      <c r="Q5" s="48"/>
      <c r="R5" s="48"/>
      <c r="U5" s="48"/>
      <c r="V5" s="48"/>
      <c r="Y5" s="48"/>
      <c r="Z5" s="48"/>
      <c r="AA5" s="48"/>
    </row>
    <row r="6" customFormat="false" ht="15" hidden="false" customHeight="false" outlineLevel="0" collapsed="false">
      <c r="D6" s="48"/>
      <c r="E6" s="48"/>
      <c r="I6" s="48"/>
      <c r="J6" s="48"/>
      <c r="L6" s="48"/>
      <c r="M6" s="48"/>
      <c r="N6" s="48"/>
      <c r="P6" s="48"/>
      <c r="Q6" s="48"/>
      <c r="R6" s="48"/>
      <c r="U6" s="48"/>
      <c r="V6" s="48"/>
      <c r="Y6" s="48"/>
      <c r="Z6" s="48"/>
      <c r="AA6" s="48"/>
    </row>
    <row r="7" customFormat="false" ht="15" hidden="false" customHeight="false" outlineLevel="0" collapsed="false">
      <c r="D7" s="48"/>
      <c r="E7" s="48"/>
      <c r="I7" s="48"/>
      <c r="J7" s="48"/>
      <c r="L7" s="48"/>
      <c r="M7" s="48"/>
      <c r="N7" s="48"/>
      <c r="P7" s="48"/>
      <c r="Q7" s="48"/>
      <c r="R7" s="48"/>
      <c r="U7" s="48"/>
      <c r="V7" s="48"/>
      <c r="Y7" s="48"/>
      <c r="Z7" s="48"/>
      <c r="AA7" s="48"/>
    </row>
    <row r="8" customFormat="false" ht="15" hidden="false" customHeight="false" outlineLevel="0" collapsed="false">
      <c r="D8" s="48"/>
      <c r="E8" s="48"/>
      <c r="I8" s="48"/>
      <c r="J8" s="48"/>
      <c r="L8" s="48"/>
      <c r="M8" s="48"/>
      <c r="N8" s="48"/>
      <c r="P8" s="48"/>
      <c r="Q8" s="48"/>
      <c r="R8" s="48"/>
      <c r="U8" s="48"/>
      <c r="V8" s="48"/>
      <c r="Y8" s="48"/>
      <c r="Z8" s="48"/>
      <c r="AA8" s="48"/>
    </row>
    <row r="9" customFormat="false" ht="15" hidden="false" customHeight="false" outlineLevel="0" collapsed="false">
      <c r="D9" s="48"/>
      <c r="E9" s="48"/>
      <c r="I9" s="48"/>
      <c r="J9" s="48"/>
      <c r="L9" s="48"/>
      <c r="M9" s="48"/>
      <c r="N9" s="48"/>
      <c r="P9" s="48"/>
      <c r="Q9" s="48"/>
      <c r="R9" s="48"/>
      <c r="U9" s="48"/>
      <c r="V9" s="48"/>
      <c r="Y9" s="48"/>
      <c r="Z9" s="48"/>
      <c r="AA9" s="48"/>
    </row>
    <row r="10" customFormat="false" ht="15" hidden="false" customHeight="false" outlineLevel="0" collapsed="false">
      <c r="D10" s="48"/>
      <c r="E10" s="48"/>
      <c r="I10" s="48"/>
      <c r="J10" s="48"/>
      <c r="L10" s="48"/>
      <c r="M10" s="48"/>
      <c r="N10" s="48"/>
      <c r="P10" s="48"/>
      <c r="Q10" s="48"/>
      <c r="R10" s="48"/>
      <c r="U10" s="48"/>
      <c r="V10" s="48"/>
      <c r="Y10" s="48"/>
      <c r="Z10" s="48"/>
      <c r="AA10" s="48"/>
    </row>
    <row r="11" customFormat="false" ht="15" hidden="false" customHeight="false" outlineLevel="0" collapsed="false">
      <c r="D11" s="48"/>
      <c r="E11" s="48"/>
      <c r="I11" s="48"/>
      <c r="J11" s="48"/>
      <c r="L11" s="48"/>
      <c r="M11" s="48"/>
      <c r="N11" s="48"/>
      <c r="P11" s="48"/>
      <c r="Q11" s="48"/>
      <c r="R11" s="48"/>
      <c r="U11" s="48"/>
      <c r="V11" s="48"/>
      <c r="Y11" s="48"/>
      <c r="Z11" s="48"/>
      <c r="AA11" s="48"/>
    </row>
    <row r="12" customFormat="false" ht="15" hidden="false" customHeight="false" outlineLevel="0" collapsed="false">
      <c r="D12" s="48"/>
      <c r="E12" s="48"/>
      <c r="I12" s="48"/>
      <c r="J12" s="48"/>
      <c r="L12" s="48"/>
      <c r="M12" s="48"/>
      <c r="N12" s="48"/>
      <c r="P12" s="48"/>
      <c r="Q12" s="48"/>
      <c r="R12" s="48"/>
      <c r="U12" s="48"/>
      <c r="V12" s="48"/>
      <c r="Y12" s="48"/>
      <c r="Z12" s="48"/>
      <c r="AA12" s="48"/>
    </row>
    <row r="13" customFormat="false" ht="15" hidden="false" customHeight="false" outlineLevel="0" collapsed="false">
      <c r="D13" s="48"/>
      <c r="E13" s="48"/>
      <c r="I13" s="48"/>
      <c r="J13" s="48"/>
      <c r="L13" s="48"/>
      <c r="M13" s="48"/>
      <c r="N13" s="48"/>
      <c r="P13" s="48"/>
      <c r="Q13" s="48"/>
      <c r="R13" s="48"/>
      <c r="U13" s="48"/>
      <c r="V13" s="48"/>
      <c r="Y13" s="48"/>
      <c r="Z13" s="48"/>
      <c r="AA13" s="48"/>
    </row>
    <row r="14" customFormat="false" ht="15" hidden="false" customHeight="false" outlineLevel="0" collapsed="false">
      <c r="D14" s="48"/>
      <c r="E14" s="48"/>
      <c r="I14" s="48"/>
      <c r="J14" s="48"/>
      <c r="L14" s="48"/>
      <c r="M14" s="48"/>
      <c r="N14" s="48"/>
      <c r="P14" s="48"/>
      <c r="Q14" s="48"/>
      <c r="R14" s="48"/>
      <c r="U14" s="48"/>
      <c r="V14" s="48"/>
      <c r="Y14" s="48"/>
      <c r="Z14" s="48"/>
      <c r="AA14" s="48"/>
    </row>
    <row r="15" customFormat="false" ht="15" hidden="false" customHeight="false" outlineLevel="0" collapsed="false">
      <c r="D15" s="48"/>
      <c r="E15" s="48"/>
      <c r="I15" s="48"/>
      <c r="J15" s="48"/>
      <c r="L15" s="48"/>
      <c r="M15" s="48"/>
      <c r="N15" s="48"/>
      <c r="P15" s="48"/>
      <c r="Q15" s="48"/>
      <c r="R15" s="48"/>
      <c r="U15" s="48"/>
      <c r="V15" s="48"/>
      <c r="Y15" s="48"/>
      <c r="Z15" s="48"/>
      <c r="AA15" s="48"/>
    </row>
    <row r="16" customFormat="false" ht="15" hidden="false" customHeight="false" outlineLevel="0" collapsed="false">
      <c r="D16" s="48"/>
      <c r="E16" s="48"/>
      <c r="I16" s="48"/>
      <c r="J16" s="48"/>
      <c r="L16" s="48"/>
      <c r="M16" s="48"/>
      <c r="N16" s="48"/>
      <c r="P16" s="48"/>
      <c r="Q16" s="48"/>
      <c r="R16" s="48"/>
      <c r="U16" s="48"/>
      <c r="V16" s="48"/>
      <c r="Y16" s="48"/>
      <c r="Z16" s="48"/>
      <c r="AA16" s="48"/>
    </row>
    <row r="17" customFormat="false" ht="15" hidden="false" customHeight="false" outlineLevel="0" collapsed="false">
      <c r="D17" s="48"/>
      <c r="E17" s="48"/>
      <c r="I17" s="48"/>
      <c r="J17" s="48"/>
      <c r="L17" s="48"/>
      <c r="M17" s="48"/>
      <c r="N17" s="48"/>
      <c r="O17" s="73"/>
      <c r="P17" s="48"/>
      <c r="Q17" s="48"/>
      <c r="R17" s="48"/>
      <c r="S17" s="73"/>
      <c r="U17" s="48"/>
      <c r="V17" s="48"/>
      <c r="X17" s="73"/>
      <c r="Y17" s="48"/>
      <c r="Z17" s="48"/>
      <c r="AA17" s="48"/>
    </row>
    <row r="18" customFormat="false" ht="15" hidden="false" customHeight="false" outlineLevel="0" collapsed="false">
      <c r="D18" s="48"/>
      <c r="E18" s="48"/>
      <c r="I18" s="48"/>
      <c r="J18" s="48"/>
      <c r="L18" s="48"/>
      <c r="M18" s="48"/>
      <c r="N18" s="48"/>
      <c r="P18" s="48"/>
      <c r="Q18" s="48"/>
      <c r="R18" s="48"/>
      <c r="U18" s="48"/>
      <c r="V18" s="48"/>
      <c r="Y18" s="48"/>
      <c r="Z18" s="48"/>
      <c r="AA18" s="48"/>
    </row>
    <row r="19" customFormat="false" ht="15" hidden="false" customHeight="false" outlineLevel="0" collapsed="false">
      <c r="D19" s="48"/>
      <c r="E19" s="48"/>
      <c r="I19" s="48"/>
      <c r="J19" s="48"/>
      <c r="L19" s="48"/>
      <c r="M19" s="48"/>
      <c r="N19" s="48"/>
      <c r="P19" s="48"/>
      <c r="Q19" s="48"/>
      <c r="R19" s="48"/>
      <c r="U19" s="48"/>
      <c r="V19" s="48"/>
      <c r="Y19" s="48"/>
      <c r="Z19" s="48"/>
      <c r="AA19" s="48"/>
    </row>
    <row r="20" customFormat="false" ht="15" hidden="false" customHeight="false" outlineLevel="0" collapsed="false">
      <c r="D20" s="48"/>
      <c r="E20" s="48"/>
      <c r="I20" s="48"/>
      <c r="J20" s="48"/>
      <c r="L20" s="48"/>
      <c r="M20" s="48"/>
      <c r="N20" s="48"/>
      <c r="P20" s="48"/>
      <c r="Q20" s="48"/>
      <c r="R20" s="48"/>
      <c r="U20" s="48"/>
      <c r="V20" s="48"/>
      <c r="Y20" s="48"/>
      <c r="Z20" s="48"/>
      <c r="AA20" s="48"/>
    </row>
    <row r="21" customFormat="false" ht="15" hidden="false" customHeight="false" outlineLevel="0" collapsed="false">
      <c r="D21" s="48"/>
      <c r="E21" s="48"/>
      <c r="I21" s="48"/>
      <c r="J21" s="48"/>
      <c r="L21" s="48"/>
      <c r="M21" s="48"/>
      <c r="N21" s="48"/>
      <c r="P21" s="48"/>
      <c r="Q21" s="48"/>
      <c r="R21" s="48"/>
      <c r="U21" s="48"/>
      <c r="V21" s="48"/>
      <c r="Y21" s="48"/>
      <c r="Z21" s="48"/>
      <c r="AA21" s="48"/>
    </row>
    <row r="22" customFormat="false" ht="15" hidden="false" customHeight="false" outlineLevel="0" collapsed="false">
      <c r="D22" s="48"/>
      <c r="E22" s="48"/>
      <c r="I22" s="48"/>
      <c r="J22" s="48"/>
      <c r="L22" s="48"/>
      <c r="M22" s="48"/>
      <c r="N22" s="48"/>
      <c r="P22" s="48"/>
      <c r="Q22" s="48"/>
      <c r="R22" s="48"/>
      <c r="U22" s="48"/>
      <c r="V22" s="48"/>
      <c r="Y22" s="48"/>
      <c r="Z22" s="48"/>
      <c r="AA22" s="48"/>
    </row>
    <row r="23" customFormat="false" ht="15" hidden="false" customHeight="false" outlineLevel="0" collapsed="false">
      <c r="D23" s="48"/>
      <c r="E23" s="48"/>
      <c r="I23" s="48"/>
      <c r="J23" s="48"/>
      <c r="L23" s="48"/>
      <c r="M23" s="48"/>
      <c r="N23" s="48"/>
      <c r="P23" s="48"/>
      <c r="Q23" s="48"/>
      <c r="R23" s="48"/>
      <c r="U23" s="48"/>
      <c r="V23" s="48"/>
      <c r="Y23" s="48"/>
      <c r="Z23" s="48"/>
      <c r="AA23" s="48"/>
    </row>
    <row r="24" customFormat="false" ht="15" hidden="false" customHeight="false" outlineLevel="0" collapsed="false">
      <c r="D24" s="48"/>
      <c r="E24" s="48"/>
      <c r="I24" s="48"/>
      <c r="J24" s="48"/>
      <c r="L24" s="48"/>
      <c r="M24" s="48"/>
      <c r="N24" s="48"/>
      <c r="P24" s="48"/>
      <c r="Q24" s="48"/>
      <c r="R24" s="48"/>
      <c r="U24" s="48"/>
      <c r="V24" s="48"/>
      <c r="Y24" s="48"/>
      <c r="Z24" s="48"/>
      <c r="AA24" s="48"/>
    </row>
    <row r="25" customFormat="false" ht="15" hidden="false" customHeight="false" outlineLevel="0" collapsed="false">
      <c r="D25" s="48"/>
      <c r="E25" s="48"/>
      <c r="I25" s="48"/>
      <c r="J25" s="48"/>
      <c r="L25" s="48"/>
      <c r="M25" s="48"/>
      <c r="N25" s="48"/>
      <c r="P25" s="48"/>
      <c r="Q25" s="48"/>
      <c r="R25" s="48"/>
      <c r="U25" s="48"/>
      <c r="V25" s="48"/>
      <c r="Y25" s="48"/>
      <c r="Z25" s="48"/>
      <c r="AA25" s="48"/>
    </row>
    <row r="26" customFormat="false" ht="15" hidden="false" customHeight="false" outlineLevel="0" collapsed="false">
      <c r="D26" s="48"/>
      <c r="E26" s="48"/>
      <c r="I26" s="48"/>
      <c r="J26" s="48"/>
      <c r="L26" s="48"/>
      <c r="M26" s="48"/>
      <c r="N26" s="48"/>
      <c r="P26" s="48"/>
      <c r="Q26" s="48"/>
      <c r="R26" s="48"/>
      <c r="U26" s="48"/>
      <c r="V26" s="48"/>
      <c r="Y26" s="48"/>
      <c r="Z26" s="48"/>
      <c r="AA26" s="48"/>
    </row>
    <row r="27" customFormat="false" ht="15" hidden="false" customHeight="false" outlineLevel="0" collapsed="false">
      <c r="D27" s="48"/>
      <c r="E27" s="48"/>
      <c r="I27" s="48"/>
      <c r="J27" s="48"/>
      <c r="L27" s="48"/>
      <c r="M27" s="48"/>
      <c r="N27" s="48"/>
      <c r="P27" s="48"/>
      <c r="Q27" s="48"/>
      <c r="R27" s="48"/>
      <c r="U27" s="48"/>
      <c r="V27" s="48"/>
      <c r="Y27" s="48"/>
      <c r="Z27" s="48"/>
      <c r="AA27" s="48"/>
    </row>
    <row r="28" customFormat="false" ht="15" hidden="false" customHeight="false" outlineLevel="0" collapsed="false">
      <c r="D28" s="48"/>
      <c r="E28" s="48"/>
      <c r="I28" s="48"/>
      <c r="J28" s="48"/>
      <c r="L28" s="48"/>
      <c r="M28" s="48"/>
      <c r="N28" s="48"/>
      <c r="P28" s="48"/>
      <c r="Q28" s="48"/>
      <c r="R28" s="48"/>
      <c r="U28" s="48"/>
      <c r="V28" s="48"/>
      <c r="Y28" s="48"/>
      <c r="Z28" s="48"/>
      <c r="AA28" s="48"/>
    </row>
    <row r="37" customFormat="false" ht="15" hidden="false" customHeight="false" outlineLevel="0" collapsed="false">
      <c r="M37" s="73"/>
      <c r="N37" s="73"/>
      <c r="O37" s="73"/>
      <c r="P37" s="73"/>
      <c r="Q37" s="73"/>
      <c r="R37" s="73"/>
      <c r="S37" s="73"/>
      <c r="T37" s="73"/>
    </row>
  </sheetData>
  <mergeCells count="6">
    <mergeCell ref="A3:G3"/>
    <mergeCell ref="I3:J3"/>
    <mergeCell ref="L3:M3"/>
    <mergeCell ref="P3:Q3"/>
    <mergeCell ref="T3:V3"/>
    <mergeCell ref="Y3:AA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G7" activeCellId="0" sqref="G7"/>
    </sheetView>
  </sheetViews>
  <sheetFormatPr defaultColWidth="8.964843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2012-08-06T17:05:43Z</dcterms:created>
  <dc:creator>Armando</dc:creator>
  <dc:description/>
  <dc:language>en-US</dc:language>
  <cp:lastModifiedBy>AirBlaze_W</cp:lastModifiedBy>
  <dcterms:modified xsi:type="dcterms:W3CDTF">2014-05-29T10:51:34Z</dcterms:modified>
  <cp:revision>0</cp:revision>
  <dc:subject/>
  <dc:title/>
</cp:coreProperties>
</file>