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<sst xmlns="http://schemas.openxmlformats.org/spreadsheetml/2006/main" count="156" uniqueCount="90">
  <si>
    <t xml:space="preserve">Uniform Beam→</t>
  </si>
  <si>
    <t xml:space="preserve">Plot Data →</t>
  </si>
  <si>
    <t xml:space="preserve">Nonuniform Beam→</t>
  </si>
  <si>
    <t xml:space="preserve">Natural Mode Shapes →</t>
  </si>
  <si>
    <r>
      <rPr>
        <sz val="10"/>
        <rFont val="Arial"/>
        <family val="0"/>
      </rPr>
      <t xml:space="preserve">Standard Gravity, ft/sec</t>
    </r>
    <r>
      <rPr>
        <vertAlign val="superscript"/>
        <sz val="10"/>
        <rFont val="Arial"/>
        <family val="2"/>
      </rPr>
      <t xml:space="preserve">2</t>
    </r>
  </si>
  <si>
    <t xml:space="preserve">Number of body elements</t>
  </si>
  <si>
    <t xml:space="preserve">Body Element number</t>
  </si>
  <si>
    <t xml:space="preserve">Element Contents</t>
  </si>
  <si>
    <t xml:space="preserve">Body station at the front of the element, in. aft of the nose tip</t>
  </si>
  <si>
    <t xml:space="preserve">Body Element length, ft</t>
  </si>
  <si>
    <t xml:space="preserve">Overall body length, ft</t>
  </si>
  <si>
    <r>
      <rPr>
        <sz val="10"/>
        <rFont val="Arial"/>
        <family val="0"/>
      </rPr>
      <t xml:space="preserve">Bending stiffness at the element forward end, lb-in</t>
    </r>
    <r>
      <rPr>
        <vertAlign val="superscript"/>
        <sz val="10"/>
        <rFont val="Arial"/>
        <family val="2"/>
      </rPr>
      <t xml:space="preserve">2</t>
    </r>
  </si>
  <si>
    <r>
      <rPr>
        <sz val="10"/>
        <rFont val="Arial"/>
        <family val="0"/>
      </rPr>
      <t xml:space="preserve">Bending stiffness at the element aft end, lb-in</t>
    </r>
    <r>
      <rPr>
        <vertAlign val="superscript"/>
        <sz val="10"/>
        <rFont val="Arial"/>
        <family val="2"/>
      </rPr>
      <t xml:space="preserve">2</t>
    </r>
    <r>
      <rPr>
        <sz val="10"/>
        <rFont val="Arial"/>
        <family val="0"/>
      </rPr>
      <t xml:space="preserve"> </t>
    </r>
  </si>
  <si>
    <r>
      <rPr>
        <sz val="10"/>
        <rFont val="Arial"/>
        <family val="0"/>
      </rPr>
      <t xml:space="preserve">Average Element bending stiffness, lb-ft</t>
    </r>
    <r>
      <rPr>
        <vertAlign val="superscript"/>
        <sz val="10"/>
        <rFont val="Arial"/>
        <family val="2"/>
      </rPr>
      <t xml:space="preserve">2</t>
    </r>
  </si>
  <si>
    <t xml:space="preserve">Element forward end weight/ unit length, lb/in</t>
  </si>
  <si>
    <t xml:space="preserve">Element aft end weight/ unit length, lb/in</t>
  </si>
  <si>
    <t xml:space="preserve">Element average mass / unit length, sl/ft</t>
  </si>
  <si>
    <t xml:space="preserve">Average body mass per unit length, sl/ft</t>
  </si>
  <si>
    <r>
      <rPr>
        <sz val="10"/>
        <rFont val="Arial"/>
        <family val="0"/>
      </rPr>
      <t xml:space="preserve">Element length * averge stiffness, lb-ft</t>
    </r>
    <r>
      <rPr>
        <vertAlign val="superscript"/>
        <sz val="10"/>
        <rFont val="Arial"/>
        <family val="2"/>
      </rPr>
      <t xml:space="preserve">3</t>
    </r>
  </si>
  <si>
    <r>
      <rPr>
        <sz val="10"/>
        <rFont val="Arial"/>
        <family val="0"/>
      </rPr>
      <t xml:space="preserve">Average body stiffness, lb-ft</t>
    </r>
    <r>
      <rPr>
        <vertAlign val="superscript"/>
        <sz val="10"/>
        <rFont val="Arial"/>
        <family val="2"/>
      </rPr>
      <t xml:space="preserve">2</t>
    </r>
  </si>
  <si>
    <r>
      <rPr>
        <sz val="10"/>
        <rFont val="Arial"/>
        <family val="0"/>
      </rPr>
      <t xml:space="preserve">a = √EI/</t>
    </r>
    <r>
      <rPr>
        <sz val="10"/>
        <rFont val="Arial"/>
        <family val="2"/>
      </rPr>
      <t xml:space="preserve">μ</t>
    </r>
  </si>
  <si>
    <t xml:space="preserve">Fundamental Frequency, rad/sec</t>
  </si>
  <si>
    <r>
      <rPr>
        <sz val="10"/>
        <rFont val="Arial"/>
        <family val="0"/>
      </rPr>
      <t xml:space="preserve">(√</t>
    </r>
    <r>
      <rPr>
        <sz val="10"/>
        <rFont val="Arial"/>
        <family val="2"/>
      </rPr>
      <t xml:space="preserve">ω</t>
    </r>
    <r>
      <rPr>
        <sz val="10"/>
        <rFont val="Arial"/>
        <family val="0"/>
      </rPr>
      <t xml:space="preserve">0 / a) L</t>
    </r>
  </si>
  <si>
    <t xml:space="preserve">Freq 1</t>
  </si>
  <si>
    <t xml:space="preserve">Big Block</t>
  </si>
  <si>
    <t xml:space="preserve">x/L</t>
  </si>
  <si>
    <t xml:space="preserve">Fundamental mode shape</t>
  </si>
  <si>
    <t xml:space="preserve">First Harmonic Frequency, rad/sec</t>
  </si>
  <si>
    <t xml:space="preserve">(√ω1 / a) L</t>
  </si>
  <si>
    <t xml:space="preserve">Freq 2</t>
  </si>
  <si>
    <t xml:space="preserve">First Harmonic mode shape</t>
  </si>
  <si>
    <t xml:space="preserve">Second Harmonic Frequency, rad/sec</t>
  </si>
  <si>
    <t xml:space="preserve">(√ω2 / a) L</t>
  </si>
  <si>
    <t xml:space="preserve">Freq 3</t>
  </si>
  <si>
    <t xml:space="preserve">Second Harmonic mode shape</t>
  </si>
  <si>
    <t xml:space="preserve">Fundamental</t>
  </si>
  <si>
    <t xml:space="preserve">First Harmonic</t>
  </si>
  <si>
    <t xml:space="preserve">Second Harmonic</t>
  </si>
  <si>
    <t xml:space="preserve">Total number of Integration Steps</t>
  </si>
  <si>
    <t xml:space="preserve">Number of Element Steps</t>
  </si>
  <si>
    <t xml:space="preserve">Element Integration Step Length, ft</t>
  </si>
  <si>
    <t xml:space="preserve">J11st</t>
  </si>
  <si>
    <t xml:space="preserve">J12st</t>
  </si>
  <si>
    <t xml:space="preserve">J13st</t>
  </si>
  <si>
    <t xml:space="preserve">J21st</t>
  </si>
  <si>
    <t xml:space="preserve">J22st</t>
  </si>
  <si>
    <t xml:space="preserve">J23st</t>
  </si>
  <si>
    <t xml:space="preserve">J31st</t>
  </si>
  <si>
    <t xml:space="preserve">J32st</t>
  </si>
  <si>
    <t xml:space="preserve">J33st</t>
  </si>
  <si>
    <t xml:space="preserve">J11ma</t>
  </si>
  <si>
    <t xml:space="preserve">J12ma</t>
  </si>
  <si>
    <t xml:space="preserve">J13ma</t>
  </si>
  <si>
    <t xml:space="preserve">J21ma</t>
  </si>
  <si>
    <t xml:space="preserve">J22ma</t>
  </si>
  <si>
    <t xml:space="preserve">J23ma</t>
  </si>
  <si>
    <t xml:space="preserve">J31ma</t>
  </si>
  <si>
    <t xml:space="preserve">J32ma</t>
  </si>
  <si>
    <t xml:space="preserve">J33ma</t>
  </si>
  <si>
    <t xml:space="preserve">om2l</t>
  </si>
  <si>
    <t xml:space="preserve">om2u</t>
  </si>
  <si>
    <t xml:space="preserve">Fundamental  q2 / q1</t>
  </si>
  <si>
    <t xml:space="preserve">Fundamental  q3 / q1</t>
  </si>
  <si>
    <t xml:space="preserve">Fundamental Normalizing Factor</t>
  </si>
  <si>
    <t xml:space="preserve">Freq1</t>
  </si>
  <si>
    <t xml:space="preserve">Freq2</t>
  </si>
  <si>
    <t xml:space="preserve">Freq3</t>
  </si>
  <si>
    <t xml:space="preserve">X / L</t>
  </si>
  <si>
    <t xml:space="preserve">Fundamental Natural Mode Shape</t>
  </si>
  <si>
    <t xml:space="preserve">First Harmonic  q2 / q1</t>
  </si>
  <si>
    <t xml:space="preserve">First Harmonic  q3 / q1</t>
  </si>
  <si>
    <t xml:space="preserve">First Harmonic Normalizing Factor</t>
  </si>
  <si>
    <t xml:space="preserve">First Harmonic Natural Mode Shape</t>
  </si>
  <si>
    <t xml:space="preserve">Fundamental </t>
  </si>
  <si>
    <t xml:space="preserve">Ogive</t>
  </si>
  <si>
    <t xml:space="preserve"> </t>
  </si>
  <si>
    <t xml:space="preserve">P/L Cylinder</t>
  </si>
  <si>
    <t xml:space="preserve">om2 = </t>
  </si>
  <si>
    <t xml:space="preserve">Spacer</t>
  </si>
  <si>
    <t xml:space="preserve">Uniform Beam</t>
  </si>
  <si>
    <t xml:space="preserve">om2</t>
  </si>
  <si>
    <t xml:space="preserve">det</t>
  </si>
  <si>
    <t xml:space="preserve">M-56A-1 motor</t>
  </si>
  <si>
    <t xml:space="preserve">Skirt &amp; nozzles</t>
  </si>
  <si>
    <t xml:space="preserve">Diagonal Elements</t>
  </si>
  <si>
    <t xml:space="preserve">Use the plot on the right to locate the approximate roots</t>
  </si>
  <si>
    <t xml:space="preserve">of the cubic characteristic equation.  The values of om2l and </t>
  </si>
  <si>
    <t xml:space="preserve">om2u input in row 7 above and to the right are selected </t>
  </si>
  <si>
    <t xml:space="preserve">to bracket the roots.  An iterative algorithm refines these</t>
  </si>
  <si>
    <t xml:space="preserve">estimates.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</si>
</sst>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11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b val="true"/>
      <sz val="16"/>
      <color rgb="FF000000"/>
      <name val="Arial"/>
      <family val="2"/>
    </font>
    <font>
      <b val="true"/>
      <sz val="14"/>
      <color rgb="FF000000"/>
      <name val="Arial"/>
      <family val="2"/>
    </font>
    <font>
      <b val="true"/>
      <sz val="13.25"/>
      <color rgb="FF000000"/>
      <name val="Arial"/>
      <family val="2"/>
    </font>
    <font>
      <b val="true"/>
      <sz val="11.75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600" b="1" u="none" strike="noStrike">
                <a:solidFill>
                  <a:srgbClr val="000000"/>
                </a:solidFill>
                <a:uFillTx/>
                <a:latin typeface="Arial"/>
              </a:rPr>
              <a:t>First Three Uniform Beam Bending Mode Shapes</a:t>
            </a:r>
          </a:p>
        </c:rich>
      </c:tx>
      <c:layout>
        <c:manualLayout>
          <c:xMode val="edge"/>
          <c:yMode val="edge"/>
          <c:x val="0.0854082361342538"/>
          <c:y val="0.0233076423066209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682694596524637"/>
          <c:y val="0.174110873804439"/>
          <c:w val="0.641323494406094"/>
          <c:h val="0.722908348036029"/>
        </c:manualLayout>
      </c:layout>
      <c:scatterChart>
        <c:scatterStyle val="line"/>
        <c:varyColors val="0"/>
        <c:ser>
          <c:idx val="0"/>
          <c:order val="0"/>
          <c:tx>
            <c:strRef>
              <c:f>Sheet1!$AL$5</c:f>
              <c:strCache>
                <c:ptCount val="1"/>
                <c:pt idx="0">
                  <c:v>Fundamental</c:v>
                </c:pt>
              </c:strCache>
            </c:strRef>
          </c:tx>
          <c:spPr>
            <a:solidFill>
              <a:srgbClr val="000080"/>
            </a:solidFill>
            <a:ln w="252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Sheet1!$AK$6:$AK$57</c:f>
              <c:numCache>
                <c:formatCode>General</c:formatCode>
                <c:ptCount val="52"/>
                <c:pt idx="1">
                  <c:v>0</c:v>
                </c:pt>
                <c:pt idx="2">
                  <c:v>0.02</c:v>
                </c:pt>
                <c:pt idx="3">
                  <c:v>0.04</c:v>
                </c:pt>
                <c:pt idx="4">
                  <c:v>0.06</c:v>
                </c:pt>
                <c:pt idx="5">
                  <c:v>0.08</c:v>
                </c:pt>
                <c:pt idx="6">
                  <c:v>0.1</c:v>
                </c:pt>
                <c:pt idx="7">
                  <c:v>0.12</c:v>
                </c:pt>
                <c:pt idx="8">
                  <c:v>0.14</c:v>
                </c:pt>
                <c:pt idx="9">
                  <c:v>0.16</c:v>
                </c:pt>
                <c:pt idx="10">
                  <c:v>0.18</c:v>
                </c:pt>
                <c:pt idx="11">
                  <c:v>0.2</c:v>
                </c:pt>
                <c:pt idx="12">
                  <c:v>0.22</c:v>
                </c:pt>
                <c:pt idx="13">
                  <c:v>0.24</c:v>
                </c:pt>
                <c:pt idx="14">
                  <c:v>0.26</c:v>
                </c:pt>
                <c:pt idx="15">
                  <c:v>0.28</c:v>
                </c:pt>
                <c:pt idx="16">
                  <c:v>0.3</c:v>
                </c:pt>
                <c:pt idx="17">
                  <c:v>0.32</c:v>
                </c:pt>
                <c:pt idx="18">
                  <c:v>0.34</c:v>
                </c:pt>
                <c:pt idx="19">
                  <c:v>0.36</c:v>
                </c:pt>
                <c:pt idx="20">
                  <c:v>0.38</c:v>
                </c:pt>
                <c:pt idx="21">
                  <c:v>0.4</c:v>
                </c:pt>
                <c:pt idx="22">
                  <c:v>0.42</c:v>
                </c:pt>
                <c:pt idx="23">
                  <c:v>0.44</c:v>
                </c:pt>
                <c:pt idx="24">
                  <c:v>0.46</c:v>
                </c:pt>
                <c:pt idx="25">
                  <c:v>0.48</c:v>
                </c:pt>
                <c:pt idx="26">
                  <c:v>0.5</c:v>
                </c:pt>
                <c:pt idx="27">
                  <c:v>0.52</c:v>
                </c:pt>
                <c:pt idx="28">
                  <c:v>0.54</c:v>
                </c:pt>
                <c:pt idx="29">
                  <c:v>0.56</c:v>
                </c:pt>
                <c:pt idx="30">
                  <c:v>0.58</c:v>
                </c:pt>
                <c:pt idx="31">
                  <c:v>0.6</c:v>
                </c:pt>
                <c:pt idx="32">
                  <c:v>0.62</c:v>
                </c:pt>
                <c:pt idx="33">
                  <c:v>0.64</c:v>
                </c:pt>
                <c:pt idx="34">
                  <c:v>0.66</c:v>
                </c:pt>
                <c:pt idx="35">
                  <c:v>0.68</c:v>
                </c:pt>
                <c:pt idx="36">
                  <c:v>0.7</c:v>
                </c:pt>
                <c:pt idx="37">
                  <c:v>0.72</c:v>
                </c:pt>
                <c:pt idx="38">
                  <c:v>0.74</c:v>
                </c:pt>
                <c:pt idx="39">
                  <c:v>0.76</c:v>
                </c:pt>
                <c:pt idx="40">
                  <c:v>0.78</c:v>
                </c:pt>
                <c:pt idx="41">
                  <c:v>0.8</c:v>
                </c:pt>
                <c:pt idx="42">
                  <c:v>0.82</c:v>
                </c:pt>
                <c:pt idx="43">
                  <c:v>0.84</c:v>
                </c:pt>
                <c:pt idx="44">
                  <c:v>0.86</c:v>
                </c:pt>
                <c:pt idx="45">
                  <c:v>0.88</c:v>
                </c:pt>
                <c:pt idx="46">
                  <c:v>0.900000000000001</c:v>
                </c:pt>
                <c:pt idx="47">
                  <c:v>0.920000000000001</c:v>
                </c:pt>
                <c:pt idx="48">
                  <c:v>0.940000000000001</c:v>
                </c:pt>
                <c:pt idx="49">
                  <c:v>0.960000000000001</c:v>
                </c:pt>
                <c:pt idx="50">
                  <c:v>0.980000000000001</c:v>
                </c:pt>
                <c:pt idx="51">
                  <c:v>1</c:v>
                </c:pt>
              </c:numCache>
            </c:numRef>
          </c:xVal>
          <c:yVal>
            <c:numRef>
              <c:f>Sheet1!$AL$6:$AL$57</c:f>
              <c:numCache>
                <c:formatCode>General</c:formatCode>
                <c:ptCount val="52"/>
                <c:pt idx="1">
                  <c:v>2</c:v>
                </c:pt>
                <c:pt idx="2">
                  <c:v>1.81411552986154</c:v>
                </c:pt>
                <c:pt idx="3">
                  <c:v>1.62832077638381</c:v>
                </c:pt>
                <c:pt idx="4">
                  <c:v>1.44283740195719</c:v>
                </c:pt>
                <c:pt idx="5">
                  <c:v>1.25801748569008</c:v>
                </c:pt>
                <c:pt idx="6">
                  <c:v>1.07432867270522</c:v>
                </c:pt>
                <c:pt idx="7">
                  <c:v>0.892339378115041</c:v>
                </c:pt>
                <c:pt idx="8">
                  <c:v>0.712704082932519</c:v>
                </c:pt>
                <c:pt idx="9">
                  <c:v>0.536148767245646</c:v>
                </c:pt>
                <c:pt idx="10">
                  <c:v>0.363456532878595</c:v>
                </c:pt>
                <c:pt idx="11">
                  <c:v>0.195453473491606</c:v>
                </c:pt>
                <c:pt idx="12">
                  <c:v>0.0329948546497553</c:v>
                </c:pt>
                <c:pt idx="13">
                  <c:v>-0.123048330161854</c:v>
                </c:pt>
                <c:pt idx="14">
                  <c:v>-0.271802359257503</c:v>
                </c:pt>
                <c:pt idx="15">
                  <c:v>-0.41240326862038</c:v>
                </c:pt>
                <c:pt idx="16">
                  <c:v>-0.544008754112284</c:v>
                </c:pt>
                <c:pt idx="17">
                  <c:v>-0.665809420987346</c:v>
                </c:pt>
                <c:pt idx="18">
                  <c:v>-0.777039313399602</c:v>
                </c:pt>
                <c:pt idx="19">
                  <c:v>-0.876985659220367</c:v>
                </c:pt>
                <c:pt idx="20">
                  <c:v>-0.964997768949921</c:v>
                </c:pt>
                <c:pt idx="21">
                  <c:v>-1.04049503175623</c:v>
                </c:pt>
                <c:pt idx="22">
                  <c:v>-1.10297395663354</c:v>
                </c:pt>
                <c:pt idx="23">
                  <c:v>-1.15201421227366</c:v>
                </c:pt>
                <c:pt idx="24">
                  <c:v>-1.18728362540574</c:v>
                </c:pt>
                <c:pt idx="25">
                  <c:v>-1.20854210400695</c:v>
                </c:pt>
                <c:pt idx="26">
                  <c:v>-1.21564445883252</c:v>
                </c:pt>
                <c:pt idx="27">
                  <c:v>-1.20854210407387</c:v>
                </c:pt>
                <c:pt idx="28">
                  <c:v>-1.18728362553912</c:v>
                </c:pt>
                <c:pt idx="29">
                  <c:v>-1.15201421247259</c:v>
                </c:pt>
                <c:pt idx="30">
                  <c:v>-1.10297395689667</c:v>
                </c:pt>
                <c:pt idx="31">
                  <c:v>-1.04049503208178</c:v>
                </c:pt>
                <c:pt idx="32">
                  <c:v>-0.96499776933571</c:v>
                </c:pt>
                <c:pt idx="33">
                  <c:v>-0.876985659663836</c:v>
                </c:pt>
                <c:pt idx="34">
                  <c:v>-0.777039313897845</c:v>
                </c:pt>
                <c:pt idx="35">
                  <c:v>-0.665809421537139</c:v>
                </c:pt>
                <c:pt idx="36">
                  <c:v>-0.544008754710137</c:v>
                </c:pt>
                <c:pt idx="37">
                  <c:v>-0.41240326926257</c:v>
                </c:pt>
                <c:pt idx="38">
                  <c:v>-0.271802359940133</c:v>
                </c:pt>
                <c:pt idx="39">
                  <c:v>-0.123048330880891</c:v>
                </c:pt>
                <c:pt idx="40">
                  <c:v>0.0329948538984182</c:v>
                </c:pt>
                <c:pt idx="41">
                  <c:v>0.195453472712089</c:v>
                </c:pt>
                <c:pt idx="42">
                  <c:v>0.363456532074976</c:v>
                </c:pt>
                <c:pt idx="43">
                  <c:v>0.5361487664219</c:v>
                </c:pt>
                <c:pt idx="44">
                  <c:v>0.712704082092453</c:v>
                </c:pt>
                <c:pt idx="45">
                  <c:v>0.892339377262208</c:v>
                </c:pt>
                <c:pt idx="46">
                  <c:v>1.0743286718429</c:v>
                </c:pt>
                <c:pt idx="47">
                  <c:v>1.25801748482117</c:v>
                </c:pt>
                <c:pt idx="48">
                  <c:v>1.44283740108412</c:v>
                </c:pt>
                <c:pt idx="49">
                  <c:v>1.62832077550855</c:v>
                </c:pt>
                <c:pt idx="50">
                  <c:v>1.81411552898546</c:v>
                </c:pt>
                <c:pt idx="51">
                  <c:v>1.99999999912378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Sheet1!$AM$5</c:f>
              <c:strCache>
                <c:ptCount val="1"/>
                <c:pt idx="0">
                  <c:v>First Harmonic</c:v>
                </c:pt>
              </c:strCache>
            </c:strRef>
          </c:tx>
          <c:spPr>
            <a:solidFill>
              <a:srgbClr val="ff00ff"/>
            </a:solidFill>
            <a:ln w="25200">
              <a:solidFill>
                <a:srgbClr val="ff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Sheet1!$AK$6:$AK$57</c:f>
              <c:numCache>
                <c:formatCode>General</c:formatCode>
                <c:ptCount val="52"/>
                <c:pt idx="1">
                  <c:v>0</c:v>
                </c:pt>
                <c:pt idx="2">
                  <c:v>0.02</c:v>
                </c:pt>
                <c:pt idx="3">
                  <c:v>0.04</c:v>
                </c:pt>
                <c:pt idx="4">
                  <c:v>0.06</c:v>
                </c:pt>
                <c:pt idx="5">
                  <c:v>0.08</c:v>
                </c:pt>
                <c:pt idx="6">
                  <c:v>0.1</c:v>
                </c:pt>
                <c:pt idx="7">
                  <c:v>0.12</c:v>
                </c:pt>
                <c:pt idx="8">
                  <c:v>0.14</c:v>
                </c:pt>
                <c:pt idx="9">
                  <c:v>0.16</c:v>
                </c:pt>
                <c:pt idx="10">
                  <c:v>0.18</c:v>
                </c:pt>
                <c:pt idx="11">
                  <c:v>0.2</c:v>
                </c:pt>
                <c:pt idx="12">
                  <c:v>0.22</c:v>
                </c:pt>
                <c:pt idx="13">
                  <c:v>0.24</c:v>
                </c:pt>
                <c:pt idx="14">
                  <c:v>0.26</c:v>
                </c:pt>
                <c:pt idx="15">
                  <c:v>0.28</c:v>
                </c:pt>
                <c:pt idx="16">
                  <c:v>0.3</c:v>
                </c:pt>
                <c:pt idx="17">
                  <c:v>0.32</c:v>
                </c:pt>
                <c:pt idx="18">
                  <c:v>0.34</c:v>
                </c:pt>
                <c:pt idx="19">
                  <c:v>0.36</c:v>
                </c:pt>
                <c:pt idx="20">
                  <c:v>0.38</c:v>
                </c:pt>
                <c:pt idx="21">
                  <c:v>0.4</c:v>
                </c:pt>
                <c:pt idx="22">
                  <c:v>0.42</c:v>
                </c:pt>
                <c:pt idx="23">
                  <c:v>0.44</c:v>
                </c:pt>
                <c:pt idx="24">
                  <c:v>0.46</c:v>
                </c:pt>
                <c:pt idx="25">
                  <c:v>0.48</c:v>
                </c:pt>
                <c:pt idx="26">
                  <c:v>0.5</c:v>
                </c:pt>
                <c:pt idx="27">
                  <c:v>0.52</c:v>
                </c:pt>
                <c:pt idx="28">
                  <c:v>0.54</c:v>
                </c:pt>
                <c:pt idx="29">
                  <c:v>0.56</c:v>
                </c:pt>
                <c:pt idx="30">
                  <c:v>0.58</c:v>
                </c:pt>
                <c:pt idx="31">
                  <c:v>0.6</c:v>
                </c:pt>
                <c:pt idx="32">
                  <c:v>0.62</c:v>
                </c:pt>
                <c:pt idx="33">
                  <c:v>0.64</c:v>
                </c:pt>
                <c:pt idx="34">
                  <c:v>0.66</c:v>
                </c:pt>
                <c:pt idx="35">
                  <c:v>0.68</c:v>
                </c:pt>
                <c:pt idx="36">
                  <c:v>0.7</c:v>
                </c:pt>
                <c:pt idx="37">
                  <c:v>0.72</c:v>
                </c:pt>
                <c:pt idx="38">
                  <c:v>0.74</c:v>
                </c:pt>
                <c:pt idx="39">
                  <c:v>0.76</c:v>
                </c:pt>
                <c:pt idx="40">
                  <c:v>0.78</c:v>
                </c:pt>
                <c:pt idx="41">
                  <c:v>0.8</c:v>
                </c:pt>
                <c:pt idx="42">
                  <c:v>0.82</c:v>
                </c:pt>
                <c:pt idx="43">
                  <c:v>0.84</c:v>
                </c:pt>
                <c:pt idx="44">
                  <c:v>0.86</c:v>
                </c:pt>
                <c:pt idx="45">
                  <c:v>0.88</c:v>
                </c:pt>
                <c:pt idx="46">
                  <c:v>0.900000000000001</c:v>
                </c:pt>
                <c:pt idx="47">
                  <c:v>0.920000000000001</c:v>
                </c:pt>
                <c:pt idx="48">
                  <c:v>0.940000000000001</c:v>
                </c:pt>
                <c:pt idx="49">
                  <c:v>0.960000000000001</c:v>
                </c:pt>
                <c:pt idx="50">
                  <c:v>0.980000000000001</c:v>
                </c:pt>
                <c:pt idx="51">
                  <c:v>1</c:v>
                </c:pt>
              </c:numCache>
            </c:numRef>
          </c:xVal>
          <c:yVal>
            <c:numRef>
              <c:f>Sheet1!$AM$6:$AM$57</c:f>
              <c:numCache>
                <c:formatCode>General</c:formatCode>
                <c:ptCount val="52"/>
                <c:pt idx="1">
                  <c:v>2</c:v>
                </c:pt>
                <c:pt idx="2">
                  <c:v>1.6856767590101</c:v>
                </c:pt>
                <c:pt idx="3">
                  <c:v>1.37201568703378</c:v>
                </c:pt>
                <c:pt idx="4">
                  <c:v>1.06060343713689</c:v>
                </c:pt>
                <c:pt idx="5">
                  <c:v>0.753861851778753</c:v>
                </c:pt>
                <c:pt idx="6">
                  <c:v>0.454858693727956</c:v>
                </c:pt>
                <c:pt idx="7">
                  <c:v>0.167121284897158</c:v>
                </c:pt>
                <c:pt idx="8">
                  <c:v>-0.105545098870758</c:v>
                </c:pt>
                <c:pt idx="9">
                  <c:v>-0.359231948878948</c:v>
                </c:pt>
                <c:pt idx="10">
                  <c:v>-0.590093062477514</c:v>
                </c:pt>
                <c:pt idx="11">
                  <c:v>-0.794498537996076</c:v>
                </c:pt>
                <c:pt idx="12">
                  <c:v>-0.969174900661416</c:v>
                </c:pt>
                <c:pt idx="13">
                  <c:v>-1.11132916468022</c:v>
                </c:pt>
                <c:pt idx="14">
                  <c:v>-1.21875485194673</c:v>
                </c:pt>
                <c:pt idx="15">
                  <c:v>-1.28991827841389</c:v>
                </c:pt>
                <c:pt idx="16">
                  <c:v>-1.32402377409367</c:v>
                </c:pt>
                <c:pt idx="17">
                  <c:v>-1.32105690995448</c:v>
                </c:pt>
                <c:pt idx="18">
                  <c:v>-1.28180525188291</c:v>
                </c:pt>
                <c:pt idx="19">
                  <c:v>-1.20785663503384</c:v>
                </c:pt>
                <c:pt idx="20">
                  <c:v>-1.10157543767911</c:v>
                </c:pt>
                <c:pt idx="21">
                  <c:v>-0.966057818450097</c:v>
                </c:pt>
                <c:pt idx="22">
                  <c:v>-0.805067351312484</c:v>
                </c:pt>
                <c:pt idx="23">
                  <c:v>-0.622952935960321</c:v>
                </c:pt>
                <c:pt idx="24">
                  <c:v>-0.424551265683843</c:v>
                </c:pt>
                <c:pt idx="25">
                  <c:v>-0.215076489408752</c:v>
                </c:pt>
                <c:pt idx="26">
                  <c:v>-1.59794066867391E-010</c:v>
                </c:pt>
                <c:pt idx="27">
                  <c:v>0.215076489093323</c:v>
                </c:pt>
                <c:pt idx="28">
                  <c:v>0.424551265380797</c:v>
                </c:pt>
                <c:pt idx="29">
                  <c:v>0.622952935677598</c:v>
                </c:pt>
                <c:pt idx="30">
                  <c:v>0.805067351057533</c:v>
                </c:pt>
                <c:pt idx="31">
                  <c:v>0.966057818229754</c:v>
                </c:pt>
                <c:pt idx="32">
                  <c:v>1.10157543749938</c:v>
                </c:pt>
                <c:pt idx="33">
                  <c:v>1.20785663489982</c:v>
                </c:pt>
                <c:pt idx="34">
                  <c:v>1.28180525179868</c:v>
                </c:pt>
                <c:pt idx="35">
                  <c:v>1.32105690992292</c:v>
                </c:pt>
                <c:pt idx="36">
                  <c:v>1.32402377411658</c:v>
                </c:pt>
                <c:pt idx="37">
                  <c:v>1.28991827849187</c:v>
                </c:pt>
                <c:pt idx="38">
                  <c:v>1.21875485207911</c:v>
                </c:pt>
                <c:pt idx="39">
                  <c:v>1.11132916486526</c:v>
                </c:pt>
                <c:pt idx="40">
                  <c:v>0.969174900896388</c:v>
                </c:pt>
                <c:pt idx="41">
                  <c:v>0.794498538277283</c:v>
                </c:pt>
                <c:pt idx="42">
                  <c:v>0.590093062800284</c:v>
                </c:pt>
                <c:pt idx="43">
                  <c:v>0.3592319492383</c:v>
                </c:pt>
                <c:pt idx="44">
                  <c:v>0.105545099261035</c:v>
                </c:pt>
                <c:pt idx="45">
                  <c:v>-0.167121284481701</c:v>
                </c:pt>
                <c:pt idx="46">
                  <c:v>-0.454858693293094</c:v>
                </c:pt>
                <c:pt idx="47">
                  <c:v>-0.753861851330032</c:v>
                </c:pt>
                <c:pt idx="48">
                  <c:v>-1.06060343667908</c:v>
                </c:pt>
                <c:pt idx="49">
                  <c:v>-1.37201568657105</c:v>
                </c:pt>
                <c:pt idx="50">
                  <c:v>-1.68567675854522</c:v>
                </c:pt>
                <c:pt idx="51">
                  <c:v>-1.9999999995348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Sheet1!$AN$5</c:f>
              <c:strCache>
                <c:ptCount val="1"/>
                <c:pt idx="0">
                  <c:v>Second Harmonic</c:v>
                </c:pt>
              </c:strCache>
            </c:strRef>
          </c:tx>
          <c:spPr>
            <a:solidFill>
              <a:srgbClr val="00ff00"/>
            </a:solidFill>
            <a:ln w="3780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Sheet1!$AK$6:$AK$57</c:f>
              <c:numCache>
                <c:formatCode>General</c:formatCode>
                <c:ptCount val="52"/>
                <c:pt idx="1">
                  <c:v>0</c:v>
                </c:pt>
                <c:pt idx="2">
                  <c:v>0.02</c:v>
                </c:pt>
                <c:pt idx="3">
                  <c:v>0.04</c:v>
                </c:pt>
                <c:pt idx="4">
                  <c:v>0.06</c:v>
                </c:pt>
                <c:pt idx="5">
                  <c:v>0.08</c:v>
                </c:pt>
                <c:pt idx="6">
                  <c:v>0.1</c:v>
                </c:pt>
                <c:pt idx="7">
                  <c:v>0.12</c:v>
                </c:pt>
                <c:pt idx="8">
                  <c:v>0.14</c:v>
                </c:pt>
                <c:pt idx="9">
                  <c:v>0.16</c:v>
                </c:pt>
                <c:pt idx="10">
                  <c:v>0.18</c:v>
                </c:pt>
                <c:pt idx="11">
                  <c:v>0.2</c:v>
                </c:pt>
                <c:pt idx="12">
                  <c:v>0.22</c:v>
                </c:pt>
                <c:pt idx="13">
                  <c:v>0.24</c:v>
                </c:pt>
                <c:pt idx="14">
                  <c:v>0.26</c:v>
                </c:pt>
                <c:pt idx="15">
                  <c:v>0.28</c:v>
                </c:pt>
                <c:pt idx="16">
                  <c:v>0.3</c:v>
                </c:pt>
                <c:pt idx="17">
                  <c:v>0.32</c:v>
                </c:pt>
                <c:pt idx="18">
                  <c:v>0.34</c:v>
                </c:pt>
                <c:pt idx="19">
                  <c:v>0.36</c:v>
                </c:pt>
                <c:pt idx="20">
                  <c:v>0.38</c:v>
                </c:pt>
                <c:pt idx="21">
                  <c:v>0.4</c:v>
                </c:pt>
                <c:pt idx="22">
                  <c:v>0.42</c:v>
                </c:pt>
                <c:pt idx="23">
                  <c:v>0.44</c:v>
                </c:pt>
                <c:pt idx="24">
                  <c:v>0.46</c:v>
                </c:pt>
                <c:pt idx="25">
                  <c:v>0.48</c:v>
                </c:pt>
                <c:pt idx="26">
                  <c:v>0.5</c:v>
                </c:pt>
                <c:pt idx="27">
                  <c:v>0.52</c:v>
                </c:pt>
                <c:pt idx="28">
                  <c:v>0.54</c:v>
                </c:pt>
                <c:pt idx="29">
                  <c:v>0.56</c:v>
                </c:pt>
                <c:pt idx="30">
                  <c:v>0.58</c:v>
                </c:pt>
                <c:pt idx="31">
                  <c:v>0.6</c:v>
                </c:pt>
                <c:pt idx="32">
                  <c:v>0.62</c:v>
                </c:pt>
                <c:pt idx="33">
                  <c:v>0.64</c:v>
                </c:pt>
                <c:pt idx="34">
                  <c:v>0.66</c:v>
                </c:pt>
                <c:pt idx="35">
                  <c:v>0.68</c:v>
                </c:pt>
                <c:pt idx="36">
                  <c:v>0.7</c:v>
                </c:pt>
                <c:pt idx="37">
                  <c:v>0.72</c:v>
                </c:pt>
                <c:pt idx="38">
                  <c:v>0.74</c:v>
                </c:pt>
                <c:pt idx="39">
                  <c:v>0.76</c:v>
                </c:pt>
                <c:pt idx="40">
                  <c:v>0.78</c:v>
                </c:pt>
                <c:pt idx="41">
                  <c:v>0.8</c:v>
                </c:pt>
                <c:pt idx="42">
                  <c:v>0.82</c:v>
                </c:pt>
                <c:pt idx="43">
                  <c:v>0.84</c:v>
                </c:pt>
                <c:pt idx="44">
                  <c:v>0.86</c:v>
                </c:pt>
                <c:pt idx="45">
                  <c:v>0.88</c:v>
                </c:pt>
                <c:pt idx="46">
                  <c:v>0.900000000000001</c:v>
                </c:pt>
                <c:pt idx="47">
                  <c:v>0.920000000000001</c:v>
                </c:pt>
                <c:pt idx="48">
                  <c:v>0.940000000000001</c:v>
                </c:pt>
                <c:pt idx="49">
                  <c:v>0.960000000000001</c:v>
                </c:pt>
                <c:pt idx="50">
                  <c:v>0.980000000000001</c:v>
                </c:pt>
                <c:pt idx="51">
                  <c:v>1</c:v>
                </c:pt>
              </c:numCache>
            </c:numRef>
          </c:xVal>
          <c:yVal>
            <c:numRef>
              <c:f>Sheet1!$AN$6:$AN$57</c:f>
              <c:numCache>
                <c:formatCode>General</c:formatCode>
                <c:ptCount val="52"/>
                <c:pt idx="1">
                  <c:v>2</c:v>
                </c:pt>
                <c:pt idx="2">
                  <c:v>1.56037811229015</c:v>
                </c:pt>
                <c:pt idx="3">
                  <c:v>1.1232277260905</c:v>
                </c:pt>
                <c:pt idx="4">
                  <c:v>0.694280895467272</c:v>
                </c:pt>
                <c:pt idx="5">
                  <c:v>0.281899860022848</c:v>
                </c:pt>
                <c:pt idx="6">
                  <c:v>-0.1039229097848</c:v>
                </c:pt>
                <c:pt idx="7">
                  <c:v>-0.452525288032019</c:v>
                </c:pt>
                <c:pt idx="8">
                  <c:v>-0.753473693623405</c:v>
                </c:pt>
                <c:pt idx="9">
                  <c:v>-0.997374329190823</c:v>
                </c:pt>
                <c:pt idx="10">
                  <c:v>-1.17657337291822</c:v>
                </c:pt>
                <c:pt idx="11">
                  <c:v>-1.28572442615717</c:v>
                </c:pt>
                <c:pt idx="12">
                  <c:v>-1.32220553738251</c:v>
                </c:pt>
                <c:pt idx="13">
                  <c:v>-1.28637346096857</c:v>
                </c:pt>
                <c:pt idx="14">
                  <c:v>-1.18164911771579</c:v>
                </c:pt>
                <c:pt idx="15">
                  <c:v>-1.01443512481171</c:v>
                </c:pt>
                <c:pt idx="16">
                  <c:v>-0.79387336387696</c:v>
                </c:pt>
                <c:pt idx="17">
                  <c:v>-0.53145746693927</c:v>
                </c:pt>
                <c:pt idx="18">
                  <c:v>-0.240521450175462</c:v>
                </c:pt>
                <c:pt idx="19">
                  <c:v>0.0643688227781013</c:v>
                </c:pt>
                <c:pt idx="20">
                  <c:v>0.368090399761176</c:v>
                </c:pt>
                <c:pt idx="21">
                  <c:v>0.655670417873221</c:v>
                </c:pt>
                <c:pt idx="22">
                  <c:v>0.912990606433341</c:v>
                </c:pt>
                <c:pt idx="23">
                  <c:v>1.12745437142914</c:v>
                </c:pt>
                <c:pt idx="24">
                  <c:v>1.28858370188824</c:v>
                </c:pt>
                <c:pt idx="25">
                  <c:v>1.3885166701251</c:v>
                </c:pt>
                <c:pt idx="26">
                  <c:v>1.42238121397686</c:v>
                </c:pt>
                <c:pt idx="27">
                  <c:v>1.38852695937196</c:v>
                </c:pt>
                <c:pt idx="28">
                  <c:v>1.28860377889213</c:v>
                </c:pt>
                <c:pt idx="29">
                  <c:v>1.12748325707926</c:v>
                </c:pt>
                <c:pt idx="30">
                  <c:v>0.913026890572023</c:v>
                </c:pt>
                <c:pt idx="31">
                  <c:v>0.655712326303699</c:v>
                </c:pt>
                <c:pt idx="32">
                  <c:v>0.36813587841653</c:v>
                </c:pt>
                <c:pt idx="33">
                  <c:v>0.0644156349356997</c:v>
                </c:pt>
                <c:pt idx="34">
                  <c:v>-0.240475618401295</c:v>
                </c:pt>
                <c:pt idx="35">
                  <c:v>-0.531414898015769</c:v>
                </c:pt>
                <c:pt idx="36">
                  <c:v>-0.793836202551439</c:v>
                </c:pt>
                <c:pt idx="37">
                  <c:v>-1.01440527938833</c:v>
                </c:pt>
                <c:pt idx="38">
                  <c:v>-1.18162817388745</c:v>
                </c:pt>
                <c:pt idx="39">
                  <c:v>-1.28636261263241</c:v>
                </c:pt>
                <c:pt idx="40">
                  <c:v>-1.32220553812303</c:v>
                </c:pt>
                <c:pt idx="41">
                  <c:v>-1.28573556416645</c:v>
                </c:pt>
                <c:pt idx="42">
                  <c:v>-1.17659547111248</c:v>
                </c:pt>
                <c:pt idx="43">
                  <c:v>-0.997406771186719</c:v>
                </c:pt>
                <c:pt idx="44">
                  <c:v>-0.75351547518541</c:v>
                </c:pt>
                <c:pt idx="45">
                  <c:v>-0.452575092552218</c:v>
                </c:pt>
                <c:pt idx="46">
                  <c:v>-0.10397920549202</c:v>
                </c:pt>
                <c:pt idx="47">
                  <c:v>0.281838704181274</c:v>
                </c:pt>
                <c:pt idx="48">
                  <c:v>0.694216478802107</c:v>
                </c:pt>
                <c:pt idx="49">
                  <c:v>1.12316147375348</c:v>
                </c:pt>
                <c:pt idx="50">
                  <c:v>1.56031112518009</c:v>
                </c:pt>
                <c:pt idx="51">
                  <c:v>1.99993290024577</c:v>
                </c:pt>
              </c:numCache>
            </c:numRef>
          </c:yVal>
          <c:smooth val="1"/>
        </c:ser>
        <c:axId val="91917638"/>
        <c:axId val="38447517"/>
      </c:scatterChart>
      <c:valAx>
        <c:axId val="91917638"/>
        <c:scaling>
          <c:orientation val="minMax"/>
          <c:max val="1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4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Distance from Nose Tip / Body Length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8447517"/>
        <c:crossesAt val="0"/>
        <c:crossBetween val="midCat"/>
        <c:majorUnit val="0.2"/>
      </c:valAx>
      <c:valAx>
        <c:axId val="38447517"/>
        <c:scaling>
          <c:orientation val="minMax"/>
          <c:max val="2"/>
          <c:min val="-2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4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Amplitude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1917638"/>
        <c:crossesAt val="0"/>
        <c:crossBetween val="midCat"/>
      </c:valAx>
      <c:spPr>
        <a:noFill/>
        <a:ln w="12600">
          <a:noFill/>
        </a:ln>
      </c:spPr>
    </c:plotArea>
    <c:legend>
      <c:legendPos val="r"/>
      <c:layout>
        <c:manualLayout>
          <c:xMode val="edge"/>
          <c:yMode val="edge"/>
          <c:x val="0.712068555105927"/>
          <c:y val="0.425666264277092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400" b="1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25" b="1" u="none" strike="noStrike">
                <a:solidFill>
                  <a:srgbClr val="000000"/>
                </a:solidFill>
                <a:uFillTx/>
                <a:latin typeface="Arial"/>
              </a:rPr>
              <a:t>Characteristic Determinant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000080"/>
            </a:solidFill>
            <a:ln w="252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Sheet1!$BW$9:$BW$833</c:f>
              <c:numCache>
                <c:formatCode>General</c:formatCode>
                <c:ptCount val="825"/>
                <c:pt idx="0">
                  <c:v>0</c:v>
                </c:pt>
                <c:pt idx="1">
                  <c:v>2000000</c:v>
                </c:pt>
                <c:pt idx="2">
                  <c:v>4000000</c:v>
                </c:pt>
                <c:pt idx="3">
                  <c:v>6000000</c:v>
                </c:pt>
                <c:pt idx="4">
                  <c:v>8000000</c:v>
                </c:pt>
                <c:pt idx="5">
                  <c:v>10000000</c:v>
                </c:pt>
                <c:pt idx="6">
                  <c:v>12000000</c:v>
                </c:pt>
                <c:pt idx="7">
                  <c:v>14000000</c:v>
                </c:pt>
                <c:pt idx="8">
                  <c:v>16000000</c:v>
                </c:pt>
                <c:pt idx="9">
                  <c:v>18000000</c:v>
                </c:pt>
                <c:pt idx="10">
                  <c:v>20000000</c:v>
                </c:pt>
                <c:pt idx="11">
                  <c:v>22000000</c:v>
                </c:pt>
                <c:pt idx="12">
                  <c:v>24000000</c:v>
                </c:pt>
                <c:pt idx="13">
                  <c:v>26000000</c:v>
                </c:pt>
                <c:pt idx="14">
                  <c:v>28000000</c:v>
                </c:pt>
                <c:pt idx="15">
                  <c:v>30000000</c:v>
                </c:pt>
                <c:pt idx="16">
                  <c:v>32000000</c:v>
                </c:pt>
                <c:pt idx="17">
                  <c:v>34000000</c:v>
                </c:pt>
                <c:pt idx="18">
                  <c:v>36000000</c:v>
                </c:pt>
                <c:pt idx="19">
                  <c:v>38000000</c:v>
                </c:pt>
                <c:pt idx="20">
                  <c:v>40000000</c:v>
                </c:pt>
                <c:pt idx="21">
                  <c:v>42000000</c:v>
                </c:pt>
                <c:pt idx="22">
                  <c:v>44000000</c:v>
                </c:pt>
                <c:pt idx="23">
                  <c:v>46000000</c:v>
                </c:pt>
                <c:pt idx="24">
                  <c:v>48000000</c:v>
                </c:pt>
                <c:pt idx="25">
                  <c:v>50000000</c:v>
                </c:pt>
                <c:pt idx="26">
                  <c:v>52000000</c:v>
                </c:pt>
                <c:pt idx="27">
                  <c:v>54000000</c:v>
                </c:pt>
                <c:pt idx="28">
                  <c:v>56000000</c:v>
                </c:pt>
                <c:pt idx="29">
                  <c:v>58000000</c:v>
                </c:pt>
                <c:pt idx="30">
                  <c:v>60000000</c:v>
                </c:pt>
                <c:pt idx="31">
                  <c:v>62000000</c:v>
                </c:pt>
                <c:pt idx="32">
                  <c:v>64000000</c:v>
                </c:pt>
                <c:pt idx="33">
                  <c:v>66000000</c:v>
                </c:pt>
                <c:pt idx="34">
                  <c:v>68000000</c:v>
                </c:pt>
                <c:pt idx="35">
                  <c:v>70000000</c:v>
                </c:pt>
                <c:pt idx="36">
                  <c:v>72000000</c:v>
                </c:pt>
                <c:pt idx="37">
                  <c:v>74000000</c:v>
                </c:pt>
                <c:pt idx="38">
                  <c:v>76000000</c:v>
                </c:pt>
                <c:pt idx="39">
                  <c:v>78000000</c:v>
                </c:pt>
                <c:pt idx="40">
                  <c:v>80000000</c:v>
                </c:pt>
                <c:pt idx="41">
                  <c:v>82000000</c:v>
                </c:pt>
                <c:pt idx="42">
                  <c:v>84000000</c:v>
                </c:pt>
                <c:pt idx="43">
                  <c:v>86000000</c:v>
                </c:pt>
                <c:pt idx="44">
                  <c:v>88000000</c:v>
                </c:pt>
                <c:pt idx="45">
                  <c:v>90000000</c:v>
                </c:pt>
                <c:pt idx="46">
                  <c:v>92000000</c:v>
                </c:pt>
                <c:pt idx="47">
                  <c:v>94000000</c:v>
                </c:pt>
                <c:pt idx="48">
                  <c:v>96000000</c:v>
                </c:pt>
                <c:pt idx="49">
                  <c:v>98000000</c:v>
                </c:pt>
                <c:pt idx="50">
                  <c:v>100000000</c:v>
                </c:pt>
                <c:pt idx="51">
                  <c:v>102000000</c:v>
                </c:pt>
                <c:pt idx="52">
                  <c:v>104000000</c:v>
                </c:pt>
                <c:pt idx="53">
                  <c:v>106000000</c:v>
                </c:pt>
                <c:pt idx="54">
                  <c:v>108000000</c:v>
                </c:pt>
                <c:pt idx="55">
                  <c:v>110000000</c:v>
                </c:pt>
                <c:pt idx="56">
                  <c:v>112000000</c:v>
                </c:pt>
                <c:pt idx="57">
                  <c:v>114000000</c:v>
                </c:pt>
                <c:pt idx="58">
                  <c:v>116000000</c:v>
                </c:pt>
                <c:pt idx="59">
                  <c:v>118000000</c:v>
                </c:pt>
                <c:pt idx="60">
                  <c:v>120000000</c:v>
                </c:pt>
                <c:pt idx="61">
                  <c:v>122000000</c:v>
                </c:pt>
                <c:pt idx="62">
                  <c:v>124000000</c:v>
                </c:pt>
                <c:pt idx="63">
                  <c:v>126000000</c:v>
                </c:pt>
                <c:pt idx="64">
                  <c:v>128000000</c:v>
                </c:pt>
                <c:pt idx="65">
                  <c:v>130000000</c:v>
                </c:pt>
                <c:pt idx="66">
                  <c:v>132000000</c:v>
                </c:pt>
                <c:pt idx="67">
                  <c:v>134000000</c:v>
                </c:pt>
                <c:pt idx="68">
                  <c:v>136000000</c:v>
                </c:pt>
                <c:pt idx="69">
                  <c:v>138000000</c:v>
                </c:pt>
                <c:pt idx="70">
                  <c:v>140000000</c:v>
                </c:pt>
                <c:pt idx="71">
                  <c:v>142000000</c:v>
                </c:pt>
                <c:pt idx="72">
                  <c:v>144000000</c:v>
                </c:pt>
                <c:pt idx="73">
                  <c:v>146000000</c:v>
                </c:pt>
                <c:pt idx="74">
                  <c:v>148000000</c:v>
                </c:pt>
                <c:pt idx="75">
                  <c:v>150000000</c:v>
                </c:pt>
                <c:pt idx="76">
                  <c:v>152000000</c:v>
                </c:pt>
                <c:pt idx="77">
                  <c:v>154000000</c:v>
                </c:pt>
                <c:pt idx="78">
                  <c:v>156000000</c:v>
                </c:pt>
                <c:pt idx="79">
                  <c:v>158000000</c:v>
                </c:pt>
                <c:pt idx="80">
                  <c:v>160000000</c:v>
                </c:pt>
                <c:pt idx="81">
                  <c:v>162000000</c:v>
                </c:pt>
                <c:pt idx="82">
                  <c:v>164000000</c:v>
                </c:pt>
                <c:pt idx="83">
                  <c:v>166000000</c:v>
                </c:pt>
                <c:pt idx="84">
                  <c:v>168000000</c:v>
                </c:pt>
                <c:pt idx="85">
                  <c:v>170000000</c:v>
                </c:pt>
                <c:pt idx="86">
                  <c:v>172000000</c:v>
                </c:pt>
                <c:pt idx="87">
                  <c:v>174000000</c:v>
                </c:pt>
                <c:pt idx="88">
                  <c:v>176000000</c:v>
                </c:pt>
                <c:pt idx="89">
                  <c:v>178000000</c:v>
                </c:pt>
                <c:pt idx="90">
                  <c:v>180000000</c:v>
                </c:pt>
                <c:pt idx="91">
                  <c:v>182000000</c:v>
                </c:pt>
                <c:pt idx="92">
                  <c:v>184000000</c:v>
                </c:pt>
                <c:pt idx="93">
                  <c:v>186000000</c:v>
                </c:pt>
                <c:pt idx="94">
                  <c:v>188000000</c:v>
                </c:pt>
                <c:pt idx="95">
                  <c:v>190000000</c:v>
                </c:pt>
                <c:pt idx="96">
                  <c:v>192000000</c:v>
                </c:pt>
                <c:pt idx="97">
                  <c:v>194000000</c:v>
                </c:pt>
                <c:pt idx="98">
                  <c:v>196000000</c:v>
                </c:pt>
                <c:pt idx="99">
                  <c:v>198000000</c:v>
                </c:pt>
                <c:pt idx="100">
                  <c:v>200000000</c:v>
                </c:pt>
                <c:pt idx="101">
                  <c:v>202000000</c:v>
                </c:pt>
                <c:pt idx="102">
                  <c:v>204000000</c:v>
                </c:pt>
                <c:pt idx="103">
                  <c:v>206000000</c:v>
                </c:pt>
                <c:pt idx="104">
                  <c:v>208000000</c:v>
                </c:pt>
                <c:pt idx="105">
                  <c:v>210000000</c:v>
                </c:pt>
                <c:pt idx="106">
                  <c:v>212000000</c:v>
                </c:pt>
                <c:pt idx="107">
                  <c:v>214000000</c:v>
                </c:pt>
                <c:pt idx="108">
                  <c:v>216000000</c:v>
                </c:pt>
                <c:pt idx="109">
                  <c:v>218000000</c:v>
                </c:pt>
                <c:pt idx="110">
                  <c:v>220000000</c:v>
                </c:pt>
                <c:pt idx="111">
                  <c:v>222000000</c:v>
                </c:pt>
                <c:pt idx="112">
                  <c:v>224000000</c:v>
                </c:pt>
                <c:pt idx="113">
                  <c:v>226000000</c:v>
                </c:pt>
                <c:pt idx="114">
                  <c:v>228000000</c:v>
                </c:pt>
                <c:pt idx="115">
                  <c:v>230000000</c:v>
                </c:pt>
                <c:pt idx="116">
                  <c:v>232000000</c:v>
                </c:pt>
                <c:pt idx="117">
                  <c:v>234000000</c:v>
                </c:pt>
                <c:pt idx="118">
                  <c:v>236000000</c:v>
                </c:pt>
                <c:pt idx="119">
                  <c:v>238000000</c:v>
                </c:pt>
                <c:pt idx="120">
                  <c:v>240000000</c:v>
                </c:pt>
                <c:pt idx="121">
                  <c:v>242000000</c:v>
                </c:pt>
                <c:pt idx="122">
                  <c:v>244000000</c:v>
                </c:pt>
                <c:pt idx="123">
                  <c:v>246000000</c:v>
                </c:pt>
                <c:pt idx="124">
                  <c:v>248000000</c:v>
                </c:pt>
                <c:pt idx="125">
                  <c:v>250000000</c:v>
                </c:pt>
              </c:numCache>
            </c:numRef>
          </c:xVal>
          <c:yVal>
            <c:numRef>
              <c:f>Sheet1!$BX$9:$BX$833</c:f>
              <c:numCache>
                <c:formatCode>General</c:formatCode>
                <c:ptCount val="825"/>
              </c:numCache>
            </c:numRef>
          </c:yVal>
          <c:smooth val="1"/>
        </c:ser>
        <c:axId val="39965325"/>
        <c:axId val="60573949"/>
      </c:scatterChart>
      <c:valAx>
        <c:axId val="39965325"/>
        <c:scaling>
          <c:orientation val="minMax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75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Frequency Squared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175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0573949"/>
        <c:crossesAt val="0"/>
        <c:crossBetween val="midCat"/>
      </c:valAx>
      <c:valAx>
        <c:axId val="60573949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75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Determinant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175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9965325"/>
        <c:crossesAt val="0"/>
        <c:crossBetween val="midCat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600" b="1" u="none" strike="noStrike">
                <a:solidFill>
                  <a:srgbClr val="000000"/>
                </a:solidFill>
                <a:uFillTx/>
                <a:latin typeface="Arial"/>
              </a:rPr>
              <a:t>First Two Nonuniform Beam Bending Mode Shapes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Sheet1!$CK$5</c:f>
              <c:strCache>
                <c:ptCount val="1"/>
                <c:pt idx="0">
                  <c:v>Fundamental </c:v>
                </c:pt>
              </c:strCache>
            </c:strRef>
          </c:tx>
          <c:spPr>
            <a:solidFill>
              <a:srgbClr val="000080"/>
            </a:solidFill>
            <a:ln w="252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Sheet1!$CJ$6:$CJ$58</c:f>
              <c:numCache>
                <c:formatCode>General</c:formatCode>
                <c:ptCount val="53"/>
                <c:pt idx="2">
                  <c:v>0</c:v>
                </c:pt>
                <c:pt idx="3">
                  <c:v>0.02</c:v>
                </c:pt>
                <c:pt idx="4">
                  <c:v>0.04</c:v>
                </c:pt>
                <c:pt idx="5">
                  <c:v>0.06</c:v>
                </c:pt>
                <c:pt idx="6">
                  <c:v>0.08</c:v>
                </c:pt>
                <c:pt idx="7">
                  <c:v>0.1</c:v>
                </c:pt>
                <c:pt idx="8">
                  <c:v>0.12</c:v>
                </c:pt>
                <c:pt idx="9">
                  <c:v>0.14</c:v>
                </c:pt>
                <c:pt idx="10">
                  <c:v>0.16</c:v>
                </c:pt>
                <c:pt idx="11">
                  <c:v>0.18</c:v>
                </c:pt>
                <c:pt idx="12">
                  <c:v>0.2</c:v>
                </c:pt>
                <c:pt idx="13">
                  <c:v>0.22</c:v>
                </c:pt>
                <c:pt idx="14">
                  <c:v>0.24</c:v>
                </c:pt>
                <c:pt idx="15">
                  <c:v>0.26</c:v>
                </c:pt>
                <c:pt idx="16">
                  <c:v>0.28</c:v>
                </c:pt>
                <c:pt idx="17">
                  <c:v>0.3</c:v>
                </c:pt>
                <c:pt idx="18">
                  <c:v>0.32</c:v>
                </c:pt>
                <c:pt idx="19">
                  <c:v>0.34</c:v>
                </c:pt>
                <c:pt idx="20">
                  <c:v>0.36</c:v>
                </c:pt>
                <c:pt idx="21">
                  <c:v>0.38</c:v>
                </c:pt>
                <c:pt idx="22">
                  <c:v>0.4</c:v>
                </c:pt>
                <c:pt idx="23">
                  <c:v>0.42</c:v>
                </c:pt>
                <c:pt idx="24">
                  <c:v>0.44</c:v>
                </c:pt>
                <c:pt idx="25">
                  <c:v>0.46</c:v>
                </c:pt>
                <c:pt idx="26">
                  <c:v>0.48</c:v>
                </c:pt>
                <c:pt idx="27">
                  <c:v>0.5</c:v>
                </c:pt>
                <c:pt idx="28">
                  <c:v>0.52</c:v>
                </c:pt>
                <c:pt idx="29">
                  <c:v>0.54</c:v>
                </c:pt>
                <c:pt idx="30">
                  <c:v>0.56</c:v>
                </c:pt>
                <c:pt idx="31">
                  <c:v>0.58</c:v>
                </c:pt>
                <c:pt idx="32">
                  <c:v>0.6</c:v>
                </c:pt>
                <c:pt idx="33">
                  <c:v>0.62</c:v>
                </c:pt>
                <c:pt idx="34">
                  <c:v>0.64</c:v>
                </c:pt>
                <c:pt idx="35">
                  <c:v>0.66</c:v>
                </c:pt>
                <c:pt idx="36">
                  <c:v>0.68</c:v>
                </c:pt>
                <c:pt idx="37">
                  <c:v>0.7</c:v>
                </c:pt>
                <c:pt idx="38">
                  <c:v>0.72</c:v>
                </c:pt>
                <c:pt idx="39">
                  <c:v>0.74</c:v>
                </c:pt>
                <c:pt idx="40">
                  <c:v>0.76</c:v>
                </c:pt>
                <c:pt idx="41">
                  <c:v>0.78</c:v>
                </c:pt>
                <c:pt idx="42">
                  <c:v>0.8</c:v>
                </c:pt>
                <c:pt idx="43">
                  <c:v>0.82</c:v>
                </c:pt>
                <c:pt idx="44">
                  <c:v>0.84</c:v>
                </c:pt>
                <c:pt idx="45">
                  <c:v>0.86</c:v>
                </c:pt>
                <c:pt idx="46">
                  <c:v>0.88</c:v>
                </c:pt>
                <c:pt idx="47">
                  <c:v>0.900000000000001</c:v>
                </c:pt>
                <c:pt idx="48">
                  <c:v>0.920000000000001</c:v>
                </c:pt>
                <c:pt idx="49">
                  <c:v>0.940000000000001</c:v>
                </c:pt>
                <c:pt idx="50">
                  <c:v>0.960000000000001</c:v>
                </c:pt>
                <c:pt idx="51">
                  <c:v>0.980000000000001</c:v>
                </c:pt>
                <c:pt idx="52">
                  <c:v>1</c:v>
                </c:pt>
              </c:numCache>
            </c:numRef>
          </c:xVal>
          <c:yVal>
            <c:numRef>
              <c:f>Sheet1!$CK$6:$CK$58</c:f>
              <c:numCache>
                <c:formatCode>General</c:formatCode>
                <c:ptCount val="53"/>
              </c:numCache>
            </c:numRef>
          </c:yVal>
          <c:smooth val="1"/>
        </c:ser>
        <c:ser>
          <c:idx val="1"/>
          <c:order val="1"/>
          <c:tx>
            <c:strRef>
              <c:f>Sheet1!$CL$5</c:f>
              <c:strCache>
                <c:ptCount val="1"/>
                <c:pt idx="0">
                  <c:v>First Harmonic</c:v>
                </c:pt>
              </c:strCache>
            </c:strRef>
          </c:tx>
          <c:spPr>
            <a:solidFill>
              <a:srgbClr val="ff00ff"/>
            </a:solidFill>
            <a:ln w="25200">
              <a:solidFill>
                <a:srgbClr val="ff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Sheet1!$CJ$6:$CJ$58</c:f>
              <c:numCache>
                <c:formatCode>General</c:formatCode>
                <c:ptCount val="53"/>
                <c:pt idx="2">
                  <c:v>0</c:v>
                </c:pt>
                <c:pt idx="3">
                  <c:v>0.02</c:v>
                </c:pt>
                <c:pt idx="4">
                  <c:v>0.04</c:v>
                </c:pt>
                <c:pt idx="5">
                  <c:v>0.06</c:v>
                </c:pt>
                <c:pt idx="6">
                  <c:v>0.08</c:v>
                </c:pt>
                <c:pt idx="7">
                  <c:v>0.1</c:v>
                </c:pt>
                <c:pt idx="8">
                  <c:v>0.12</c:v>
                </c:pt>
                <c:pt idx="9">
                  <c:v>0.14</c:v>
                </c:pt>
                <c:pt idx="10">
                  <c:v>0.16</c:v>
                </c:pt>
                <c:pt idx="11">
                  <c:v>0.18</c:v>
                </c:pt>
                <c:pt idx="12">
                  <c:v>0.2</c:v>
                </c:pt>
                <c:pt idx="13">
                  <c:v>0.22</c:v>
                </c:pt>
                <c:pt idx="14">
                  <c:v>0.24</c:v>
                </c:pt>
                <c:pt idx="15">
                  <c:v>0.26</c:v>
                </c:pt>
                <c:pt idx="16">
                  <c:v>0.28</c:v>
                </c:pt>
                <c:pt idx="17">
                  <c:v>0.3</c:v>
                </c:pt>
                <c:pt idx="18">
                  <c:v>0.32</c:v>
                </c:pt>
                <c:pt idx="19">
                  <c:v>0.34</c:v>
                </c:pt>
                <c:pt idx="20">
                  <c:v>0.36</c:v>
                </c:pt>
                <c:pt idx="21">
                  <c:v>0.38</c:v>
                </c:pt>
                <c:pt idx="22">
                  <c:v>0.4</c:v>
                </c:pt>
                <c:pt idx="23">
                  <c:v>0.42</c:v>
                </c:pt>
                <c:pt idx="24">
                  <c:v>0.44</c:v>
                </c:pt>
                <c:pt idx="25">
                  <c:v>0.46</c:v>
                </c:pt>
                <c:pt idx="26">
                  <c:v>0.48</c:v>
                </c:pt>
                <c:pt idx="27">
                  <c:v>0.5</c:v>
                </c:pt>
                <c:pt idx="28">
                  <c:v>0.52</c:v>
                </c:pt>
                <c:pt idx="29">
                  <c:v>0.54</c:v>
                </c:pt>
                <c:pt idx="30">
                  <c:v>0.56</c:v>
                </c:pt>
                <c:pt idx="31">
                  <c:v>0.58</c:v>
                </c:pt>
                <c:pt idx="32">
                  <c:v>0.6</c:v>
                </c:pt>
                <c:pt idx="33">
                  <c:v>0.62</c:v>
                </c:pt>
                <c:pt idx="34">
                  <c:v>0.64</c:v>
                </c:pt>
                <c:pt idx="35">
                  <c:v>0.66</c:v>
                </c:pt>
                <c:pt idx="36">
                  <c:v>0.68</c:v>
                </c:pt>
                <c:pt idx="37">
                  <c:v>0.7</c:v>
                </c:pt>
                <c:pt idx="38">
                  <c:v>0.72</c:v>
                </c:pt>
                <c:pt idx="39">
                  <c:v>0.74</c:v>
                </c:pt>
                <c:pt idx="40">
                  <c:v>0.76</c:v>
                </c:pt>
                <c:pt idx="41">
                  <c:v>0.78</c:v>
                </c:pt>
                <c:pt idx="42">
                  <c:v>0.8</c:v>
                </c:pt>
                <c:pt idx="43">
                  <c:v>0.82</c:v>
                </c:pt>
                <c:pt idx="44">
                  <c:v>0.84</c:v>
                </c:pt>
                <c:pt idx="45">
                  <c:v>0.86</c:v>
                </c:pt>
                <c:pt idx="46">
                  <c:v>0.88</c:v>
                </c:pt>
                <c:pt idx="47">
                  <c:v>0.900000000000001</c:v>
                </c:pt>
                <c:pt idx="48">
                  <c:v>0.920000000000001</c:v>
                </c:pt>
                <c:pt idx="49">
                  <c:v>0.940000000000001</c:v>
                </c:pt>
                <c:pt idx="50">
                  <c:v>0.960000000000001</c:v>
                </c:pt>
                <c:pt idx="51">
                  <c:v>0.980000000000001</c:v>
                </c:pt>
                <c:pt idx="52">
                  <c:v>1</c:v>
                </c:pt>
              </c:numCache>
            </c:numRef>
          </c:xVal>
          <c:yVal>
            <c:numRef>
              <c:f>Sheet1!$CL$6:$CL$58</c:f>
              <c:numCache>
                <c:formatCode>General</c:formatCode>
                <c:ptCount val="53"/>
              </c:numCache>
            </c:numRef>
          </c:yVal>
          <c:smooth val="1"/>
        </c:ser>
        <c:axId val="30111192"/>
        <c:axId val="30126944"/>
      </c:scatterChart>
      <c:valAx>
        <c:axId val="30111192"/>
        <c:scaling>
          <c:orientation val="minMax"/>
          <c:max val="1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4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Distance from Nose Tip / Body Length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0126944"/>
        <c:crossesAt val="0"/>
        <c:crossBetween val="midCat"/>
      </c:valAx>
      <c:valAx>
        <c:axId val="30126944"/>
        <c:scaling>
          <c:orientation val="minMax"/>
          <c:max val="15"/>
          <c:min val="-10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4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Amplitude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0111192"/>
        <c:crossesAt val="0"/>
        <c:crossBetween val="midCat"/>
      </c:valAx>
      <c:spPr>
        <a:noFill/>
        <a:ln w="12600">
          <a:noFill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400" b="1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18</xdr:row>
      <xdr:rowOff>0</xdr:rowOff>
    </xdr:from>
    <xdr:to>
      <xdr:col>19</xdr:col>
      <xdr:colOff>720</xdr:colOff>
      <xdr:row>41</xdr:row>
      <xdr:rowOff>152280</xdr:rowOff>
    </xdr:to>
    <xdr:graphicFrame>
      <xdr:nvGraphicFramePr>
        <xdr:cNvPr id="1" name="Chart 1"/>
        <xdr:cNvGraphicFramePr/>
      </xdr:nvGraphicFramePr>
      <xdr:xfrm>
        <a:off x="9013320" y="3400560"/>
        <a:ext cx="7561440" cy="3876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66</xdr:col>
      <xdr:colOff>0</xdr:colOff>
      <xdr:row>15</xdr:row>
      <xdr:rowOff>0</xdr:rowOff>
    </xdr:from>
    <xdr:to>
      <xdr:col>73</xdr:col>
      <xdr:colOff>21240</xdr:colOff>
      <xdr:row>34</xdr:row>
      <xdr:rowOff>19080</xdr:rowOff>
    </xdr:to>
    <xdr:graphicFrame>
      <xdr:nvGraphicFramePr>
        <xdr:cNvPr id="2" name="Chart 4"/>
        <xdr:cNvGraphicFramePr/>
      </xdr:nvGraphicFramePr>
      <xdr:xfrm>
        <a:off x="49634280" y="2914560"/>
        <a:ext cx="598572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43</xdr:row>
      <xdr:rowOff>9720</xdr:rowOff>
    </xdr:from>
    <xdr:to>
      <xdr:col>19</xdr:col>
      <xdr:colOff>720</xdr:colOff>
      <xdr:row>66</xdr:row>
      <xdr:rowOff>161640</xdr:rowOff>
    </xdr:to>
    <xdr:graphicFrame>
      <xdr:nvGraphicFramePr>
        <xdr:cNvPr id="3" name="Chart 6"/>
        <xdr:cNvGraphicFramePr/>
      </xdr:nvGraphicFramePr>
      <xdr:xfrm>
        <a:off x="9013320" y="7458120"/>
        <a:ext cx="7561440" cy="3876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CL13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3" min="3" style="0" width="6.7"/>
    <col collapsed="false" customWidth="true" hidden="false" outlineLevel="0" max="4" min="4" style="0" width="10.28"/>
    <col collapsed="false" customWidth="true" hidden="false" outlineLevel="0" max="6" min="5" style="0" width="13.14"/>
    <col collapsed="false" customWidth="true" hidden="false" outlineLevel="0" max="7" min="7" style="0" width="17.85"/>
    <col collapsed="false" customWidth="true" hidden="false" outlineLevel="0" max="9" min="8" style="0" width="8.85"/>
    <col collapsed="false" customWidth="true" hidden="false" outlineLevel="0" max="10" min="10" style="0" width="15.41"/>
    <col collapsed="false" customWidth="true" hidden="false" outlineLevel="0" max="11" min="11" style="0" width="15.56"/>
    <col collapsed="false" customWidth="true" hidden="false" outlineLevel="0" max="12" min="12" style="0" width="16.13"/>
    <col collapsed="false" customWidth="true" hidden="false" outlineLevel="0" max="13" min="13" style="0" width="14.14"/>
    <col collapsed="false" customWidth="true" hidden="false" outlineLevel="0" max="14" min="14" style="0" width="14.28"/>
    <col collapsed="false" customWidth="true" hidden="false" outlineLevel="0" max="15" min="15" style="0" width="13.7"/>
    <col collapsed="false" customWidth="true" hidden="false" outlineLevel="0" max="16" min="16" style="0" width="12.56"/>
    <col collapsed="false" customWidth="true" hidden="false" outlineLevel="0" max="17" min="17" style="0" width="14.56"/>
    <col collapsed="false" customWidth="true" hidden="false" outlineLevel="0" max="18" min="18" style="0" width="12.85"/>
    <col collapsed="false" customWidth="true" hidden="false" outlineLevel="0" max="20" min="20" style="0" width="11.56"/>
    <col collapsed="false" customWidth="true" hidden="false" outlineLevel="0" max="25" min="25" style="0" width="12.7"/>
    <col collapsed="false" customWidth="true" hidden="false" outlineLevel="0" max="26" min="26" style="0" width="12.85"/>
    <col collapsed="false" customWidth="true" hidden="false" outlineLevel="0" max="30" min="30" style="0" width="12.14"/>
    <col collapsed="false" customWidth="true" hidden="false" outlineLevel="0" max="31" min="31" style="0" width="15.99"/>
    <col collapsed="false" customWidth="true" hidden="false" outlineLevel="0" max="35" min="35" style="0" width="11.7"/>
    <col collapsed="false" customWidth="true" hidden="false" outlineLevel="0" max="38" min="38" style="0" width="11.7"/>
    <col collapsed="false" customWidth="true" hidden="false" outlineLevel="0" max="39" min="39" style="0" width="11.56"/>
    <col collapsed="false" customWidth="true" hidden="false" outlineLevel="0" max="40" min="40" style="0" width="10.99"/>
    <col collapsed="false" customWidth="true" hidden="false" outlineLevel="0" max="42" min="42" style="0" width="12.14"/>
    <col collapsed="false" customWidth="true" hidden="false" outlineLevel="0" max="44" min="44" style="0" width="13.28"/>
    <col collapsed="false" customWidth="true" hidden="false" outlineLevel="0" max="45" min="45" style="0" width="10.28"/>
    <col collapsed="false" customWidth="true" hidden="false" outlineLevel="0" max="46" min="46" style="0" width="10.13"/>
    <col collapsed="false" customWidth="true" hidden="false" outlineLevel="0" max="48" min="47" style="0" width="9.85"/>
    <col collapsed="false" customWidth="true" hidden="false" outlineLevel="0" max="49" min="49" style="0" width="9.7"/>
    <col collapsed="false" customWidth="true" hidden="false" outlineLevel="0" max="50" min="50" style="0" width="9.85"/>
    <col collapsed="false" customWidth="true" hidden="false" outlineLevel="0" max="51" min="51" style="0" width="9.7"/>
    <col collapsed="false" customWidth="true" hidden="false" outlineLevel="0" max="52" min="52" style="0" width="9.56"/>
    <col collapsed="false" customWidth="true" hidden="false" outlineLevel="0" max="67" min="67" style="0" width="15.99"/>
    <col collapsed="false" customWidth="true" hidden="false" outlineLevel="0" max="70" min="70" style="0" width="16.28"/>
    <col collapsed="false" customWidth="true" hidden="false" outlineLevel="0" max="73" min="73" style="0" width="16.13"/>
    <col collapsed="false" customWidth="true" hidden="false" outlineLevel="0" max="74" min="74" style="0" width="11.42"/>
    <col collapsed="false" customWidth="true" hidden="false" outlineLevel="0" max="75" min="75" style="0" width="11.85"/>
    <col collapsed="false" customWidth="true" hidden="false" outlineLevel="0" max="76" min="76" style="0" width="14.56"/>
    <col collapsed="false" customWidth="true" hidden="false" outlineLevel="0" max="78" min="77" style="0" width="7.42"/>
    <col collapsed="false" customWidth="true" hidden="false" outlineLevel="0" max="79" min="79" style="0" width="7.28"/>
    <col collapsed="false" customWidth="true" hidden="false" outlineLevel="0" max="80" min="80" style="0" width="6.7"/>
    <col collapsed="false" customWidth="true" hidden="false" outlineLevel="0" max="81" min="81" style="0" width="14.7"/>
    <col collapsed="false" customWidth="true" hidden="false" outlineLevel="0" max="83" min="83" style="0" width="9.99"/>
    <col collapsed="false" customWidth="true" hidden="false" outlineLevel="0" max="84" min="84" style="0" width="14.28"/>
    <col collapsed="false" customWidth="true" hidden="false" outlineLevel="0" max="85" min="85" style="0" width="7.28"/>
    <col collapsed="false" customWidth="true" hidden="false" outlineLevel="0" max="86" min="86" style="0" width="13.56"/>
    <col collapsed="false" customWidth="true" hidden="false" outlineLevel="0" max="89" min="89" style="0" width="13.14"/>
    <col collapsed="false" customWidth="true" hidden="false" outlineLevel="0" max="90" min="90" style="0" width="13.99"/>
    <col collapsed="false" customWidth="true" hidden="false" outlineLevel="0" max="91" min="91" style="0" width="15.7"/>
  </cols>
  <sheetData>
    <row r="3" customFormat="false" ht="18" hidden="false" customHeight="false" outlineLevel="0" collapsed="false">
      <c r="T3" s="1" t="s">
        <v>0</v>
      </c>
      <c r="AK3" s="2" t="s">
        <v>1</v>
      </c>
      <c r="AP3" s="1" t="s">
        <v>2</v>
      </c>
      <c r="BV3" s="2" t="s">
        <v>3</v>
      </c>
      <c r="CJ3" s="2" t="s">
        <v>1</v>
      </c>
    </row>
    <row r="5" customFormat="false" ht="45.75" hidden="false" customHeight="true" outlineLevel="0" collapsed="false"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  <c r="W5" s="3" t="s">
        <v>24</v>
      </c>
      <c r="X5" s="3" t="s">
        <v>25</v>
      </c>
      <c r="Y5" s="3" t="s">
        <v>26</v>
      </c>
      <c r="Z5" s="3" t="s">
        <v>27</v>
      </c>
      <c r="AA5" s="3" t="s">
        <v>28</v>
      </c>
      <c r="AB5" s="3" t="s">
        <v>29</v>
      </c>
      <c r="AC5" s="3" t="s">
        <v>24</v>
      </c>
      <c r="AD5" s="3" t="s">
        <v>30</v>
      </c>
      <c r="AE5" s="3" t="s">
        <v>31</v>
      </c>
      <c r="AF5" s="3" t="s">
        <v>32</v>
      </c>
      <c r="AG5" s="3" t="s">
        <v>33</v>
      </c>
      <c r="AH5" s="3" t="s">
        <v>24</v>
      </c>
      <c r="AI5" s="3" t="s">
        <v>34</v>
      </c>
      <c r="AK5" s="3" t="str">
        <f aca="false">X5</f>
        <v>x/L</v>
      </c>
      <c r="AL5" s="3" t="s">
        <v>35</v>
      </c>
      <c r="AM5" s="3" t="s">
        <v>36</v>
      </c>
      <c r="AN5" s="3" t="s">
        <v>37</v>
      </c>
      <c r="AP5" s="3" t="s">
        <v>38</v>
      </c>
      <c r="AQ5" s="3" t="s">
        <v>39</v>
      </c>
      <c r="AR5" s="3" t="s">
        <v>40</v>
      </c>
      <c r="AS5" s="3" t="s">
        <v>41</v>
      </c>
      <c r="AT5" s="3" t="s">
        <v>42</v>
      </c>
      <c r="AU5" s="3" t="s">
        <v>43</v>
      </c>
      <c r="AV5" s="3" t="s">
        <v>44</v>
      </c>
      <c r="AW5" s="3" t="s">
        <v>45</v>
      </c>
      <c r="AX5" s="3" t="s">
        <v>46</v>
      </c>
      <c r="AY5" s="3" t="s">
        <v>47</v>
      </c>
      <c r="AZ5" s="3" t="s">
        <v>48</v>
      </c>
      <c r="BA5" s="3" t="s">
        <v>49</v>
      </c>
      <c r="BC5" s="3" t="s">
        <v>50</v>
      </c>
      <c r="BD5" s="3" t="s">
        <v>51</v>
      </c>
      <c r="BE5" s="3" t="s">
        <v>52</v>
      </c>
      <c r="BF5" s="3" t="s">
        <v>53</v>
      </c>
      <c r="BG5" s="3" t="s">
        <v>54</v>
      </c>
      <c r="BH5" s="3" t="s">
        <v>55</v>
      </c>
      <c r="BI5" s="3" t="s">
        <v>56</v>
      </c>
      <c r="BJ5" s="3" t="s">
        <v>57</v>
      </c>
      <c r="BK5" s="3" t="s">
        <v>58</v>
      </c>
      <c r="BM5" s="3" t="s">
        <v>59</v>
      </c>
      <c r="BN5" s="3" t="s">
        <v>60</v>
      </c>
      <c r="BO5" s="3" t="s">
        <v>21</v>
      </c>
      <c r="BP5" s="3" t="s">
        <v>59</v>
      </c>
      <c r="BQ5" s="3" t="s">
        <v>60</v>
      </c>
      <c r="BR5" s="3" t="s">
        <v>27</v>
      </c>
      <c r="BS5" s="3" t="s">
        <v>59</v>
      </c>
      <c r="BT5" s="3" t="s">
        <v>60</v>
      </c>
      <c r="BU5" s="3" t="s">
        <v>31</v>
      </c>
      <c r="BV5" s="3" t="s">
        <v>61</v>
      </c>
      <c r="BW5" s="3" t="s">
        <v>62</v>
      </c>
      <c r="BX5" s="3" t="s">
        <v>63</v>
      </c>
      <c r="BY5" s="3" t="s">
        <v>64</v>
      </c>
      <c r="BZ5" s="3" t="s">
        <v>65</v>
      </c>
      <c r="CA5" s="3" t="s">
        <v>66</v>
      </c>
      <c r="CB5" s="3" t="s">
        <v>67</v>
      </c>
      <c r="CC5" s="3" t="s">
        <v>68</v>
      </c>
      <c r="CD5" s="3" t="s">
        <v>69</v>
      </c>
      <c r="CE5" s="3" t="s">
        <v>70</v>
      </c>
      <c r="CF5" s="3" t="s">
        <v>71</v>
      </c>
      <c r="CG5" s="3" t="s">
        <v>67</v>
      </c>
      <c r="CH5" s="3" t="s">
        <v>72</v>
      </c>
      <c r="CJ5" s="3" t="str">
        <f aca="false">CB5</f>
        <v>X / L</v>
      </c>
      <c r="CK5" s="3" t="s">
        <v>73</v>
      </c>
      <c r="CL5" s="3" t="s">
        <v>36</v>
      </c>
    </row>
    <row r="6" customFormat="false" ht="12.75" hidden="false" customHeight="false" outlineLevel="0" collapsed="false">
      <c r="C6" s="4" t="n">
        <v>32.147</v>
      </c>
      <c r="D6" s="5" t="n">
        <v>5</v>
      </c>
      <c r="E6" s="0" t="n">
        <v>1</v>
      </c>
      <c r="F6" s="5" t="s">
        <v>74</v>
      </c>
      <c r="G6" s="5" t="n">
        <v>0</v>
      </c>
      <c r="I6" s="0" t="s">
        <v>75</v>
      </c>
      <c r="J6" s="0" t="s">
        <v>75</v>
      </c>
      <c r="AP6" s="5" t="n">
        <v>10000</v>
      </c>
      <c r="BM6" s="5" t="n">
        <v>50000</v>
      </c>
      <c r="BN6" s="5" t="n">
        <v>80000</v>
      </c>
      <c r="BO6" s="6" t="e">
        <f aca="false">Root(BN6,BM6,AS17,AT17,AU17,AV17,AW17,AX17,AY17,AZ17,BA17,BC17,BD17,BE17,BF17,BG17,BH17,BI17,BJ17,BK17)</f>
        <v>#VALUE!</v>
      </c>
      <c r="BP6" s="5" t="n">
        <v>200000</v>
      </c>
      <c r="BQ6" s="5" t="n">
        <v>400000</v>
      </c>
      <c r="BR6" s="6" t="e">
        <f aca="false">Root(BQ6,BP6,AS17,AT17,AU17,AV17,AW17,AX17,AY17,AZ17,BA17,BC17,BD17,BE17,BF17,BG17,BH17,BI17,BJ17,BK17)</f>
        <v>#VALUE!</v>
      </c>
      <c r="BS6" s="5" t="n">
        <v>2000000</v>
      </c>
      <c r="BT6" s="5" t="n">
        <v>3000000</v>
      </c>
      <c r="BU6" s="6" t="e">
        <f aca="false">Root(BT6,BS6,AS17,AT17,AU17,AV17,AW17,AX17,AY17,AZ17,BA17,BC17,BD17,BE17,BF17,BG17,BH17,BI17,BJ17,BK17)</f>
        <v>#VALUE!</v>
      </c>
      <c r="BV6" s="0" t="e">
        <f aca="false">Q2q1(BO6,BC17,AS17,BD17,AT17,BE17,AU17,BF17,AV17,BG17,AW17,BH17,AX17)</f>
        <v>#VALUE!</v>
      </c>
      <c r="BW6" s="0" t="e">
        <f aca="false">Q3q1(BO6,BC17,AS17,BD17,AT17,BE17,AU17,BF17,AV17,BG17,AW17,BH17,AX17)</f>
        <v>#VALUE!</v>
      </c>
      <c r="BX6" s="0" t="e">
        <f aca="false">1/(1+BV6+BW6)</f>
        <v>#VALUE!</v>
      </c>
      <c r="BY6" s="0" t="n">
        <f aca="false">SQRT(T7/S7)*I7</f>
        <v>4.73004074441679</v>
      </c>
      <c r="BZ6" s="0" t="n">
        <f aca="false">SQRT(Z7/S7)*I7</f>
        <v>7.85320462386347</v>
      </c>
      <c r="CA6" s="0" t="n">
        <f aca="false">SQRT(AE7/S7)*I7</f>
        <v>10.9955742875643</v>
      </c>
      <c r="CD6" s="0" t="e">
        <f aca="false">Q2q1(BR6,BC17,AS17,BD17,AT17,BE17,AU17,BF17,AV17,BG17,AW17,BH17,AX17)</f>
        <v>#VALUE!</v>
      </c>
      <c r="CE6" s="0" t="e">
        <f aca="false">Q3q1(BR6,BC17,AS17,BD17,AT17,BE17,AU17,BF17,AV17,BG17,AW17,BH17,AX17)</f>
        <v>#VALUE!</v>
      </c>
      <c r="CF6" s="0" t="e">
        <f aca="false">1/(1+CD6+CE6)</f>
        <v>#VALUE!</v>
      </c>
    </row>
    <row r="7" customFormat="false" ht="12.75" hidden="false" customHeight="false" outlineLevel="0" collapsed="false">
      <c r="E7" s="0" t="n">
        <v>2</v>
      </c>
      <c r="F7" s="5" t="s">
        <v>76</v>
      </c>
      <c r="G7" s="5" t="n">
        <v>141</v>
      </c>
      <c r="H7" s="0" t="n">
        <f aca="false">(G7-G6)/12</f>
        <v>11.75</v>
      </c>
      <c r="I7" s="6" t="n">
        <f aca="false">SUM(H7:H16)</f>
        <v>30.4166666666667</v>
      </c>
      <c r="J7" s="5" t="n">
        <v>0</v>
      </c>
      <c r="K7" s="7" t="n">
        <v>38900000000</v>
      </c>
      <c r="L7" s="0" t="n">
        <f aca="false">(J7+K7)/288</f>
        <v>135069444.444444</v>
      </c>
      <c r="M7" s="5" t="n">
        <v>0</v>
      </c>
      <c r="N7" s="5" t="n">
        <v>18.13</v>
      </c>
      <c r="O7" s="0" t="n">
        <f aca="false">6*(M7+N7)/($C$6)</f>
        <v>3.38383052850966</v>
      </c>
      <c r="P7" s="6" t="n">
        <f aca="false">SUM(O7:O16)/D6</f>
        <v>7.83488350390394</v>
      </c>
      <c r="Q7" s="8" t="n">
        <f aca="false">L7*H7</f>
        <v>1587065972.22222</v>
      </c>
      <c r="R7" s="6" t="n">
        <f aca="false">SUM(Q7:Q16)/$I$7</f>
        <v>1031322012.9376</v>
      </c>
      <c r="S7" s="0" t="n">
        <f aca="false">SQRT(R7/P7)</f>
        <v>11473.1024617204</v>
      </c>
      <c r="T7" s="6" t="n">
        <f aca="false">S7*(1.505618731*PI()/I7)^2</f>
        <v>277.451705517461</v>
      </c>
      <c r="U7" s="0" t="n">
        <f aca="false">SQRT(T7/S7)*I7</f>
        <v>4.73004074441679</v>
      </c>
      <c r="V7" s="0" t="n">
        <f aca="false">SQRT(T7/S7)</f>
        <v>0.155508188857538</v>
      </c>
      <c r="W7" s="0" t="n">
        <f aca="false">(COS(U7)-COSH(U7))/(SINH(U7)-SIN(U7))</f>
        <v>-0.982502214576238</v>
      </c>
      <c r="X7" s="5" t="n">
        <v>0</v>
      </c>
      <c r="Y7" s="0" t="n">
        <f aca="false">$W$7*(SIN($U$7*X7)+SINH($U$7*X7))+COSH($U$7*X7)+COS($U$7*X7)</f>
        <v>2</v>
      </c>
      <c r="Z7" s="6" t="n">
        <f aca="false">S7*(2.49975267*PI()/I7)^2</f>
        <v>764.806310218383</v>
      </c>
      <c r="AA7" s="0" t="n">
        <f aca="false">SQRT(Z7/S7)*I7</f>
        <v>7.85320462386347</v>
      </c>
      <c r="AB7" s="0" t="n">
        <f aca="false">SQRT(Z7/S7)</f>
        <v>0.258187549277703</v>
      </c>
      <c r="AC7" s="0" t="n">
        <f aca="false">(COS(AA7)-COSH(AA7))/(SINH(AA7)-SIN(AA7))</f>
        <v>-1.00077731190727</v>
      </c>
      <c r="AD7" s="0" t="n">
        <f aca="false">$AC$7*(SINH($AA$7*X7)+SIN($AA$7*X7))+COSH($AA$7*X7)+COS($AA$7*X7)</f>
        <v>2</v>
      </c>
      <c r="AE7" s="6" t="n">
        <f aca="false">S7*(3.5*PI()/I7)^2</f>
        <v>1499.31701421511</v>
      </c>
      <c r="AF7" s="0" t="n">
        <f aca="false">SQRT(AE7/S7)*I7</f>
        <v>10.9955742875643</v>
      </c>
      <c r="AG7" s="0" t="n">
        <f aca="false">SQRT(AE7/S7)</f>
        <v>0.361498332741839</v>
      </c>
      <c r="AH7" s="0" t="n">
        <f aca="false">(COS(AF7)-COSH(AF7))/(SINH(AF7)-SIN(AF7))</f>
        <v>-0.999966450125447</v>
      </c>
      <c r="AI7" s="0" t="n">
        <f aca="false">$AH$7*(SINH($AF$7*X7)+SIN($AF$7*X7))+COSH($AF$7*X7)+COS($AF$7*X7)</f>
        <v>2</v>
      </c>
      <c r="AK7" s="0" t="n">
        <f aca="false">X7</f>
        <v>0</v>
      </c>
      <c r="AL7" s="0" t="n">
        <f aca="false">Y7</f>
        <v>2</v>
      </c>
      <c r="AM7" s="0" t="n">
        <f aca="false">AD7</f>
        <v>2</v>
      </c>
      <c r="AN7" s="0" t="n">
        <f aca="false">AI7</f>
        <v>2</v>
      </c>
      <c r="AP7" s="0" t="n">
        <v>1</v>
      </c>
      <c r="AQ7" s="0" t="n">
        <f aca="false">INT(H7*$AP$6/$I$7)+1</f>
        <v>3864</v>
      </c>
      <c r="AR7" s="0" t="n">
        <f aca="false">H7/AQ7</f>
        <v>0.00304089026915114</v>
      </c>
      <c r="AS7" s="0" t="e">
        <f aca="false">JXYst(AR7,AQ7,J7,K7,G6,G7,$W$7,$V$7,$W$7,$V$7)</f>
        <v>#VALUE!</v>
      </c>
      <c r="AT7" s="0" t="e">
        <f aca="false">JXYst(AR7,AQ7,J7,K7,G6,G7,$W$7,$V$7,$AC$7,$AB$7)</f>
        <v>#VALUE!</v>
      </c>
      <c r="AU7" s="0" t="e">
        <f aca="false">JXYst(AR7,AQ7,J7,K7,G6,G7,$W$7,$V$7,$AH$7,$AG$7)</f>
        <v>#VALUE!</v>
      </c>
      <c r="AV7" s="0" t="e">
        <f aca="false">JXYst(AR7,AQ7,J7,K7,G6,G7,$AC$7,$AB$7,$W$7,$V$7)</f>
        <v>#VALUE!</v>
      </c>
      <c r="AW7" s="0" t="e">
        <f aca="false">JXYst(AR7,AQ7,J7,K7,G6,G7,$AC$7,$AB$7,$AC$7,$AB$7)</f>
        <v>#VALUE!</v>
      </c>
      <c r="AX7" s="0" t="e">
        <f aca="false">JXYst(AR7,AQ7,J7,K7,G6,G7,$AC$7,$AB$7,$AH$7,$AG$7)</f>
        <v>#VALUE!</v>
      </c>
      <c r="AY7" s="0" t="e">
        <f aca="false">JXYst(AR7,AQ7,J7,K7,G6,G7,$AH$7,$AG$7,$W$7,$V$7)</f>
        <v>#VALUE!</v>
      </c>
      <c r="AZ7" s="0" t="e">
        <f aca="false">JXYst(AR7,AQ7,J7,K7,G6,G7,$AH$7,$AG$7,$AC$7,$AB$7)</f>
        <v>#VALUE!</v>
      </c>
      <c r="BA7" s="0" t="e">
        <f aca="false">JXYst(AR7,AQ7,J7,K7,G6,G7,$AH$7,$AG$7,$AH$7,$AG$7)</f>
        <v>#VALUE!</v>
      </c>
      <c r="BC7" s="0" t="e">
        <f aca="false">JXYma(AR7,AQ7,M7,N7,G6,G7,$W$7,$V$7,$W$7,$V$7,$C$6)</f>
        <v>#VALUE!</v>
      </c>
      <c r="BD7" s="0" t="e">
        <f aca="false">JXYma(AR7,AQ7,M7,N7,G6,G7,$W$7,$V$7,$AC$7,$AB$7,$C$6)</f>
        <v>#VALUE!</v>
      </c>
      <c r="BE7" s="0" t="e">
        <f aca="false">JXYma(AR7,AQ7,M7,N7,G6,G7,$W$7,$V$7,$AH$7,$AG$7,$C$6)</f>
        <v>#VALUE!</v>
      </c>
      <c r="BF7" s="0" t="e">
        <f aca="false">JXYma(AR7,AQ7,M7,N7,G6,G7,$AC$7,$AB$7,$W$7,$V$7,$C$6)</f>
        <v>#VALUE!</v>
      </c>
      <c r="BG7" s="0" t="e">
        <f aca="false">JXYma(AR7,AQ7,M7,N7,G6,G7,$AC$7,$AB$7,$AC$7,$AB$7,$C$6)</f>
        <v>#VALUE!</v>
      </c>
      <c r="BH7" s="0" t="e">
        <f aca="false">JXYma(AR7,AQ7,M7,N7,G6,G7,$AC$7,$AB$7,$AH$7,$AG$7,$C$6)</f>
        <v>#VALUE!</v>
      </c>
      <c r="BI7" s="0" t="e">
        <f aca="false">JXYma(AR7,AQ7,M7,N7,G6,G7,$AH$7,$AG$7,$W$7,$V$7,$C$6)</f>
        <v>#VALUE!</v>
      </c>
      <c r="BJ7" s="0" t="e">
        <f aca="false">JXYma(AR7,AQ7,M7,N7,G6,G7,$AH$7,$AG$7,$AC$7,$AB$7,$C$6)</f>
        <v>#VALUE!</v>
      </c>
      <c r="BK7" s="0" t="e">
        <f aca="false">JXYma(AR7,AQ7,M7,N7,G6,G7,$AH$7,$AG$7,$AH$7,$AG$7,$C$6)</f>
        <v>#VALUE!</v>
      </c>
      <c r="BM7" s="9" t="s">
        <v>77</v>
      </c>
      <c r="BN7" s="0" t="e">
        <f aca="false">BO6^2</f>
        <v>#VALUE!</v>
      </c>
      <c r="BP7" s="9" t="s">
        <v>77</v>
      </c>
      <c r="BQ7" s="9" t="e">
        <f aca="false">BR6^2</f>
        <v>#VALUE!</v>
      </c>
      <c r="BS7" s="9" t="s">
        <v>77</v>
      </c>
      <c r="BT7" s="9" t="e">
        <f aca="false">BU6^2</f>
        <v>#VALUE!</v>
      </c>
    </row>
    <row r="8" customFormat="false" ht="12.75" hidden="false" customHeight="false" outlineLevel="0" collapsed="false">
      <c r="E8" s="0" t="n">
        <v>3</v>
      </c>
      <c r="F8" s="5" t="s">
        <v>78</v>
      </c>
      <c r="G8" s="5" t="n">
        <v>177</v>
      </c>
      <c r="H8" s="0" t="n">
        <f aca="false">(G8-G7)/12</f>
        <v>3</v>
      </c>
      <c r="J8" s="7" t="n">
        <v>814000000000</v>
      </c>
      <c r="K8" s="7" t="n">
        <v>814000000000</v>
      </c>
      <c r="L8" s="0" t="n">
        <f aca="false">(J8+K8)/288</f>
        <v>5652777777.77778</v>
      </c>
      <c r="M8" s="5" t="n">
        <v>29.89</v>
      </c>
      <c r="N8" s="5" t="n">
        <v>29.89</v>
      </c>
      <c r="O8" s="0" t="n">
        <f aca="false">6*(M8+N8)/($C$6)</f>
        <v>11.157495256167</v>
      </c>
      <c r="P8" s="10"/>
      <c r="Q8" s="8" t="n">
        <f aca="false">L8*H8</f>
        <v>16958333333.3333</v>
      </c>
      <c r="X8" s="5" t="n">
        <v>0.02</v>
      </c>
      <c r="Y8" s="0" t="n">
        <f aca="false">$W$7*(SIN($U$7*X8)+SINH($U$7*X8))+COSH($U$7*X8)+COS($U$7*X8)</f>
        <v>1.81411552986154</v>
      </c>
      <c r="AD8" s="0" t="n">
        <f aca="false">$AC$7*(SINH($AA$7*X8)+SIN($AA$7*X8))+COSH($AA$7*X8)+COS($AA$7*X8)</f>
        <v>1.6856767590101</v>
      </c>
      <c r="AI8" s="0" t="n">
        <f aca="false">$AH$7*(SINH($AF$7*X8)+SIN($AF$7*X8))+COSH($AF$7*X8)+COS($AF$7*X8)</f>
        <v>1.56037811229015</v>
      </c>
      <c r="AK8" s="0" t="n">
        <f aca="false">X8</f>
        <v>0.02</v>
      </c>
      <c r="AL8" s="0" t="n">
        <f aca="false">Y8</f>
        <v>1.81411552986154</v>
      </c>
      <c r="AM8" s="0" t="n">
        <f aca="false">AD8</f>
        <v>1.6856767590101</v>
      </c>
      <c r="AN8" s="0" t="n">
        <f aca="false">AI8</f>
        <v>1.56037811229015</v>
      </c>
      <c r="AP8" s="0" t="n">
        <v>2</v>
      </c>
      <c r="AQ8" s="0" t="n">
        <f aca="false">INT(H8*$AP$6/$I$7)+1</f>
        <v>987</v>
      </c>
      <c r="AR8" s="0" t="n">
        <f aca="false">H8/AQ8</f>
        <v>0.00303951367781155</v>
      </c>
      <c r="AS8" s="0" t="e">
        <f aca="false">JXYst(AR8,AQ8,J8,K8,G7,G8,$W$7,$V$7,$W$7,$V$7)</f>
        <v>#VALUE!</v>
      </c>
      <c r="AT8" s="0" t="e">
        <f aca="false">JXYst(AR8,AQ8,J8,K8,G7,G8,$W$7,$V$7,$AC$7,$AB$7)</f>
        <v>#VALUE!</v>
      </c>
      <c r="AU8" s="0" t="e">
        <f aca="false">JXYst(AR8,AQ8,J8,K8,G7,G8,$W$7,$V$7,$AH$7,$AG$7)</f>
        <v>#VALUE!</v>
      </c>
      <c r="AV8" s="0" t="e">
        <f aca="false">JXYst(AR8,AQ8,J8,K8,G7,G8,$AC$7,$AB$7,$W$7,$V$7)</f>
        <v>#VALUE!</v>
      </c>
      <c r="AW8" s="0" t="e">
        <f aca="false">JXYst(AR8,AQ8,J8,K8,G7,G8,$AC$7,$AB$7,$AC$7,$AB$7)</f>
        <v>#VALUE!</v>
      </c>
      <c r="AX8" s="0" t="e">
        <f aca="false">JXYst(AR8,AQ8,J8,K8,G7,G8,$AC$7,$AB$7,$AH$7,$AG$7)</f>
        <v>#VALUE!</v>
      </c>
      <c r="AY8" s="0" t="e">
        <f aca="false">JXYst(AR8,AQ8,J8,K8,G7,G8,$AH$7,$AG$7,$W$7,$V$7)</f>
        <v>#VALUE!</v>
      </c>
      <c r="AZ8" s="0" t="e">
        <f aca="false">JXYst(AR8,AQ8,J8,K8,G7,G8,$AH$7,$AG$7,$AC$7,$AB$7)</f>
        <v>#VALUE!</v>
      </c>
      <c r="BA8" s="0" t="e">
        <f aca="false">JXYst(AR8,AQ8,J8,K8,G7,G8,$AH$7,$AG$7,$AH$7,$AG$7)</f>
        <v>#VALUE!</v>
      </c>
      <c r="BC8" s="0" t="e">
        <f aca="false">JXYma(AR8,AQ8,M8,N8,G7,G8,$W$7,$V$7,$W$7,$V$7,$C$6)</f>
        <v>#VALUE!</v>
      </c>
      <c r="BD8" s="0" t="e">
        <f aca="false">JXYma(AR8,AQ8,M8,N8,G7,G8,$W$7,$V$7,$AC$7,$AB$7,$C$6)</f>
        <v>#VALUE!</v>
      </c>
      <c r="BE8" s="0" t="e">
        <f aca="false">JXYma(AR8,AQ8,M8,N8,G7,G8,$W$7,$V$7,$AH$7,$AG$7,$C$6)</f>
        <v>#VALUE!</v>
      </c>
      <c r="BF8" s="0" t="e">
        <f aca="false">JXYma(AR8,AQ8,M8,N8,G7,G8,$AC$7,$AB$7,$W$7,$V$7,$C$6)</f>
        <v>#VALUE!</v>
      </c>
      <c r="BG8" s="0" t="e">
        <f aca="false">JXYma(AR8,AQ8,M8,N8,G7,G8,$AC$7,$AB$7,$AC$7,$AB$7,$C$6)</f>
        <v>#VALUE!</v>
      </c>
      <c r="BH8" s="0" t="e">
        <f aca="false">JXYma(AR8,AQ8,M8,N8,G7,G8,$AC$7,$AB$7,$AH$7,$AG$7,$C$6)</f>
        <v>#VALUE!</v>
      </c>
      <c r="BI8" s="0" t="e">
        <f aca="false">JXYma(AR8,AQ8,M8,N8,G7,G8,$AH$7,$AG$7,$W$7,$V$7,$C$6)</f>
        <v>#VALUE!</v>
      </c>
      <c r="BJ8" s="0" t="e">
        <f aca="false">JXYma(AR8,AQ8,M8,N8,G7,G8,$AH$7,$AG$7,$AC$7,$AB$7,$C$6)</f>
        <v>#VALUE!</v>
      </c>
      <c r="BK8" s="0" t="e">
        <f aca="false">JXYma(AR8,AQ8,M8,N8,G7,G8,$AH$7,$AG$7,$AH$7,$AG$7,$C$6)</f>
        <v>#VALUE!</v>
      </c>
      <c r="BO8" s="11" t="s">
        <v>79</v>
      </c>
      <c r="BR8" s="11" t="s">
        <v>79</v>
      </c>
      <c r="BU8" s="11" t="s">
        <v>79</v>
      </c>
      <c r="BW8" s="0" t="s">
        <v>80</v>
      </c>
      <c r="BX8" s="0" t="s">
        <v>81</v>
      </c>
      <c r="CB8" s="0" t="n">
        <v>0</v>
      </c>
      <c r="CC8" s="0" t="e">
        <f aca="false">$BX$6*(www(CB8,$W$7,$BY$6)+$BV$6*www(CB8,$AC$7,$BZ$6)+$BW$6*www(CB8,$AH$7,$CA$6))</f>
        <v>#VALUE!</v>
      </c>
      <c r="CG8" s="0" t="n">
        <f aca="false">CB8</f>
        <v>0</v>
      </c>
      <c r="CH8" s="0" t="e">
        <f aca="false">$CF$6*(www(CB8,$W$7,$BY$6)+$CD$6*www(CB8,$AC$7,$BZ$6)+$CE$6*www(CB8,$AH$7,$CA$6))</f>
        <v>#VALUE!</v>
      </c>
      <c r="CJ8" s="0" t="n">
        <f aca="false">CG8</f>
        <v>0</v>
      </c>
      <c r="CK8" s="0" t="e">
        <f aca="false">CC8</f>
        <v>#VALUE!</v>
      </c>
      <c r="CL8" s="0" t="e">
        <f aca="false">CH8</f>
        <v>#VALUE!</v>
      </c>
    </row>
    <row r="9" customFormat="false" ht="12.75" hidden="false" customHeight="false" outlineLevel="0" collapsed="false">
      <c r="E9" s="0" t="n">
        <v>4</v>
      </c>
      <c r="F9" s="5" t="s">
        <v>82</v>
      </c>
      <c r="G9" s="5" t="n">
        <v>207</v>
      </c>
      <c r="H9" s="0" t="n">
        <f aca="false">(G9-G8)/12</f>
        <v>2.5</v>
      </c>
      <c r="J9" s="7" t="n">
        <v>160000000000</v>
      </c>
      <c r="K9" s="7" t="n">
        <v>160000000000</v>
      </c>
      <c r="L9" s="0" t="n">
        <f aca="false">(J9+K9)/288</f>
        <v>1111111111.11111</v>
      </c>
      <c r="M9" s="5" t="n">
        <v>12.67</v>
      </c>
      <c r="N9" s="5" t="n">
        <v>12.67</v>
      </c>
      <c r="O9" s="0" t="n">
        <f aca="false">6*(M9+N9)/($C$6)</f>
        <v>4.72952375027219</v>
      </c>
      <c r="P9" s="12"/>
      <c r="Q9" s="8" t="n">
        <f aca="false">L9*H9</f>
        <v>2777777777.77778</v>
      </c>
      <c r="X9" s="5" t="n">
        <f aca="false">X8+0.02</f>
        <v>0.04</v>
      </c>
      <c r="Y9" s="0" t="n">
        <f aca="false">$W$7*(SIN($U$7*X9)+SINH($U$7*X9))+COSH($U$7*X9)+COS($U$7*X9)</f>
        <v>1.62832077638381</v>
      </c>
      <c r="AD9" s="0" t="n">
        <f aca="false">$AC$7*(SINH($AA$7*X9)+SIN($AA$7*X9))+COSH($AA$7*X9)+COS($AA$7*X9)</f>
        <v>1.37201568703378</v>
      </c>
      <c r="AI9" s="0" t="n">
        <f aca="false">$AH$7*(SINH($AF$7*X9)+SIN($AF$7*X9))+COSH($AF$7*X9)+COS($AF$7*X9)</f>
        <v>1.1232277260905</v>
      </c>
      <c r="AK9" s="0" t="n">
        <f aca="false">X9</f>
        <v>0.04</v>
      </c>
      <c r="AL9" s="0" t="n">
        <f aca="false">Y9</f>
        <v>1.62832077638381</v>
      </c>
      <c r="AM9" s="0" t="n">
        <f aca="false">AD9</f>
        <v>1.37201568703378</v>
      </c>
      <c r="AN9" s="0" t="n">
        <f aca="false">AI9</f>
        <v>1.1232277260905</v>
      </c>
      <c r="AP9" s="0" t="n">
        <v>3</v>
      </c>
      <c r="AQ9" s="0" t="n">
        <f aca="false">INT(H9*$AP$6/$I$7)+1</f>
        <v>822</v>
      </c>
      <c r="AR9" s="0" t="n">
        <f aca="false">H9/AQ9</f>
        <v>0.00304136253041363</v>
      </c>
      <c r="AS9" s="0" t="e">
        <f aca="false">JXYst(AR9,AQ9,J9,K9,G8,G9,$W$7,$V$7,$W$7,$V$7)</f>
        <v>#VALUE!</v>
      </c>
      <c r="AT9" s="0" t="e">
        <f aca="false">JXYst(AR9,AQ9,J9,K9,G8,G9,$W$7,$V$7,$AC$7,$AB$7)</f>
        <v>#VALUE!</v>
      </c>
      <c r="AU9" s="0" t="e">
        <f aca="false">JXYst(AR9,AQ9,J9,K9,G8,G9,$W$7,$V$7,$AH$7,$AG$7)</f>
        <v>#VALUE!</v>
      </c>
      <c r="AV9" s="0" t="e">
        <f aca="false">JXYst(AR9,AQ9,J9,K9,G8,G9,$AC$7,$AB$7,$W$7,$V$7)</f>
        <v>#VALUE!</v>
      </c>
      <c r="AW9" s="0" t="e">
        <f aca="false">JXYst(AR9,AQ9,J9,K9,G8,G9,$AC$7,$AB$7,$AC$7,$AB$7)</f>
        <v>#VALUE!</v>
      </c>
      <c r="AX9" s="0" t="e">
        <f aca="false">JXYst(AR9,AQ9,J9,K9,G8,G9,$AC$7,$AB$7,$AH$7,$AG$7)</f>
        <v>#VALUE!</v>
      </c>
      <c r="AY9" s="0" t="e">
        <f aca="false">JXYst(AR9,AQ9,J9,K9,G8,G9,$AH$7,$AG$7,$W$7,$V$7)</f>
        <v>#VALUE!</v>
      </c>
      <c r="AZ9" s="0" t="e">
        <f aca="false">JXYst(AR9,AQ9,J9,K9,G8,G9,$AH$7,$AG$7,$AC$7,$AB$7)</f>
        <v>#VALUE!</v>
      </c>
      <c r="BA9" s="0" t="e">
        <f aca="false">JXYst(AR9,AQ9,J9,K9,G8,G9,$AH$7,$AG$7,$AH$7,$AG$7)</f>
        <v>#VALUE!</v>
      </c>
      <c r="BC9" s="0" t="e">
        <f aca="false">JXYma(AR9,AQ9,M9,N9,G8,G9,$W$7,$V$7,$W$7,$V$7,$C$6)</f>
        <v>#VALUE!</v>
      </c>
      <c r="BD9" s="0" t="e">
        <f aca="false">JXYma(AR9,AQ9,M9,N9,G8,G9,$W$7,$V$7,$AC$7,$AB$7,$C$6)</f>
        <v>#VALUE!</v>
      </c>
      <c r="BE9" s="0" t="e">
        <f aca="false">JXYma(AR9,AQ9,M9,N9,G8,G9,$W$7,$V$7,$AH$7,$AG$7,$C$6)</f>
        <v>#VALUE!</v>
      </c>
      <c r="BF9" s="0" t="e">
        <f aca="false">JXYma(AR9,AQ9,M9,N9,G8,G9,$AC$7,$AB$7,$W$7,$V$7,$C$6)</f>
        <v>#VALUE!</v>
      </c>
      <c r="BG9" s="0" t="e">
        <f aca="false">JXYma(AR9,AQ9,M9,N9,G8,G9,$AC$7,$AB$7,$AC$7,$AB$7,$C$6)</f>
        <v>#VALUE!</v>
      </c>
      <c r="BH9" s="0" t="e">
        <f aca="false">JXYma(AR9,AQ9,M9,N9,G8,G9,$AC$7,$AB$7,$AH$7,$AG$7,$C$6)</f>
        <v>#VALUE!</v>
      </c>
      <c r="BI9" s="0" t="e">
        <f aca="false">JXYma(AR9,AQ9,M9,N9,G8,G9,$AH$7,$AG$7,$W$7,$V$7,$C$6)</f>
        <v>#VALUE!</v>
      </c>
      <c r="BJ9" s="0" t="e">
        <f aca="false">JXYma(AR9,AQ9,M9,N9,G8,G9,$AH$7,$AG$7,$AC$7,$AB$7,$C$6)</f>
        <v>#VALUE!</v>
      </c>
      <c r="BK9" s="0" t="e">
        <f aca="false">JXYma(AR9,AQ9,M9,N9,G8,G9,$AH$7,$AG$7,$AH$7,$AG$7,$C$6)</f>
        <v>#VALUE!</v>
      </c>
      <c r="BO9" s="13" t="n">
        <f aca="false">T7</f>
        <v>277.451705517461</v>
      </c>
      <c r="BR9" s="13" t="n">
        <f aca="false">Z7</f>
        <v>764.806310218383</v>
      </c>
      <c r="BU9" s="13" t="n">
        <f aca="false">AE7</f>
        <v>1499.31701421511</v>
      </c>
      <c r="BW9" s="0" t="n">
        <v>0</v>
      </c>
      <c r="BX9" s="0" t="e">
        <f aca="false">determ3(BW9*$BC$17-$AS$17,BW9*$BD$17-$AT$17,BW9*$BE$17-$AU$17,BW9*$BF$17-$AV$17,BW9*$BG$17-$AW$17,BW9*$BH$17-$AX$17,BW9*$BI$17-$AY$17,BW9*$BJ$17-$AZ$17,BW9*$BK$17-$BA$17)</f>
        <v>#VALUE!</v>
      </c>
      <c r="CB9" s="0" t="n">
        <f aca="false">CB8+0.02</f>
        <v>0.02</v>
      </c>
      <c r="CC9" s="0" t="e">
        <f aca="false">$BX$6*(www(CB9,$W$7,$BY$6)+$BV$6*www(CB9,$AC$7,$BZ$6)+$BW$6*www(CB9,$AH$7,$CA$6))</f>
        <v>#VALUE!</v>
      </c>
      <c r="CG9" s="0" t="n">
        <f aca="false">CB9</f>
        <v>0.02</v>
      </c>
      <c r="CH9" s="0" t="e">
        <f aca="false">$CF$6*(www(CB9,$W$7,$BY$6)+$CD$6*www(CB9,$AC$7,$BZ$6)+$CE$6*www(CB9,$AH$7,$CA$6))</f>
        <v>#VALUE!</v>
      </c>
      <c r="CJ9" s="0" t="n">
        <f aca="false">CG9</f>
        <v>0.02</v>
      </c>
      <c r="CK9" s="0" t="e">
        <f aca="false">CC9</f>
        <v>#VALUE!</v>
      </c>
      <c r="CL9" s="0" t="e">
        <f aca="false">CH9</f>
        <v>#VALUE!</v>
      </c>
    </row>
    <row r="10" customFormat="false" ht="12.75" hidden="false" customHeight="false" outlineLevel="0" collapsed="false">
      <c r="E10" s="0" t="n">
        <v>5</v>
      </c>
      <c r="F10" s="5" t="s">
        <v>83</v>
      </c>
      <c r="G10" s="5" t="n">
        <v>330</v>
      </c>
      <c r="H10" s="0" t="n">
        <f aca="false">(G10-G9)/12</f>
        <v>10.25</v>
      </c>
      <c r="J10" s="7" t="n">
        <v>46370000000</v>
      </c>
      <c r="K10" s="7" t="n">
        <v>56920000000</v>
      </c>
      <c r="L10" s="0" t="n">
        <f aca="false">(J10+K10)/288</f>
        <v>358645833.333333</v>
      </c>
      <c r="M10" s="5" t="n">
        <v>47.89</v>
      </c>
      <c r="N10" s="5" t="n">
        <v>47.89</v>
      </c>
      <c r="O10" s="0" t="n">
        <f aca="false">6*(M10+N10)/($C$6)</f>
        <v>17.8766292344542</v>
      </c>
      <c r="P10" s="12"/>
      <c r="Q10" s="8" t="n">
        <f aca="false">L10*H10</f>
        <v>3676119791.66667</v>
      </c>
      <c r="X10" s="5" t="n">
        <f aca="false">X9+0.02</f>
        <v>0.06</v>
      </c>
      <c r="Y10" s="0" t="n">
        <f aca="false">$W$7*(SIN($U$7*X10)+SINH($U$7*X10))+COSH($U$7*X10)+COS($U$7*X10)</f>
        <v>1.44283740195719</v>
      </c>
      <c r="AD10" s="0" t="n">
        <f aca="false">$AC$7*(SINH($AA$7*X10)+SIN($AA$7*X10))+COSH($AA$7*X10)+COS($AA$7*X10)</f>
        <v>1.06060343713689</v>
      </c>
      <c r="AI10" s="0" t="n">
        <f aca="false">$AH$7*(SINH($AF$7*X10)+SIN($AF$7*X10))+COSH($AF$7*X10)+COS($AF$7*X10)</f>
        <v>0.694280895467272</v>
      </c>
      <c r="AK10" s="0" t="n">
        <f aca="false">X10</f>
        <v>0.06</v>
      </c>
      <c r="AL10" s="0" t="n">
        <f aca="false">Y10</f>
        <v>1.44283740195719</v>
      </c>
      <c r="AM10" s="0" t="n">
        <f aca="false">AD10</f>
        <v>1.06060343713689</v>
      </c>
      <c r="AN10" s="0" t="n">
        <f aca="false">AI10</f>
        <v>0.694280895467272</v>
      </c>
      <c r="AP10" s="0" t="n">
        <v>4</v>
      </c>
      <c r="AQ10" s="0" t="n">
        <f aca="false">INT(H10*$AP$6/$I$7)+1</f>
        <v>3370</v>
      </c>
      <c r="AR10" s="0" t="n">
        <f aca="false">H10/AQ10</f>
        <v>0.00304154302670623</v>
      </c>
      <c r="AS10" s="0" t="e">
        <f aca="false">JXYst(AR10,AQ10,J10,K10,G9,G10,$W$7,$V$7,$W$7,$V$7)</f>
        <v>#VALUE!</v>
      </c>
      <c r="AT10" s="0" t="e">
        <f aca="false">JXYst(AR10,AQ10,J10,K10,G9,G10,$W$7,$V$7,$AC$7,$AB$7)</f>
        <v>#VALUE!</v>
      </c>
      <c r="AU10" s="0" t="e">
        <f aca="false">JXYst(AR10,AQ10,J10,K10,G9,G10,$W$7,$V$7,$AH$7,$AG$7)</f>
        <v>#VALUE!</v>
      </c>
      <c r="AV10" s="0" t="e">
        <f aca="false">JXYst(AR10,AQ10,J10,K10,G9,G10,$AC$7,$AB$7,$W$7,$V$7)</f>
        <v>#VALUE!</v>
      </c>
      <c r="AW10" s="0" t="e">
        <f aca="false">JXYst(AR10,AQ10,J10,K10,G9,G10,$AC$7,$AB$7,$AC$7,$AB$7)</f>
        <v>#VALUE!</v>
      </c>
      <c r="AX10" s="0" t="e">
        <f aca="false">JXYst(AR10,AQ10,J10,K10,G9,G10,$AC$7,$AB$7,$AH$7,$AG$7)</f>
        <v>#VALUE!</v>
      </c>
      <c r="AY10" s="0" t="e">
        <f aca="false">JXYst(AR10,AQ10,J10,K10,G9,G10,$AH$7,$AG$7,$W$7,$V$7)</f>
        <v>#VALUE!</v>
      </c>
      <c r="AZ10" s="0" t="e">
        <f aca="false">JXYst(AR10,AQ10,J10,K10,G9,G10,$AH$7,$AG$7,$AC$7,$AB$7)</f>
        <v>#VALUE!</v>
      </c>
      <c r="BA10" s="0" t="e">
        <f aca="false">JXYst(AR10,AQ10,J10,K10,G9,G10,$AH$7,$AG$7,$AH$7,$AG$7)</f>
        <v>#VALUE!</v>
      </c>
      <c r="BC10" s="0" t="e">
        <f aca="false">JXYma(AR10,AQ10,M10,N10,G9,G10,$W$7,$V$7,$W$7,$V$7,$C$6)</f>
        <v>#VALUE!</v>
      </c>
      <c r="BD10" s="0" t="e">
        <f aca="false">JXYma(AR10,AQ10,M10,N10,G9,G10,$W$7,$V$7,$AC$7,$AB$7,$C$6)</f>
        <v>#VALUE!</v>
      </c>
      <c r="BE10" s="0" t="e">
        <f aca="false">JXYma(AR10,AQ10,M10,N10,G9,G10,$W$7,$V$7,$AH$7,$AG$7,$C$6)</f>
        <v>#VALUE!</v>
      </c>
      <c r="BF10" s="0" t="e">
        <f aca="false">JXYma(AR10,AQ10,M10,N10,G9,G10,$AC$7,$AB$7,$W$7,$V$7,$C$6)</f>
        <v>#VALUE!</v>
      </c>
      <c r="BG10" s="0" t="e">
        <f aca="false">JXYma(AR10,AQ10,M10,N10,G9,G10,$AC$7,$AB$7,$AC$7,$AB$7,$C$6)</f>
        <v>#VALUE!</v>
      </c>
      <c r="BH10" s="0" t="e">
        <f aca="false">JXYma(AR10,AQ10,M10,N10,G9,G10,$AC$7,$AB$7,$AH$7,$AG$7,$C$6)</f>
        <v>#VALUE!</v>
      </c>
      <c r="BI10" s="0" t="e">
        <f aca="false">JXYma(AR10,AQ10,M10,N10,G9,G10,$AH$7,$AG$7,$W$7,$V$7,$C$6)</f>
        <v>#VALUE!</v>
      </c>
      <c r="BJ10" s="0" t="e">
        <f aca="false">JXYma(AR10,AQ10,M10,N10,G9,G10,$AH$7,$AG$7,$AC$7,$AB$7,$C$6)</f>
        <v>#VALUE!</v>
      </c>
      <c r="BK10" s="0" t="e">
        <f aca="false">JXYma(AR10,AQ10,M10,N10,G9,G10,$AH$7,$AG$7,$AH$7,$AG$7,$C$6)</f>
        <v>#VALUE!</v>
      </c>
      <c r="BO10" s="0" t="s">
        <v>75</v>
      </c>
      <c r="BR10" s="0" t="s">
        <v>75</v>
      </c>
      <c r="BU10" s="0" t="s">
        <v>75</v>
      </c>
      <c r="BW10" s="0" t="n">
        <f aca="false">BW9+2000000</f>
        <v>2000000</v>
      </c>
      <c r="BX10" s="0" t="e">
        <f aca="false">determ3(BW10*$BC$17-$AS$17,BW10*$BD$17-$AT$17,BW10*$BE$17-$AU$17,BW10*$BF$17-$AV$17,BW10*$BG$17-$AW$17,BW10*$BH$17-$AX$17,BW10*$BI$17-$AY$17,BW10*$BJ$17-$AZ$17,BW10*$BK$17-$BA$17)</f>
        <v>#VALUE!</v>
      </c>
      <c r="CB10" s="0" t="n">
        <f aca="false">CB9+0.02</f>
        <v>0.04</v>
      </c>
      <c r="CC10" s="0" t="e">
        <f aca="false">$BX$6*(www(CB10,$W$7,$BY$6)+$BV$6*www(CB10,$AC$7,$BZ$6)+$BW$6*www(CB10,$AH$7,$CA$6))</f>
        <v>#VALUE!</v>
      </c>
      <c r="CG10" s="0" t="n">
        <f aca="false">CB10</f>
        <v>0.04</v>
      </c>
      <c r="CH10" s="0" t="e">
        <f aca="false">$CF$6*(www(CB10,$W$7,$BY$6)+$CD$6*www(CB10,$AC$7,$BZ$6)+$CE$6*www(CB10,$AH$7,$CA$6))</f>
        <v>#VALUE!</v>
      </c>
      <c r="CJ10" s="0" t="n">
        <f aca="false">CG10</f>
        <v>0.04</v>
      </c>
      <c r="CK10" s="0" t="e">
        <f aca="false">CC10</f>
        <v>#VALUE!</v>
      </c>
      <c r="CL10" s="0" t="e">
        <f aca="false">CH10</f>
        <v>#VALUE!</v>
      </c>
    </row>
    <row r="11" customFormat="false" ht="12.75" hidden="false" customHeight="false" outlineLevel="0" collapsed="false">
      <c r="E11" s="0" t="s">
        <v>75</v>
      </c>
      <c r="F11" s="0" t="s">
        <v>75</v>
      </c>
      <c r="G11" s="5" t="n">
        <v>365</v>
      </c>
      <c r="H11" s="0" t="n">
        <f aca="false">(G11-G10)/12</f>
        <v>2.91666666666667</v>
      </c>
      <c r="J11" s="7" t="n">
        <v>160000000000</v>
      </c>
      <c r="K11" s="7" t="n">
        <v>469000000000</v>
      </c>
      <c r="L11" s="0" t="n">
        <f aca="false">(J11+K11)/288</f>
        <v>2184027777.77778</v>
      </c>
      <c r="M11" s="14" t="n">
        <v>5.43</v>
      </c>
      <c r="N11" s="5" t="n">
        <v>5.43</v>
      </c>
      <c r="O11" s="0" t="n">
        <f aca="false">6*(M11+N11)/($C$6)</f>
        <v>2.02693875011665</v>
      </c>
      <c r="P11" s="12"/>
      <c r="Q11" s="8" t="n">
        <f aca="false">L11*H11</f>
        <v>6370081018.51852</v>
      </c>
      <c r="X11" s="5" t="n">
        <f aca="false">X10+0.02</f>
        <v>0.08</v>
      </c>
      <c r="Y11" s="0" t="n">
        <f aca="false">$W$7*(SIN($U$7*X11)+SINH($U$7*X11))+COSH($U$7*X11)+COS($U$7*X11)</f>
        <v>1.25801748569008</v>
      </c>
      <c r="AD11" s="0" t="n">
        <f aca="false">$AC$7*(SINH($AA$7*X11)+SIN($AA$7*X11))+COSH($AA$7*X11)+COS($AA$7*X11)</f>
        <v>0.753861851778753</v>
      </c>
      <c r="AI11" s="0" t="n">
        <f aca="false">$AH$7*(SINH($AF$7*X11)+SIN($AF$7*X11))+COSH($AF$7*X11)+COS($AF$7*X11)</f>
        <v>0.281899860022848</v>
      </c>
      <c r="AK11" s="0" t="n">
        <f aca="false">X11</f>
        <v>0.08</v>
      </c>
      <c r="AL11" s="0" t="n">
        <f aca="false">Y11</f>
        <v>1.25801748569008</v>
      </c>
      <c r="AM11" s="0" t="n">
        <f aca="false">AD11</f>
        <v>0.753861851778753</v>
      </c>
      <c r="AN11" s="0" t="n">
        <f aca="false">AI11</f>
        <v>0.281899860022848</v>
      </c>
      <c r="AP11" s="0" t="n">
        <v>5</v>
      </c>
      <c r="AQ11" s="0" t="n">
        <f aca="false">INT(H11*$AP$6/$I$7)+1</f>
        <v>959</v>
      </c>
      <c r="AR11" s="0" t="n">
        <f aca="false">H11/AQ11</f>
        <v>0.00304136253041363</v>
      </c>
      <c r="AS11" s="0" t="e">
        <f aca="false">JXYst(AR11,AQ11,J11,K11,G10,G11,$W$7,$V$7,$W$7,$V$7)</f>
        <v>#VALUE!</v>
      </c>
      <c r="AT11" s="0" t="e">
        <f aca="false">JXYst(AR11,AQ11,J11,K11,G10,G11,$W$7,$V$7,$AC$7,$AB$7)</f>
        <v>#VALUE!</v>
      </c>
      <c r="AU11" s="0" t="e">
        <f aca="false">JXYst(AR11,AQ11,J11,K11,G10,G11,$W$7,$V$7,$AH$7,$AG$7)</f>
        <v>#VALUE!</v>
      </c>
      <c r="AV11" s="0" t="e">
        <f aca="false">JXYst(AR11,AQ11,J11,K11,G10,G11,$AC$7,$AB$7,$W$7,$V$7)</f>
        <v>#VALUE!</v>
      </c>
      <c r="AW11" s="0" t="e">
        <f aca="false">JXYst(AR11,AQ11,J11,K11,G10,G11,$AC$7,$AB$7,$AC$7,$AB$7)</f>
        <v>#VALUE!</v>
      </c>
      <c r="AX11" s="0" t="e">
        <f aca="false">JXYst(AR11,AQ11,J11,K11,G10,G11,$AC$7,$AB$7,$AH$7,$AG$7)</f>
        <v>#VALUE!</v>
      </c>
      <c r="AY11" s="0" t="e">
        <f aca="false">JXYst(AR11,AQ11,J11,K11,G10,G11,$AH$7,$AG$7,$W$7,$V$7)</f>
        <v>#VALUE!</v>
      </c>
      <c r="AZ11" s="0" t="e">
        <f aca="false">JXYst(AR11,AQ11,J11,K11,G10,G11,$AH$7,$AG$7,$AC$7,$AB$7)</f>
        <v>#VALUE!</v>
      </c>
      <c r="BA11" s="0" t="e">
        <f aca="false">JXYst(AR11,AQ11,J11,K11,G10,G11,$AH$7,$AG$7,$AH$7,$AG$7)</f>
        <v>#VALUE!</v>
      </c>
      <c r="BC11" s="0" t="e">
        <f aca="false">JXYma(AR11,AQ11,M11,N11,G10,G11,$W$7,$V$7,$W$7,$V$7,$C$6)</f>
        <v>#VALUE!</v>
      </c>
      <c r="BD11" s="0" t="e">
        <f aca="false">JXYma(AR11,AQ11,M11,N11,G10,G11,$W$7,$V$7,$AC$7,$AB$7,$C$6)</f>
        <v>#VALUE!</v>
      </c>
      <c r="BE11" s="0" t="e">
        <f aca="false">JXYma(AR11,AQ11,M11,N11,G10,G11,$W$7,$V$7,$AH$7,$AG$7,$C$6)</f>
        <v>#VALUE!</v>
      </c>
      <c r="BF11" s="0" t="e">
        <f aca="false">JXYma(AR11,AQ11,M11,N11,G10,G11,$AC$7,$AB$7,$W$7,$V$7,$C$6)</f>
        <v>#VALUE!</v>
      </c>
      <c r="BG11" s="0" t="e">
        <f aca="false">JXYma(AR11,AQ11,M11,N11,G10,G11,$AC$7,$AB$7,$AC$7,$AB$7,$C$6)</f>
        <v>#VALUE!</v>
      </c>
      <c r="BH11" s="0" t="e">
        <f aca="false">JXYma(AR11,AQ11,M11,N11,G10,G11,$AC$7,$AB$7,$AH$7,$AG$7,$C$6)</f>
        <v>#VALUE!</v>
      </c>
      <c r="BI11" s="0" t="e">
        <f aca="false">JXYma(AR11,AQ11,M11,N11,G10,G11,$AH$7,$AG$7,$W$7,$V$7,$C$6)</f>
        <v>#VALUE!</v>
      </c>
      <c r="BJ11" s="0" t="e">
        <f aca="false">JXYma(AR11,AQ11,M11,N11,G10,G11,$AH$7,$AG$7,$AC$7,$AB$7,$C$6)</f>
        <v>#VALUE!</v>
      </c>
      <c r="BK11" s="0" t="e">
        <f aca="false">JXYma(AR11,AQ11,M11,N11,G10,G11,$AH$7,$AG$7,$AH$7,$AG$7,$C$6)</f>
        <v>#VALUE!</v>
      </c>
      <c r="BO11" s="15" t="s">
        <v>84</v>
      </c>
      <c r="BR11" s="15" t="s">
        <v>84</v>
      </c>
      <c r="BU11" s="15" t="s">
        <v>84</v>
      </c>
      <c r="BW11" s="0" t="n">
        <f aca="false">BW10+2000000</f>
        <v>4000000</v>
      </c>
      <c r="BX11" s="0" t="e">
        <f aca="false">determ3(BW11*$BC$17-$AS$17,BW11*$BD$17-$AT$17,BW11*$BE$17-$AU$17,BW11*$BF$17-$AV$17,BW11*$BG$17-$AW$17,BW11*$BH$17-$AX$17,BW11*$BI$17-$AY$17,BW11*$BJ$17-$AZ$17,BW11*$BK$17-$BA$17)</f>
        <v>#VALUE!</v>
      </c>
      <c r="CB11" s="0" t="n">
        <f aca="false">CB10+0.02</f>
        <v>0.06</v>
      </c>
      <c r="CC11" s="0" t="e">
        <f aca="false">$BX$6*(www(CB11,$W$7,$BY$6)+$BV$6*www(CB11,$AC$7,$BZ$6)+$BW$6*www(CB11,$AH$7,$CA$6))</f>
        <v>#VALUE!</v>
      </c>
      <c r="CG11" s="0" t="n">
        <f aca="false">CB11</f>
        <v>0.06</v>
      </c>
      <c r="CH11" s="0" t="e">
        <f aca="false">$CF$6*(www(CB11,$W$7,$BY$6)+$CD$6*www(CB11,$AC$7,$BZ$6)+$CE$6*www(CB11,$AH$7,$CA$6))</f>
        <v>#VALUE!</v>
      </c>
      <c r="CJ11" s="0" t="n">
        <f aca="false">CG11</f>
        <v>0.06</v>
      </c>
      <c r="CK11" s="0" t="e">
        <f aca="false">CC11</f>
        <v>#VALUE!</v>
      </c>
      <c r="CL11" s="0" t="e">
        <f aca="false">CH11</f>
        <v>#VALUE!</v>
      </c>
    </row>
    <row r="12" customFormat="false" ht="12.75" hidden="false" customHeight="false" outlineLevel="0" collapsed="false">
      <c r="L12" s="0" t="n">
        <f aca="false">(J12+K12)/288</f>
        <v>0</v>
      </c>
      <c r="M12" s="16" t="s">
        <v>75</v>
      </c>
      <c r="N12" s="16" t="s">
        <v>75</v>
      </c>
      <c r="O12" s="16" t="s">
        <v>75</v>
      </c>
      <c r="X12" s="5" t="n">
        <f aca="false">X11+0.02</f>
        <v>0.1</v>
      </c>
      <c r="Y12" s="0" t="n">
        <f aca="false">$W$7*(SIN($U$7*X12)+SINH($U$7*X12))+COSH($U$7*X12)+COS($U$7*X12)</f>
        <v>1.07432867270522</v>
      </c>
      <c r="AD12" s="0" t="n">
        <f aca="false">$AC$7*(SINH($AA$7*X12)+SIN($AA$7*X12))+COSH($AA$7*X12)+COS($AA$7*X12)</f>
        <v>0.454858693727956</v>
      </c>
      <c r="AI12" s="0" t="n">
        <f aca="false">$AH$7*(SINH($AF$7*X12)+SIN($AF$7*X12))+COSH($AF$7*X12)+COS($AF$7*X12)</f>
        <v>-0.1039229097848</v>
      </c>
      <c r="AK12" s="0" t="n">
        <f aca="false">X12</f>
        <v>0.1</v>
      </c>
      <c r="AL12" s="0" t="n">
        <f aca="false">Y12</f>
        <v>1.07432867270522</v>
      </c>
      <c r="AM12" s="0" t="n">
        <f aca="false">AD12</f>
        <v>0.454858693727956</v>
      </c>
      <c r="AN12" s="0" t="n">
        <f aca="false">AI12</f>
        <v>-0.1039229097848</v>
      </c>
      <c r="BM12" s="9"/>
      <c r="BO12" s="17" t="e">
        <f aca="false">SQRT(AS17/BC17)</f>
        <v>#VALUE!</v>
      </c>
      <c r="BP12" s="9"/>
      <c r="BR12" s="13" t="e">
        <f aca="false">SQRT(AW17/BG17)</f>
        <v>#VALUE!</v>
      </c>
      <c r="BU12" s="13" t="e">
        <f aca="false">SQRT(BA17/BK17)</f>
        <v>#VALUE!</v>
      </c>
      <c r="BW12" s="0" t="n">
        <f aca="false">BW11+2000000</f>
        <v>6000000</v>
      </c>
      <c r="BX12" s="0" t="e">
        <f aca="false">determ3(BW12*$BC$17-$AS$17,BW12*$BD$17-$AT$17,BW12*$BE$17-$AU$17,BW12*$BF$17-$AV$17,BW12*$BG$17-$AW$17,BW12*$BH$17-$AX$17,BW12*$BI$17-$AY$17,BW12*$BJ$17-$AZ$17,BW12*$BK$17-$BA$17)</f>
        <v>#VALUE!</v>
      </c>
      <c r="CB12" s="0" t="n">
        <f aca="false">CB11+0.02</f>
        <v>0.08</v>
      </c>
      <c r="CC12" s="0" t="e">
        <f aca="false">$BX$6*(www(CB12,$W$7,$BY$6)+$BV$6*www(CB12,$AC$7,$BZ$6)+$BW$6*www(CB12,$AH$7,$CA$6))</f>
        <v>#VALUE!</v>
      </c>
      <c r="CG12" s="0" t="n">
        <f aca="false">CB12</f>
        <v>0.08</v>
      </c>
      <c r="CH12" s="0" t="e">
        <f aca="false">$CF$6*(www(CB12,$W$7,$BY$6)+$CD$6*www(CB12,$AC$7,$BZ$6)+$CE$6*www(CB12,$AH$7,$CA$6))</f>
        <v>#VALUE!</v>
      </c>
      <c r="CJ12" s="0" t="n">
        <f aca="false">CG12</f>
        <v>0.08</v>
      </c>
      <c r="CK12" s="0" t="e">
        <f aca="false">CC12</f>
        <v>#VALUE!</v>
      </c>
      <c r="CL12" s="0" t="e">
        <f aca="false">CH12</f>
        <v>#VALUE!</v>
      </c>
    </row>
    <row r="13" customFormat="false" ht="12.75" hidden="false" customHeight="false" outlineLevel="0" collapsed="false">
      <c r="F13" s="18"/>
      <c r="G13" s="18"/>
      <c r="H13" s="18"/>
      <c r="L13" s="0" t="s">
        <v>75</v>
      </c>
      <c r="M13" s="0" t="s">
        <v>75</v>
      </c>
      <c r="N13" s="0" t="s">
        <v>75</v>
      </c>
      <c r="O13" s="0" t="s">
        <v>75</v>
      </c>
      <c r="X13" s="5" t="n">
        <f aca="false">X12+0.02</f>
        <v>0.12</v>
      </c>
      <c r="Y13" s="0" t="n">
        <f aca="false">$W$7*(SIN($U$7*X13)+SINH($U$7*X13))+COSH($U$7*X13)+COS($U$7*X13)</f>
        <v>0.892339378115041</v>
      </c>
      <c r="AD13" s="0" t="n">
        <f aca="false">$AC$7*(SINH($AA$7*X13)+SIN($AA$7*X13))+COSH($AA$7*X13)+COS($AA$7*X13)</f>
        <v>0.167121284897158</v>
      </c>
      <c r="AI13" s="0" t="n">
        <f aca="false">$AH$7*(SINH($AF$7*X13)+SIN($AF$7*X13))+COSH($AF$7*X13)+COS($AF$7*X13)</f>
        <v>-0.452525288032019</v>
      </c>
      <c r="AK13" s="0" t="n">
        <f aca="false">X13</f>
        <v>0.12</v>
      </c>
      <c r="AL13" s="0" t="n">
        <f aca="false">Y13</f>
        <v>0.892339378115041</v>
      </c>
      <c r="AM13" s="0" t="n">
        <f aca="false">AD13</f>
        <v>0.167121284897158</v>
      </c>
      <c r="AN13" s="0" t="n">
        <f aca="false">AI13</f>
        <v>-0.452525288032019</v>
      </c>
      <c r="BO13" s="0" t="s">
        <v>75</v>
      </c>
      <c r="BR13" s="0" t="s">
        <v>75</v>
      </c>
      <c r="BU13" s="0" t="s">
        <v>75</v>
      </c>
      <c r="BW13" s="0" t="n">
        <f aca="false">BW12+2000000</f>
        <v>8000000</v>
      </c>
      <c r="BX13" s="0" t="e">
        <f aca="false">determ3(BW13*$BC$17-$AS$17,BW13*$BD$17-$AT$17,BW13*$BE$17-$AU$17,BW13*$BF$17-$AV$17,BW13*$BG$17-$AW$17,BW13*$BH$17-$AX$17,BW13*$BI$17-$AY$17,BW13*$BJ$17-$AZ$17,BW13*$BK$17-$BA$17)</f>
        <v>#VALUE!</v>
      </c>
      <c r="CB13" s="0" t="n">
        <f aca="false">CB12+0.02</f>
        <v>0.1</v>
      </c>
      <c r="CC13" s="0" t="e">
        <f aca="false">$BX$6*(www(CB13,$W$7,$BY$6)+$BV$6*www(CB13,$AC$7,$BZ$6)+$BW$6*www(CB13,$AH$7,$CA$6))</f>
        <v>#VALUE!</v>
      </c>
      <c r="CG13" s="0" t="n">
        <f aca="false">CB13</f>
        <v>0.1</v>
      </c>
      <c r="CH13" s="0" t="e">
        <f aca="false">$CF$6*(www(CB13,$W$7,$BY$6)+$CD$6*www(CB13,$AC$7,$BZ$6)+$CE$6*www(CB13,$AH$7,$CA$6))</f>
        <v>#VALUE!</v>
      </c>
      <c r="CJ13" s="0" t="n">
        <f aca="false">CG13</f>
        <v>0.1</v>
      </c>
      <c r="CK13" s="0" t="e">
        <f aca="false">CC13</f>
        <v>#VALUE!</v>
      </c>
      <c r="CL13" s="0" t="e">
        <f aca="false">CH13</f>
        <v>#VALUE!</v>
      </c>
    </row>
    <row r="14" customFormat="false" ht="12.75" hidden="false" customHeight="false" outlineLevel="0" collapsed="false">
      <c r="F14" s="18"/>
      <c r="G14" s="18"/>
      <c r="H14" s="18"/>
      <c r="L14" s="0" t="s">
        <v>75</v>
      </c>
      <c r="M14" s="0" t="s">
        <v>75</v>
      </c>
      <c r="N14" s="0" t="s">
        <v>75</v>
      </c>
      <c r="O14" s="0" t="s">
        <v>75</v>
      </c>
      <c r="X14" s="5" t="n">
        <f aca="false">X13+0.02</f>
        <v>0.14</v>
      </c>
      <c r="Y14" s="0" t="n">
        <f aca="false">$W$7*(SIN($U$7*X14)+SINH($U$7*X14))+COSH($U$7*X14)+COS($U$7*X14)</f>
        <v>0.712704082932519</v>
      </c>
      <c r="AD14" s="0" t="n">
        <f aca="false">$AC$7*(SINH($AA$7*X14)+SIN($AA$7*X14))+COSH($AA$7*X14)+COS($AA$7*X14)</f>
        <v>-0.105545098870758</v>
      </c>
      <c r="AI14" s="0" t="n">
        <f aca="false">$AH$7*(SINH($AF$7*X14)+SIN($AF$7*X14))+COSH($AF$7*X14)+COS($AF$7*X14)</f>
        <v>-0.753473693623405</v>
      </c>
      <c r="AK14" s="0" t="n">
        <f aca="false">X14</f>
        <v>0.14</v>
      </c>
      <c r="AL14" s="0" t="n">
        <f aca="false">Y14</f>
        <v>0.712704082932519</v>
      </c>
      <c r="AM14" s="0" t="n">
        <f aca="false">AD14</f>
        <v>-0.105545098870758</v>
      </c>
      <c r="AN14" s="0" t="n">
        <f aca="false">AI14</f>
        <v>-0.753473693623405</v>
      </c>
      <c r="BO14" s="0" t="s">
        <v>75</v>
      </c>
      <c r="BR14" s="0" t="s">
        <v>75</v>
      </c>
      <c r="BU14" s="0" t="s">
        <v>75</v>
      </c>
      <c r="BW14" s="0" t="n">
        <f aca="false">BW13+2000000</f>
        <v>10000000</v>
      </c>
      <c r="BX14" s="0" t="e">
        <f aca="false">determ3(BW14*$BC$17-$AS$17,BW14*$BD$17-$AT$17,BW14*$BE$17-$AU$17,BW14*$BF$17-$AV$17,BW14*$BG$17-$AW$17,BW14*$BH$17-$AX$17,BW14*$BI$17-$AY$17,BW14*$BJ$17-$AZ$17,BW14*$BK$17-$BA$17)</f>
        <v>#VALUE!</v>
      </c>
      <c r="CB14" s="0" t="n">
        <f aca="false">CB13+0.02</f>
        <v>0.12</v>
      </c>
      <c r="CC14" s="0" t="e">
        <f aca="false">$BX$6*(www(CB14,$W$7,$BY$6)+$BV$6*www(CB14,$AC$7,$BZ$6)+$BW$6*www(CB14,$AH$7,$CA$6))</f>
        <v>#VALUE!</v>
      </c>
      <c r="CG14" s="0" t="n">
        <f aca="false">CB14</f>
        <v>0.12</v>
      </c>
      <c r="CH14" s="0" t="e">
        <f aca="false">$CF$6*(www(CB14,$W$7,$BY$6)+$CD$6*www(CB14,$AC$7,$BZ$6)+$CE$6*www(CB14,$AH$7,$CA$6))</f>
        <v>#VALUE!</v>
      </c>
      <c r="CJ14" s="0" t="n">
        <f aca="false">CG14</f>
        <v>0.12</v>
      </c>
      <c r="CK14" s="0" t="e">
        <f aca="false">CC14</f>
        <v>#VALUE!</v>
      </c>
      <c r="CL14" s="0" t="e">
        <f aca="false">CH14</f>
        <v>#VALUE!</v>
      </c>
    </row>
    <row r="15" customFormat="false" ht="12.75" hidden="false" customHeight="false" outlineLevel="0" collapsed="false">
      <c r="F15" s="18"/>
      <c r="G15" s="18"/>
      <c r="H15" s="18"/>
      <c r="I15" s="0" t="n">
        <v>21.875</v>
      </c>
      <c r="J15" s="0" t="n">
        <f aca="false">PI()*I15^3*0.394</f>
        <v>12956.5769772776</v>
      </c>
      <c r="L15" s="0" t="s">
        <v>75</v>
      </c>
      <c r="M15" s="0" t="s">
        <v>75</v>
      </c>
      <c r="N15" s="0" t="s">
        <v>75</v>
      </c>
      <c r="O15" s="0" t="s">
        <v>75</v>
      </c>
      <c r="X15" s="5" t="n">
        <f aca="false">X14+0.02</f>
        <v>0.16</v>
      </c>
      <c r="Y15" s="0" t="n">
        <f aca="false">$W$7*(SIN($U$7*X15)+SINH($U$7*X15))+COSH($U$7*X15)+COS($U$7*X15)</f>
        <v>0.536148767245646</v>
      </c>
      <c r="AD15" s="0" t="n">
        <f aca="false">$AC$7*(SINH($AA$7*X15)+SIN($AA$7*X15))+COSH($AA$7*X15)+COS($AA$7*X15)</f>
        <v>-0.359231948878948</v>
      </c>
      <c r="AI15" s="0" t="n">
        <f aca="false">$AH$7*(SINH($AF$7*X15)+SIN($AF$7*X15))+COSH($AF$7*X15)+COS($AF$7*X15)</f>
        <v>-0.997374329190823</v>
      </c>
      <c r="AK15" s="0" t="n">
        <f aca="false">X15</f>
        <v>0.16</v>
      </c>
      <c r="AL15" s="0" t="n">
        <f aca="false">Y15</f>
        <v>0.536148767245646</v>
      </c>
      <c r="AM15" s="0" t="n">
        <f aca="false">AD15</f>
        <v>-0.359231948878948</v>
      </c>
      <c r="AN15" s="0" t="n">
        <f aca="false">AI15</f>
        <v>-0.997374329190823</v>
      </c>
      <c r="BO15" s="0" t="s">
        <v>75</v>
      </c>
      <c r="BR15" s="0" t="s">
        <v>75</v>
      </c>
      <c r="BU15" s="0" t="s">
        <v>75</v>
      </c>
      <c r="BW15" s="0" t="n">
        <f aca="false">BW14+2000000</f>
        <v>12000000</v>
      </c>
      <c r="BX15" s="0" t="e">
        <f aca="false">determ3(BW15*$BC$17-$AS$17,BW15*$BD$17-$AT$17,BW15*$BE$17-$AU$17,BW15*$BF$17-$AV$17,BW15*$BG$17-$AW$17,BW15*$BH$17-$AX$17,BW15*$BI$17-$AY$17,BW15*$BJ$17-$AZ$17,BW15*$BK$17-$BA$17)</f>
        <v>#VALUE!</v>
      </c>
      <c r="CB15" s="0" t="n">
        <f aca="false">CB14+0.02</f>
        <v>0.14</v>
      </c>
      <c r="CC15" s="0" t="e">
        <f aca="false">$BX$6*(www(CB15,$W$7,$BY$6)+$BV$6*www(CB15,$AC$7,$BZ$6)+$BW$6*www(CB15,$AH$7,$CA$6))</f>
        <v>#VALUE!</v>
      </c>
      <c r="CG15" s="0" t="n">
        <f aca="false">CB15</f>
        <v>0.14</v>
      </c>
      <c r="CH15" s="0" t="e">
        <f aca="false">$CF$6*(www(CB15,$W$7,$BY$6)+$CD$6*www(CB15,$AC$7,$BZ$6)+$CE$6*www(CB15,$AH$7,$CA$6))</f>
        <v>#VALUE!</v>
      </c>
      <c r="CJ15" s="0" t="n">
        <f aca="false">CG15</f>
        <v>0.14</v>
      </c>
      <c r="CK15" s="0" t="e">
        <f aca="false">CC15</f>
        <v>#VALUE!</v>
      </c>
      <c r="CL15" s="0" t="e">
        <f aca="false">CH15</f>
        <v>#VALUE!</v>
      </c>
    </row>
    <row r="16" customFormat="false" ht="12.75" hidden="false" customHeight="false" outlineLevel="0" collapsed="false">
      <c r="F16" s="18"/>
      <c r="G16" s="18"/>
      <c r="H16" s="18"/>
      <c r="L16" s="0" t="s">
        <v>75</v>
      </c>
      <c r="M16" s="0" t="s">
        <v>75</v>
      </c>
      <c r="N16" s="0" t="s">
        <v>75</v>
      </c>
      <c r="O16" s="0" t="s">
        <v>75</v>
      </c>
      <c r="X16" s="5" t="n">
        <f aca="false">X15+0.02</f>
        <v>0.18</v>
      </c>
      <c r="Y16" s="0" t="n">
        <f aca="false">$W$7*(SIN($U$7*X16)+SINH($U$7*X16))+COSH($U$7*X16)+COS($U$7*X16)</f>
        <v>0.363456532878595</v>
      </c>
      <c r="AD16" s="0" t="n">
        <f aca="false">$AC$7*(SINH($AA$7*X16)+SIN($AA$7*X16))+COSH($AA$7*X16)+COS($AA$7*X16)</f>
        <v>-0.590093062477514</v>
      </c>
      <c r="AI16" s="0" t="n">
        <f aca="false">$AH$7*(SINH($AF$7*X16)+SIN($AF$7*X16))+COSH($AF$7*X16)+COS($AF$7*X16)</f>
        <v>-1.17657337291822</v>
      </c>
      <c r="AK16" s="0" t="n">
        <f aca="false">X16</f>
        <v>0.18</v>
      </c>
      <c r="AL16" s="0" t="n">
        <f aca="false">Y16</f>
        <v>0.363456532878595</v>
      </c>
      <c r="AM16" s="0" t="n">
        <f aca="false">AD16</f>
        <v>-0.590093062477514</v>
      </c>
      <c r="AN16" s="0" t="n">
        <f aca="false">AI16</f>
        <v>-1.17657337291822</v>
      </c>
      <c r="BO16" s="0" t="s">
        <v>75</v>
      </c>
      <c r="BR16" s="0" t="s">
        <v>75</v>
      </c>
      <c r="BU16" s="0" t="s">
        <v>75</v>
      </c>
      <c r="BW16" s="0" t="n">
        <f aca="false">BW15+2000000</f>
        <v>14000000</v>
      </c>
      <c r="BX16" s="0" t="e">
        <f aca="false">determ3(BW16*$BC$17-$AS$17,BW16*$BD$17-$AT$17,BW16*$BE$17-$AU$17,BW16*$BF$17-$AV$17,BW16*$BG$17-$AW$17,BW16*$BH$17-$AX$17,BW16*$BI$17-$AY$17,BW16*$BJ$17-$AZ$17,BW16*$BK$17-$BA$17)</f>
        <v>#VALUE!</v>
      </c>
      <c r="CB16" s="0" t="n">
        <f aca="false">CB15+0.02</f>
        <v>0.16</v>
      </c>
      <c r="CC16" s="0" t="e">
        <f aca="false">$BX$6*(www(CB16,$W$7,$BY$6)+$BV$6*www(CB16,$AC$7,$BZ$6)+$BW$6*www(CB16,$AH$7,$CA$6))</f>
        <v>#VALUE!</v>
      </c>
      <c r="CG16" s="0" t="n">
        <f aca="false">CB16</f>
        <v>0.16</v>
      </c>
      <c r="CH16" s="0" t="e">
        <f aca="false">$CF$6*(www(CB16,$W$7,$BY$6)+$CD$6*www(CB16,$AC$7,$BZ$6)+$CE$6*www(CB16,$AH$7,$CA$6))</f>
        <v>#VALUE!</v>
      </c>
      <c r="CJ16" s="0" t="n">
        <f aca="false">CG16</f>
        <v>0.16</v>
      </c>
      <c r="CK16" s="0" t="e">
        <f aca="false">CC16</f>
        <v>#VALUE!</v>
      </c>
      <c r="CL16" s="0" t="e">
        <f aca="false">CH16</f>
        <v>#VALUE!</v>
      </c>
    </row>
    <row r="17" customFormat="false" ht="12.75" hidden="false" customHeight="false" outlineLevel="0" collapsed="false">
      <c r="F17" s="18"/>
      <c r="G17" s="12"/>
      <c r="H17" s="18"/>
      <c r="I17" s="0" t="n">
        <v>3000000</v>
      </c>
      <c r="J17" s="0" t="n">
        <f aca="false">I17*J15</f>
        <v>38869730931.8328</v>
      </c>
      <c r="L17" s="0" t="s">
        <v>75</v>
      </c>
      <c r="M17" s="0" t="s">
        <v>75</v>
      </c>
      <c r="N17" s="0" t="s">
        <v>75</v>
      </c>
      <c r="O17" s="0" t="s">
        <v>75</v>
      </c>
      <c r="X17" s="5" t="n">
        <f aca="false">X16+0.02</f>
        <v>0.2</v>
      </c>
      <c r="Y17" s="0" t="n">
        <f aca="false">$W$7*(SIN($U$7*X17)+SINH($U$7*X17))+COSH($U$7*X17)+COS($U$7*X17)</f>
        <v>0.195453473491606</v>
      </c>
      <c r="AD17" s="0" t="n">
        <f aca="false">$AC$7*(SINH($AA$7*X17)+SIN($AA$7*X17))+COSH($AA$7*X17)+COS($AA$7*X17)</f>
        <v>-0.794498537996076</v>
      </c>
      <c r="AI17" s="0" t="n">
        <f aca="false">$AH$7*(SINH($AF$7*X17)+SIN($AF$7*X17))+COSH($AF$7*X17)+COS($AF$7*X17)</f>
        <v>-1.28572442615717</v>
      </c>
      <c r="AK17" s="0" t="n">
        <f aca="false">X17</f>
        <v>0.2</v>
      </c>
      <c r="AL17" s="0" t="n">
        <f aca="false">Y17</f>
        <v>0.195453473491606</v>
      </c>
      <c r="AM17" s="0" t="n">
        <f aca="false">AD17</f>
        <v>-0.794498537996076</v>
      </c>
      <c r="AN17" s="0" t="n">
        <f aca="false">AI17</f>
        <v>-1.28572442615717</v>
      </c>
      <c r="AS17" s="6" t="e">
        <f aca="false">SUM(AS7:AS16)</f>
        <v>#VALUE!</v>
      </c>
      <c r="AT17" s="6" t="e">
        <f aca="false">SUM(AT7:AT16)</f>
        <v>#VALUE!</v>
      </c>
      <c r="AU17" s="6" t="e">
        <f aca="false">SUM(AU7:AU16)</f>
        <v>#VALUE!</v>
      </c>
      <c r="AV17" s="6" t="e">
        <f aca="false">SUM(AV7:AV16)</f>
        <v>#VALUE!</v>
      </c>
      <c r="AW17" s="6" t="e">
        <f aca="false">SUM(AW7:AW16)</f>
        <v>#VALUE!</v>
      </c>
      <c r="AX17" s="6" t="e">
        <f aca="false">SUM(AX7:AX16)</f>
        <v>#VALUE!</v>
      </c>
      <c r="AY17" s="6" t="e">
        <f aca="false">SUM(AY7:AY16)</f>
        <v>#VALUE!</v>
      </c>
      <c r="AZ17" s="6" t="e">
        <f aca="false">SUM(AZ7:AZ16)</f>
        <v>#VALUE!</v>
      </c>
      <c r="BA17" s="6" t="e">
        <f aca="false">SUM(BA7:BA16)</f>
        <v>#VALUE!</v>
      </c>
      <c r="BC17" s="6" t="e">
        <f aca="false">SUM(BC7:BC16)</f>
        <v>#VALUE!</v>
      </c>
      <c r="BD17" s="6" t="e">
        <f aca="false">SUM(BD7:BD16)</f>
        <v>#VALUE!</v>
      </c>
      <c r="BE17" s="6" t="e">
        <f aca="false">SUM(BE7:BE16)</f>
        <v>#VALUE!</v>
      </c>
      <c r="BF17" s="6" t="e">
        <f aca="false">SUM(BF7:BF16)</f>
        <v>#VALUE!</v>
      </c>
      <c r="BG17" s="6" t="e">
        <f aca="false">SUM(BG7:BG16)</f>
        <v>#VALUE!</v>
      </c>
      <c r="BH17" s="6" t="e">
        <f aca="false">SUM(BH7:BH16)</f>
        <v>#VALUE!</v>
      </c>
      <c r="BI17" s="6" t="e">
        <f aca="false">SUM(BI7:BI16)</f>
        <v>#VALUE!</v>
      </c>
      <c r="BJ17" s="6" t="e">
        <f aca="false">SUM(BJ7:BJ16)</f>
        <v>#VALUE!</v>
      </c>
      <c r="BK17" s="6" t="e">
        <f aca="false">SUM(BK7:BK16)</f>
        <v>#VALUE!</v>
      </c>
      <c r="BO17" s="0" t="s">
        <v>75</v>
      </c>
      <c r="BR17" s="0" t="s">
        <v>75</v>
      </c>
      <c r="BU17" s="0" t="s">
        <v>75</v>
      </c>
      <c r="BW17" s="0" t="n">
        <f aca="false">BW16+2000000</f>
        <v>16000000</v>
      </c>
      <c r="BX17" s="0" t="e">
        <f aca="false">determ3(BW17*$BC$17-$AS$17,BW17*$BD$17-$AT$17,BW17*$BE$17-$AU$17,BW17*$BF$17-$AV$17,BW17*$BG$17-$AW$17,BW17*$BH$17-$AX$17,BW17*$BI$17-$AY$17,BW17*$BJ$17-$AZ$17,BW17*$BK$17-$BA$17)</f>
        <v>#VALUE!</v>
      </c>
      <c r="CB17" s="0" t="n">
        <f aca="false">CB16+0.02</f>
        <v>0.18</v>
      </c>
      <c r="CC17" s="0" t="e">
        <f aca="false">$BX$6*(www(CB17,$W$7,$BY$6)+$BV$6*www(CB17,$AC$7,$BZ$6)+$BW$6*www(CB17,$AH$7,$CA$6))</f>
        <v>#VALUE!</v>
      </c>
      <c r="CG17" s="0" t="n">
        <f aca="false">CB17</f>
        <v>0.18</v>
      </c>
      <c r="CH17" s="0" t="e">
        <f aca="false">$CF$6*(www(CB17,$W$7,$BY$6)+$CD$6*www(CB17,$AC$7,$BZ$6)+$CE$6*www(CB17,$AH$7,$CA$6))</f>
        <v>#VALUE!</v>
      </c>
      <c r="CJ17" s="0" t="n">
        <f aca="false">CG17</f>
        <v>0.18</v>
      </c>
      <c r="CK17" s="0" t="e">
        <f aca="false">CC17</f>
        <v>#VALUE!</v>
      </c>
      <c r="CL17" s="0" t="e">
        <f aca="false">CH17</f>
        <v>#VALUE!</v>
      </c>
    </row>
    <row r="18" customFormat="false" ht="12.75" hidden="false" customHeight="false" outlineLevel="0" collapsed="false">
      <c r="F18" s="18"/>
      <c r="H18" s="18"/>
      <c r="X18" s="5" t="n">
        <f aca="false">X17+0.02</f>
        <v>0.22</v>
      </c>
      <c r="Y18" s="0" t="n">
        <f aca="false">$W$7*(SIN($U$7*X18)+SINH($U$7*X18))+COSH($U$7*X18)+COS($U$7*X18)</f>
        <v>0.0329948546497553</v>
      </c>
      <c r="AD18" s="0" t="n">
        <f aca="false">$AC$7*(SINH($AA$7*X18)+SIN($AA$7*X18))+COSH($AA$7*X18)+COS($AA$7*X18)</f>
        <v>-0.969174900661416</v>
      </c>
      <c r="AI18" s="0" t="n">
        <f aca="false">$AH$7*(SINH($AF$7*X18)+SIN($AF$7*X18))+COSH($AF$7*X18)+COS($AF$7*X18)</f>
        <v>-1.32220553738251</v>
      </c>
      <c r="AK18" s="0" t="n">
        <f aca="false">X18</f>
        <v>0.22</v>
      </c>
      <c r="AL18" s="0" t="n">
        <f aca="false">Y18</f>
        <v>0.0329948546497553</v>
      </c>
      <c r="AM18" s="0" t="n">
        <f aca="false">AD18</f>
        <v>-0.969174900661416</v>
      </c>
      <c r="AN18" s="0" t="n">
        <f aca="false">AI18</f>
        <v>-1.32220553738251</v>
      </c>
      <c r="BO18" s="0" t="s">
        <v>75</v>
      </c>
      <c r="BR18" s="0" t="s">
        <v>75</v>
      </c>
      <c r="BU18" s="0" t="s">
        <v>75</v>
      </c>
      <c r="BW18" s="0" t="n">
        <f aca="false">BW17+2000000</f>
        <v>18000000</v>
      </c>
      <c r="BX18" s="0" t="e">
        <f aca="false">determ3(BW18*$BC$17-$AS$17,BW18*$BD$17-$AT$17,BW18*$BE$17-$AU$17,BW18*$BF$17-$AV$17,BW18*$BG$17-$AW$17,BW18*$BH$17-$AX$17,BW18*$BI$17-$AY$17,BW18*$BJ$17-$AZ$17,BW18*$BK$17-$BA$17)</f>
        <v>#VALUE!</v>
      </c>
      <c r="CB18" s="0" t="n">
        <f aca="false">CB17+0.02</f>
        <v>0.2</v>
      </c>
      <c r="CC18" s="0" t="e">
        <f aca="false">$BX$6*(www(CB18,$W$7,$BY$6)+$BV$6*www(CB18,$AC$7,$BZ$6)+$BW$6*www(CB18,$AH$7,$CA$6))</f>
        <v>#VALUE!</v>
      </c>
      <c r="CG18" s="0" t="n">
        <f aca="false">CB18</f>
        <v>0.2</v>
      </c>
      <c r="CH18" s="0" t="e">
        <f aca="false">$CF$6*(www(CB18,$W$7,$BY$6)+$CD$6*www(CB18,$AC$7,$BZ$6)+$CE$6*www(CB18,$AH$7,$CA$6))</f>
        <v>#VALUE!</v>
      </c>
      <c r="CJ18" s="0" t="n">
        <f aca="false">CG18</f>
        <v>0.2</v>
      </c>
      <c r="CK18" s="0" t="e">
        <f aca="false">CC18</f>
        <v>#VALUE!</v>
      </c>
      <c r="CL18" s="0" t="e">
        <f aca="false">CH18</f>
        <v>#VALUE!</v>
      </c>
    </row>
    <row r="19" customFormat="false" ht="12.75" hidden="false" customHeight="false" outlineLevel="0" collapsed="false">
      <c r="F19" s="18"/>
      <c r="H19" s="18"/>
      <c r="X19" s="5" t="n">
        <f aca="false">X18+0.02</f>
        <v>0.24</v>
      </c>
      <c r="Y19" s="0" t="n">
        <f aca="false">$W$7*(SIN($U$7*X19)+SINH($U$7*X19))+COSH($U$7*X19)+COS($U$7*X19)</f>
        <v>-0.123048330161854</v>
      </c>
      <c r="AD19" s="0" t="n">
        <f aca="false">$AC$7*(SINH($AA$7*X19)+SIN($AA$7*X19))+COSH($AA$7*X19)+COS($AA$7*X19)</f>
        <v>-1.11132916468022</v>
      </c>
      <c r="AI19" s="0" t="n">
        <f aca="false">$AH$7*(SINH($AF$7*X19)+SIN($AF$7*X19))+COSH($AF$7*X19)+COS($AF$7*X19)</f>
        <v>-1.28637346096857</v>
      </c>
      <c r="AK19" s="0" t="n">
        <f aca="false">X19</f>
        <v>0.24</v>
      </c>
      <c r="AL19" s="0" t="n">
        <f aca="false">Y19</f>
        <v>-0.123048330161854</v>
      </c>
      <c r="AM19" s="0" t="n">
        <f aca="false">AD19</f>
        <v>-1.11132916468022</v>
      </c>
      <c r="AN19" s="0" t="n">
        <f aca="false">AI19</f>
        <v>-1.28637346096857</v>
      </c>
      <c r="BR19" s="0" t="s">
        <v>75</v>
      </c>
      <c r="BW19" s="0" t="n">
        <f aca="false">BW18+2000000</f>
        <v>20000000</v>
      </c>
      <c r="BX19" s="0" t="e">
        <f aca="false">determ3(BW19*$BC$17-$AS$17,BW19*$BD$17-$AT$17,BW19*$BE$17-$AU$17,BW19*$BF$17-$AV$17,BW19*$BG$17-$AW$17,BW19*$BH$17-$AX$17,BW19*$BI$17-$AY$17,BW19*$BJ$17-$AZ$17,BW19*$BK$17-$BA$17)</f>
        <v>#VALUE!</v>
      </c>
      <c r="CB19" s="0" t="n">
        <f aca="false">CB18+0.02</f>
        <v>0.22</v>
      </c>
      <c r="CC19" s="0" t="e">
        <f aca="false">$BX$6*(www(CB19,$W$7,$BY$6)+$BV$6*www(CB19,$AC$7,$BZ$6)+$BW$6*www(CB19,$AH$7,$CA$6))</f>
        <v>#VALUE!</v>
      </c>
      <c r="CG19" s="0" t="n">
        <f aca="false">CB19</f>
        <v>0.22</v>
      </c>
      <c r="CH19" s="0" t="e">
        <f aca="false">$CF$6*(www(CB19,$W$7,$BY$6)+$CD$6*www(CB19,$AC$7,$BZ$6)+$CE$6*www(CB19,$AH$7,$CA$6))</f>
        <v>#VALUE!</v>
      </c>
      <c r="CJ19" s="0" t="n">
        <f aca="false">CG19</f>
        <v>0.22</v>
      </c>
      <c r="CK19" s="0" t="e">
        <f aca="false">CC19</f>
        <v>#VALUE!</v>
      </c>
      <c r="CL19" s="0" t="e">
        <f aca="false">CH19</f>
        <v>#VALUE!</v>
      </c>
    </row>
    <row r="20" customFormat="false" ht="12.75" hidden="false" customHeight="false" outlineLevel="0" collapsed="false">
      <c r="F20" s="18"/>
      <c r="H20" s="18"/>
      <c r="I20" s="0" t="n">
        <f aca="false">22-0.394/2</f>
        <v>21.803</v>
      </c>
      <c r="X20" s="5" t="n">
        <f aca="false">X19+0.02</f>
        <v>0.26</v>
      </c>
      <c r="Y20" s="0" t="n">
        <f aca="false">$W$7*(SIN($U$7*X20)+SINH($U$7*X20))+COSH($U$7*X20)+COS($U$7*X20)</f>
        <v>-0.271802359257503</v>
      </c>
      <c r="AD20" s="0" t="n">
        <f aca="false">$AC$7*(SINH($AA$7*X20)+SIN($AA$7*X20))+COSH($AA$7*X20)+COS($AA$7*X20)</f>
        <v>-1.21875485194673</v>
      </c>
      <c r="AI20" s="0" t="n">
        <f aca="false">$AH$7*(SINH($AF$7*X20)+SIN($AF$7*X20))+COSH($AF$7*X20)+COS($AF$7*X20)</f>
        <v>-1.18164911771579</v>
      </c>
      <c r="AK20" s="0" t="n">
        <f aca="false">X20</f>
        <v>0.26</v>
      </c>
      <c r="AL20" s="0" t="n">
        <f aca="false">Y20</f>
        <v>-0.271802359257503</v>
      </c>
      <c r="AM20" s="0" t="n">
        <f aca="false">AD20</f>
        <v>-1.21875485194673</v>
      </c>
      <c r="AN20" s="0" t="n">
        <f aca="false">AI20</f>
        <v>-1.18164911771579</v>
      </c>
      <c r="BW20" s="0" t="n">
        <f aca="false">BW19+2000000</f>
        <v>22000000</v>
      </c>
      <c r="BX20" s="0" t="e">
        <f aca="false">determ3(BW20*$BC$17-$AS$17,BW20*$BD$17-$AT$17,BW20*$BE$17-$AU$17,BW20*$BF$17-$AV$17,BW20*$BG$17-$AW$17,BW20*$BH$17-$AX$17,BW20*$BI$17-$AY$17,BW20*$BJ$17-$AZ$17,BW20*$BK$17-$BA$17)</f>
        <v>#VALUE!</v>
      </c>
      <c r="CB20" s="0" t="n">
        <f aca="false">CB19+0.02</f>
        <v>0.24</v>
      </c>
      <c r="CC20" s="0" t="e">
        <f aca="false">$BX$6*(www(CB20,$W$7,$BY$6)+$BV$6*www(CB20,$AC$7,$BZ$6)+$BW$6*www(CB20,$AH$7,$CA$6))</f>
        <v>#VALUE!</v>
      </c>
      <c r="CG20" s="0" t="n">
        <f aca="false">CB20</f>
        <v>0.24</v>
      </c>
      <c r="CH20" s="0" t="e">
        <f aca="false">$CF$6*(www(CB20,$W$7,$BY$6)+$CD$6*www(CB20,$AC$7,$BZ$6)+$CE$6*www(CB20,$AH$7,$CA$6))</f>
        <v>#VALUE!</v>
      </c>
      <c r="CJ20" s="0" t="n">
        <f aca="false">CG20</f>
        <v>0.24</v>
      </c>
      <c r="CK20" s="0" t="e">
        <f aca="false">CC20</f>
        <v>#VALUE!</v>
      </c>
      <c r="CL20" s="0" t="e">
        <f aca="false">CH20</f>
        <v>#VALUE!</v>
      </c>
    </row>
    <row r="21" customFormat="false" ht="12.75" hidden="false" customHeight="false" outlineLevel="0" collapsed="false">
      <c r="H21" s="18"/>
      <c r="X21" s="5" t="n">
        <f aca="false">X20+0.02</f>
        <v>0.28</v>
      </c>
      <c r="Y21" s="0" t="n">
        <f aca="false">$W$7*(SIN($U$7*X21)+SINH($U$7*X21))+COSH($U$7*X21)+COS($U$7*X21)</f>
        <v>-0.41240326862038</v>
      </c>
      <c r="AD21" s="0" t="n">
        <f aca="false">$AC$7*(SINH($AA$7*X21)+SIN($AA$7*X21))+COSH($AA$7*X21)+COS($AA$7*X21)</f>
        <v>-1.28991827841389</v>
      </c>
      <c r="AI21" s="0" t="n">
        <f aca="false">$AH$7*(SINH($AF$7*X21)+SIN($AF$7*X21))+COSH($AF$7*X21)+COS($AF$7*X21)</f>
        <v>-1.01443512481171</v>
      </c>
      <c r="AK21" s="0" t="n">
        <f aca="false">X21</f>
        <v>0.28</v>
      </c>
      <c r="AL21" s="0" t="n">
        <f aca="false">Y21</f>
        <v>-0.41240326862038</v>
      </c>
      <c r="AM21" s="0" t="n">
        <f aca="false">AD21</f>
        <v>-1.28991827841389</v>
      </c>
      <c r="AN21" s="0" t="n">
        <f aca="false">AI21</f>
        <v>-1.01443512481171</v>
      </c>
      <c r="BW21" s="0" t="n">
        <f aca="false">BW20+2000000</f>
        <v>24000000</v>
      </c>
      <c r="BX21" s="0" t="e">
        <f aca="false">determ3(BW21*$BC$17-$AS$17,BW21*$BD$17-$AT$17,BW21*$BE$17-$AU$17,BW21*$BF$17-$AV$17,BW21*$BG$17-$AW$17,BW21*$BH$17-$AX$17,BW21*$BI$17-$AY$17,BW21*$BJ$17-$AZ$17,BW21*$BK$17-$BA$17)</f>
        <v>#VALUE!</v>
      </c>
      <c r="CB21" s="0" t="n">
        <f aca="false">CB20+0.02</f>
        <v>0.26</v>
      </c>
      <c r="CC21" s="0" t="e">
        <f aca="false">$BX$6*(www(CB21,$W$7,$BY$6)+$BV$6*www(CB21,$AC$7,$BZ$6)+$BW$6*www(CB21,$AH$7,$CA$6))</f>
        <v>#VALUE!</v>
      </c>
      <c r="CG21" s="0" t="n">
        <f aca="false">CB21</f>
        <v>0.26</v>
      </c>
      <c r="CH21" s="0" t="e">
        <f aca="false">$CF$6*(www(CB21,$W$7,$BY$6)+$CD$6*www(CB21,$AC$7,$BZ$6)+$CE$6*www(CB21,$AH$7,$CA$6))</f>
        <v>#VALUE!</v>
      </c>
      <c r="CJ21" s="0" t="n">
        <f aca="false">CG21</f>
        <v>0.26</v>
      </c>
      <c r="CK21" s="0" t="e">
        <f aca="false">CC21</f>
        <v>#VALUE!</v>
      </c>
      <c r="CL21" s="0" t="e">
        <f aca="false">CH21</f>
        <v>#VALUE!</v>
      </c>
    </row>
    <row r="22" customFormat="false" ht="12.75" hidden="false" customHeight="false" outlineLevel="0" collapsed="false">
      <c r="H22" s="18"/>
      <c r="X22" s="5" t="n">
        <f aca="false">X21+0.02</f>
        <v>0.3</v>
      </c>
      <c r="Y22" s="0" t="n">
        <f aca="false">$W$7*(SIN($U$7*X22)+SINH($U$7*X22))+COSH($U$7*X22)+COS($U$7*X22)</f>
        <v>-0.544008754112284</v>
      </c>
      <c r="AD22" s="0" t="n">
        <f aca="false">$AC$7*(SINH($AA$7*X22)+SIN($AA$7*X22))+COSH($AA$7*X22)+COS($AA$7*X22)</f>
        <v>-1.32402377409367</v>
      </c>
      <c r="AI22" s="0" t="n">
        <f aca="false">$AH$7*(SINH($AF$7*X22)+SIN($AF$7*X22))+COSH($AF$7*X22)+COS($AF$7*X22)</f>
        <v>-0.79387336387696</v>
      </c>
      <c r="AK22" s="0" t="n">
        <f aca="false">X22</f>
        <v>0.3</v>
      </c>
      <c r="AL22" s="0" t="n">
        <f aca="false">Y22</f>
        <v>-0.544008754112284</v>
      </c>
      <c r="AM22" s="0" t="n">
        <f aca="false">AD22</f>
        <v>-1.32402377409367</v>
      </c>
      <c r="AN22" s="0" t="n">
        <f aca="false">AI22</f>
        <v>-0.79387336387696</v>
      </c>
      <c r="BW22" s="0" t="n">
        <f aca="false">BW21+2000000</f>
        <v>26000000</v>
      </c>
      <c r="BX22" s="0" t="e">
        <f aca="false">determ3(BW22*$BC$17-$AS$17,BW22*$BD$17-$AT$17,BW22*$BE$17-$AU$17,BW22*$BF$17-$AV$17,BW22*$BG$17-$AW$17,BW22*$BH$17-$AX$17,BW22*$BI$17-$AY$17,BW22*$BJ$17-$AZ$17,BW22*$BK$17-$BA$17)</f>
        <v>#VALUE!</v>
      </c>
      <c r="CB22" s="0" t="n">
        <f aca="false">CB21+0.02</f>
        <v>0.28</v>
      </c>
      <c r="CC22" s="0" t="e">
        <f aca="false">$BX$6*(www(CB22,$W$7,$BY$6)+$BV$6*www(CB22,$AC$7,$BZ$6)+$BW$6*www(CB22,$AH$7,$CA$6))</f>
        <v>#VALUE!</v>
      </c>
      <c r="CG22" s="0" t="n">
        <f aca="false">CB22</f>
        <v>0.28</v>
      </c>
      <c r="CH22" s="0" t="e">
        <f aca="false">$CF$6*(www(CB22,$W$7,$BY$6)+$CD$6*www(CB22,$AC$7,$BZ$6)+$CE$6*www(CB22,$AH$7,$CA$6))</f>
        <v>#VALUE!</v>
      </c>
      <c r="CJ22" s="0" t="n">
        <f aca="false">CG22</f>
        <v>0.28</v>
      </c>
      <c r="CK22" s="0" t="e">
        <f aca="false">CC22</f>
        <v>#VALUE!</v>
      </c>
      <c r="CL22" s="0" t="e">
        <f aca="false">CH22</f>
        <v>#VALUE!</v>
      </c>
    </row>
    <row r="23" customFormat="false" ht="12.75" hidden="false" customHeight="false" outlineLevel="0" collapsed="false">
      <c r="H23" s="18"/>
      <c r="X23" s="5" t="n">
        <f aca="false">X22+0.02</f>
        <v>0.32</v>
      </c>
      <c r="Y23" s="0" t="n">
        <f aca="false">$W$7*(SIN($U$7*X23)+SINH($U$7*X23))+COSH($U$7*X23)+COS($U$7*X23)</f>
        <v>-0.665809420987346</v>
      </c>
      <c r="AD23" s="0" t="n">
        <f aca="false">$AC$7*(SINH($AA$7*X23)+SIN($AA$7*X23))+COSH($AA$7*X23)+COS($AA$7*X23)</f>
        <v>-1.32105690995448</v>
      </c>
      <c r="AI23" s="0" t="n">
        <f aca="false">$AH$7*(SINH($AF$7*X23)+SIN($AF$7*X23))+COSH($AF$7*X23)+COS($AF$7*X23)</f>
        <v>-0.53145746693927</v>
      </c>
      <c r="AK23" s="0" t="n">
        <f aca="false">X23</f>
        <v>0.32</v>
      </c>
      <c r="AL23" s="0" t="n">
        <f aca="false">Y23</f>
        <v>-0.665809420987346</v>
      </c>
      <c r="AM23" s="0" t="n">
        <f aca="false">AD23</f>
        <v>-1.32105690995448</v>
      </c>
      <c r="AN23" s="0" t="n">
        <f aca="false">AI23</f>
        <v>-0.53145746693927</v>
      </c>
      <c r="BH23" s="19" t="s">
        <v>85</v>
      </c>
      <c r="BI23" s="19"/>
      <c r="BJ23" s="19"/>
      <c r="BK23" s="19"/>
      <c r="BL23" s="19"/>
      <c r="BM23" s="19"/>
      <c r="BW23" s="0" t="n">
        <f aca="false">BW22+2000000</f>
        <v>28000000</v>
      </c>
      <c r="BX23" s="0" t="e">
        <f aca="false">determ3(BW23*$BC$17-$AS$17,BW23*$BD$17-$AT$17,BW23*$BE$17-$AU$17,BW23*$BF$17-$AV$17,BW23*$BG$17-$AW$17,BW23*$BH$17-$AX$17,BW23*$BI$17-$AY$17,BW23*$BJ$17-$AZ$17,BW23*$BK$17-$BA$17)</f>
        <v>#VALUE!</v>
      </c>
      <c r="CB23" s="0" t="n">
        <f aca="false">CB22+0.02</f>
        <v>0.3</v>
      </c>
      <c r="CC23" s="0" t="e">
        <f aca="false">$BX$6*(www(CB23,$W$7,$BY$6)+$BV$6*www(CB23,$AC$7,$BZ$6)+$BW$6*www(CB23,$AH$7,$CA$6))</f>
        <v>#VALUE!</v>
      </c>
      <c r="CG23" s="0" t="n">
        <f aca="false">CB23</f>
        <v>0.3</v>
      </c>
      <c r="CH23" s="0" t="e">
        <f aca="false">$CF$6*(www(CB23,$W$7,$BY$6)+$CD$6*www(CB23,$AC$7,$BZ$6)+$CE$6*www(CB23,$AH$7,$CA$6))</f>
        <v>#VALUE!</v>
      </c>
      <c r="CJ23" s="0" t="n">
        <f aca="false">CG23</f>
        <v>0.3</v>
      </c>
      <c r="CK23" s="0" t="e">
        <f aca="false">CC23</f>
        <v>#VALUE!</v>
      </c>
      <c r="CL23" s="0" t="e">
        <f aca="false">CH23</f>
        <v>#VALUE!</v>
      </c>
    </row>
    <row r="24" customFormat="false" ht="12.75" hidden="false" customHeight="false" outlineLevel="0" collapsed="false">
      <c r="H24" s="18"/>
      <c r="X24" s="5" t="n">
        <f aca="false">X23+0.02</f>
        <v>0.34</v>
      </c>
      <c r="Y24" s="0" t="n">
        <f aca="false">$W$7*(SIN($U$7*X24)+SINH($U$7*X24))+COSH($U$7*X24)+COS($U$7*X24)</f>
        <v>-0.777039313399602</v>
      </c>
      <c r="AD24" s="0" t="n">
        <f aca="false">$AC$7*(SINH($AA$7*X24)+SIN($AA$7*X24))+COSH($AA$7*X24)+COS($AA$7*X24)</f>
        <v>-1.28180525188291</v>
      </c>
      <c r="AI24" s="0" t="n">
        <f aca="false">$AH$7*(SINH($AF$7*X24)+SIN($AF$7*X24))+COSH($AF$7*X24)+COS($AF$7*X24)</f>
        <v>-0.240521450175462</v>
      </c>
      <c r="AK24" s="0" t="n">
        <f aca="false">X24</f>
        <v>0.34</v>
      </c>
      <c r="AL24" s="0" t="n">
        <f aca="false">Y24</f>
        <v>-0.777039313399602</v>
      </c>
      <c r="AM24" s="0" t="n">
        <f aca="false">AD24</f>
        <v>-1.28180525188291</v>
      </c>
      <c r="AN24" s="0" t="n">
        <f aca="false">AI24</f>
        <v>-0.240521450175462</v>
      </c>
      <c r="BH24" s="19" t="s">
        <v>86</v>
      </c>
      <c r="BI24" s="19"/>
      <c r="BJ24" s="19"/>
      <c r="BK24" s="19"/>
      <c r="BL24" s="19"/>
      <c r="BM24" s="19"/>
      <c r="BW24" s="0" t="n">
        <f aca="false">BW23+2000000</f>
        <v>30000000</v>
      </c>
      <c r="BX24" s="0" t="e">
        <f aca="false">determ3(BW24*$BC$17-$AS$17,BW24*$BD$17-$AT$17,BW24*$BE$17-$AU$17,BW24*$BF$17-$AV$17,BW24*$BG$17-$AW$17,BW24*$BH$17-$AX$17,BW24*$BI$17-$AY$17,BW24*$BJ$17-$AZ$17,BW24*$BK$17-$BA$17)</f>
        <v>#VALUE!</v>
      </c>
      <c r="CB24" s="0" t="n">
        <f aca="false">CB23+0.02</f>
        <v>0.32</v>
      </c>
      <c r="CC24" s="0" t="e">
        <f aca="false">$BX$6*(www(CB24,$W$7,$BY$6)+$BV$6*www(CB24,$AC$7,$BZ$6)+$BW$6*www(CB24,$AH$7,$CA$6))</f>
        <v>#VALUE!</v>
      </c>
      <c r="CG24" s="0" t="n">
        <f aca="false">CB24</f>
        <v>0.32</v>
      </c>
      <c r="CH24" s="0" t="e">
        <f aca="false">$CF$6*(www(CB24,$W$7,$BY$6)+$CD$6*www(CB24,$AC$7,$BZ$6)+$CE$6*www(CB24,$AH$7,$CA$6))</f>
        <v>#VALUE!</v>
      </c>
      <c r="CJ24" s="0" t="n">
        <f aca="false">CG24</f>
        <v>0.32</v>
      </c>
      <c r="CK24" s="0" t="e">
        <f aca="false">CC24</f>
        <v>#VALUE!</v>
      </c>
      <c r="CL24" s="0" t="e">
        <f aca="false">CH24</f>
        <v>#VALUE!</v>
      </c>
    </row>
    <row r="25" customFormat="false" ht="12.75" hidden="false" customHeight="false" outlineLevel="0" collapsed="false">
      <c r="H25" s="18"/>
      <c r="X25" s="5" t="n">
        <f aca="false">X24+0.02</f>
        <v>0.36</v>
      </c>
      <c r="Y25" s="0" t="n">
        <f aca="false">$W$7*(SIN($U$7*X25)+SINH($U$7*X25))+COSH($U$7*X25)+COS($U$7*X25)</f>
        <v>-0.876985659220367</v>
      </c>
      <c r="AD25" s="0" t="n">
        <f aca="false">$AC$7*(SINH($AA$7*X25)+SIN($AA$7*X25))+COSH($AA$7*X25)+COS($AA$7*X25)</f>
        <v>-1.20785663503384</v>
      </c>
      <c r="AI25" s="0" t="n">
        <f aca="false">$AH$7*(SINH($AF$7*X25)+SIN($AF$7*X25))+COSH($AF$7*X25)+COS($AF$7*X25)</f>
        <v>0.0643688227781013</v>
      </c>
      <c r="AK25" s="0" t="n">
        <f aca="false">X25</f>
        <v>0.36</v>
      </c>
      <c r="AL25" s="0" t="n">
        <f aca="false">Y25</f>
        <v>-0.876985659220367</v>
      </c>
      <c r="AM25" s="0" t="n">
        <f aca="false">AD25</f>
        <v>-1.20785663503384</v>
      </c>
      <c r="AN25" s="0" t="n">
        <f aca="false">AI25</f>
        <v>0.0643688227781013</v>
      </c>
      <c r="BH25" s="19" t="s">
        <v>87</v>
      </c>
      <c r="BI25" s="19"/>
      <c r="BJ25" s="19"/>
      <c r="BK25" s="19"/>
      <c r="BL25" s="19"/>
      <c r="BM25" s="19"/>
      <c r="BW25" s="0" t="n">
        <f aca="false">BW24+2000000</f>
        <v>32000000</v>
      </c>
      <c r="BX25" s="0" t="e">
        <f aca="false">determ3(BW25*$BC$17-$AS$17,BW25*$BD$17-$AT$17,BW25*$BE$17-$AU$17,BW25*$BF$17-$AV$17,BW25*$BG$17-$AW$17,BW25*$BH$17-$AX$17,BW25*$BI$17-$AY$17,BW25*$BJ$17-$AZ$17,BW25*$BK$17-$BA$17)</f>
        <v>#VALUE!</v>
      </c>
      <c r="CB25" s="0" t="n">
        <f aca="false">CB24+0.02</f>
        <v>0.34</v>
      </c>
      <c r="CC25" s="0" t="e">
        <f aca="false">$BX$6*(www(CB25,$W$7,$BY$6)+$BV$6*www(CB25,$AC$7,$BZ$6)+$BW$6*www(CB25,$AH$7,$CA$6))</f>
        <v>#VALUE!</v>
      </c>
      <c r="CG25" s="0" t="n">
        <f aca="false">CB25</f>
        <v>0.34</v>
      </c>
      <c r="CH25" s="0" t="e">
        <f aca="false">$CF$6*(www(CB25,$W$7,$BY$6)+$CD$6*www(CB25,$AC$7,$BZ$6)+$CE$6*www(CB25,$AH$7,$CA$6))</f>
        <v>#VALUE!</v>
      </c>
      <c r="CJ25" s="0" t="n">
        <f aca="false">CG25</f>
        <v>0.34</v>
      </c>
      <c r="CK25" s="0" t="e">
        <f aca="false">CC25</f>
        <v>#VALUE!</v>
      </c>
      <c r="CL25" s="0" t="e">
        <f aca="false">CH25</f>
        <v>#VALUE!</v>
      </c>
    </row>
    <row r="26" customFormat="false" ht="12.75" hidden="false" customHeight="false" outlineLevel="0" collapsed="false">
      <c r="H26" s="18"/>
      <c r="X26" s="5" t="n">
        <f aca="false">X25+0.02</f>
        <v>0.38</v>
      </c>
      <c r="Y26" s="0" t="n">
        <f aca="false">$W$7*(SIN($U$7*X26)+SINH($U$7*X26))+COSH($U$7*X26)+COS($U$7*X26)</f>
        <v>-0.964997768949921</v>
      </c>
      <c r="AD26" s="0" t="n">
        <f aca="false">$AC$7*(SINH($AA$7*X26)+SIN($AA$7*X26))+COSH($AA$7*X26)+COS($AA$7*X26)</f>
        <v>-1.10157543767911</v>
      </c>
      <c r="AI26" s="0" t="n">
        <f aca="false">$AH$7*(SINH($AF$7*X26)+SIN($AF$7*X26))+COSH($AF$7*X26)+COS($AF$7*X26)</f>
        <v>0.368090399761176</v>
      </c>
      <c r="AK26" s="0" t="n">
        <f aca="false">X26</f>
        <v>0.38</v>
      </c>
      <c r="AL26" s="0" t="n">
        <f aca="false">Y26</f>
        <v>-0.964997768949921</v>
      </c>
      <c r="AM26" s="0" t="n">
        <f aca="false">AD26</f>
        <v>-1.10157543767911</v>
      </c>
      <c r="AN26" s="0" t="n">
        <f aca="false">AI26</f>
        <v>0.368090399761176</v>
      </c>
      <c r="BH26" s="19" t="s">
        <v>88</v>
      </c>
      <c r="BI26" s="19"/>
      <c r="BJ26" s="19"/>
      <c r="BK26" s="19"/>
      <c r="BL26" s="19"/>
      <c r="BM26" s="19"/>
      <c r="BW26" s="0" t="n">
        <f aca="false">BW25+2000000</f>
        <v>34000000</v>
      </c>
      <c r="BX26" s="0" t="e">
        <f aca="false">determ3(BW26*$BC$17-$AS$17,BW26*$BD$17-$AT$17,BW26*$BE$17-$AU$17,BW26*$BF$17-$AV$17,BW26*$BG$17-$AW$17,BW26*$BH$17-$AX$17,BW26*$BI$17-$AY$17,BW26*$BJ$17-$AZ$17,BW26*$BK$17-$BA$17)</f>
        <v>#VALUE!</v>
      </c>
      <c r="CB26" s="0" t="n">
        <f aca="false">CB25+0.02</f>
        <v>0.36</v>
      </c>
      <c r="CC26" s="0" t="e">
        <f aca="false">$BX$6*(www(CB26,$W$7,$BY$6)+$BV$6*www(CB26,$AC$7,$BZ$6)+$BW$6*www(CB26,$AH$7,$CA$6))</f>
        <v>#VALUE!</v>
      </c>
      <c r="CG26" s="0" t="n">
        <f aca="false">CB26</f>
        <v>0.36</v>
      </c>
      <c r="CH26" s="0" t="e">
        <f aca="false">$CF$6*(www(CB26,$W$7,$BY$6)+$CD$6*www(CB26,$AC$7,$BZ$6)+$CE$6*www(CB26,$AH$7,$CA$6))</f>
        <v>#VALUE!</v>
      </c>
      <c r="CJ26" s="0" t="n">
        <f aca="false">CG26</f>
        <v>0.36</v>
      </c>
      <c r="CK26" s="0" t="e">
        <f aca="false">CC26</f>
        <v>#VALUE!</v>
      </c>
      <c r="CL26" s="0" t="e">
        <f aca="false">CH26</f>
        <v>#VALUE!</v>
      </c>
    </row>
    <row r="27" customFormat="false" ht="12.75" hidden="false" customHeight="false" outlineLevel="0" collapsed="false">
      <c r="H27" s="18"/>
      <c r="X27" s="5" t="n">
        <f aca="false">X26+0.02</f>
        <v>0.4</v>
      </c>
      <c r="Y27" s="0" t="n">
        <f aca="false">$W$7*(SIN($U$7*X27)+SINH($U$7*X27))+COSH($U$7*X27)+COS($U$7*X27)</f>
        <v>-1.04049503175623</v>
      </c>
      <c r="AD27" s="0" t="n">
        <f aca="false">$AC$7*(SINH($AA$7*X27)+SIN($AA$7*X27))+COSH($AA$7*X27)+COS($AA$7*X27)</f>
        <v>-0.966057818450097</v>
      </c>
      <c r="AI27" s="0" t="n">
        <f aca="false">$AH$7*(SINH($AF$7*X27)+SIN($AF$7*X27))+COSH($AF$7*X27)+COS($AF$7*X27)</f>
        <v>0.655670417873221</v>
      </c>
      <c r="AK27" s="0" t="n">
        <f aca="false">X27</f>
        <v>0.4</v>
      </c>
      <c r="AL27" s="0" t="n">
        <f aca="false">Y27</f>
        <v>-1.04049503175623</v>
      </c>
      <c r="AM27" s="0" t="n">
        <f aca="false">AD27</f>
        <v>-0.966057818450097</v>
      </c>
      <c r="AN27" s="0" t="n">
        <f aca="false">AI27</f>
        <v>0.655670417873221</v>
      </c>
      <c r="BH27" s="19" t="s">
        <v>89</v>
      </c>
      <c r="BW27" s="0" t="n">
        <f aca="false">BW26+2000000</f>
        <v>36000000</v>
      </c>
      <c r="BX27" s="0" t="e">
        <f aca="false">determ3(BW27*$BC$17-$AS$17,BW27*$BD$17-$AT$17,BW27*$BE$17-$AU$17,BW27*$BF$17-$AV$17,BW27*$BG$17-$AW$17,BW27*$BH$17-$AX$17,BW27*$BI$17-$AY$17,BW27*$BJ$17-$AZ$17,BW27*$BK$17-$BA$17)</f>
        <v>#VALUE!</v>
      </c>
      <c r="CB27" s="0" t="n">
        <f aca="false">CB26+0.02</f>
        <v>0.38</v>
      </c>
      <c r="CC27" s="0" t="e">
        <f aca="false">$BX$6*(www(CB27,$W$7,$BY$6)+$BV$6*www(CB27,$AC$7,$BZ$6)+$BW$6*www(CB27,$AH$7,$CA$6))</f>
        <v>#VALUE!</v>
      </c>
      <c r="CG27" s="0" t="n">
        <f aca="false">CB27</f>
        <v>0.38</v>
      </c>
      <c r="CH27" s="0" t="e">
        <f aca="false">$CF$6*(www(CB27,$W$7,$BY$6)+$CD$6*www(CB27,$AC$7,$BZ$6)+$CE$6*www(CB27,$AH$7,$CA$6))</f>
        <v>#VALUE!</v>
      </c>
      <c r="CJ27" s="0" t="n">
        <f aca="false">CG27</f>
        <v>0.38</v>
      </c>
      <c r="CK27" s="0" t="e">
        <f aca="false">CC27</f>
        <v>#VALUE!</v>
      </c>
      <c r="CL27" s="0" t="e">
        <f aca="false">CH27</f>
        <v>#VALUE!</v>
      </c>
    </row>
    <row r="28" customFormat="false" ht="12.75" hidden="false" customHeight="false" outlineLevel="0" collapsed="false">
      <c r="X28" s="5" t="n">
        <f aca="false">X27+0.02</f>
        <v>0.42</v>
      </c>
      <c r="Y28" s="0" t="n">
        <f aca="false">$W$7*(SIN($U$7*X28)+SINH($U$7*X28))+COSH($U$7*X28)+COS($U$7*X28)</f>
        <v>-1.10297395663354</v>
      </c>
      <c r="AD28" s="0" t="n">
        <f aca="false">$AC$7*(SINH($AA$7*X28)+SIN($AA$7*X28))+COSH($AA$7*X28)+COS($AA$7*X28)</f>
        <v>-0.805067351312484</v>
      </c>
      <c r="AI28" s="0" t="n">
        <f aca="false">$AH$7*(SINH($AF$7*X28)+SIN($AF$7*X28))+COSH($AF$7*X28)+COS($AF$7*X28)</f>
        <v>0.912990606433341</v>
      </c>
      <c r="AK28" s="0" t="n">
        <f aca="false">X28</f>
        <v>0.42</v>
      </c>
      <c r="AL28" s="0" t="n">
        <f aca="false">Y28</f>
        <v>-1.10297395663354</v>
      </c>
      <c r="AM28" s="0" t="n">
        <f aca="false">AD28</f>
        <v>-0.805067351312484</v>
      </c>
      <c r="AN28" s="0" t="n">
        <f aca="false">AI28</f>
        <v>0.912990606433341</v>
      </c>
      <c r="BW28" s="0" t="n">
        <f aca="false">BW27+2000000</f>
        <v>38000000</v>
      </c>
      <c r="BX28" s="0" t="e">
        <f aca="false">determ3(BW28*$BC$17-$AS$17,BW28*$BD$17-$AT$17,BW28*$BE$17-$AU$17,BW28*$BF$17-$AV$17,BW28*$BG$17-$AW$17,BW28*$BH$17-$AX$17,BW28*$BI$17-$AY$17,BW28*$BJ$17-$AZ$17,BW28*$BK$17-$BA$17)</f>
        <v>#VALUE!</v>
      </c>
      <c r="CB28" s="0" t="n">
        <f aca="false">CB27+0.02</f>
        <v>0.4</v>
      </c>
      <c r="CC28" s="0" t="e">
        <f aca="false">$BX$6*(www(CB28,$W$7,$BY$6)+$BV$6*www(CB28,$AC$7,$BZ$6)+$BW$6*www(CB28,$AH$7,$CA$6))</f>
        <v>#VALUE!</v>
      </c>
      <c r="CG28" s="0" t="n">
        <f aca="false">CB28</f>
        <v>0.4</v>
      </c>
      <c r="CH28" s="0" t="e">
        <f aca="false">$CF$6*(www(CB28,$W$7,$BY$6)+$CD$6*www(CB28,$AC$7,$BZ$6)+$CE$6*www(CB28,$AH$7,$CA$6))</f>
        <v>#VALUE!</v>
      </c>
      <c r="CJ28" s="0" t="n">
        <f aca="false">CG28</f>
        <v>0.4</v>
      </c>
      <c r="CK28" s="0" t="e">
        <f aca="false">CC28</f>
        <v>#VALUE!</v>
      </c>
      <c r="CL28" s="0" t="e">
        <f aca="false">CH28</f>
        <v>#VALUE!</v>
      </c>
    </row>
    <row r="29" customFormat="false" ht="12.75" hidden="false" customHeight="false" outlineLevel="0" collapsed="false">
      <c r="X29" s="5" t="n">
        <f aca="false">X28+0.02</f>
        <v>0.44</v>
      </c>
      <c r="Y29" s="0" t="n">
        <f aca="false">$W$7*(SIN($U$7*X29)+SINH($U$7*X29))+COSH($U$7*X29)+COS($U$7*X29)</f>
        <v>-1.15201421227366</v>
      </c>
      <c r="AD29" s="0" t="n">
        <f aca="false">$AC$7*(SINH($AA$7*X29)+SIN($AA$7*X29))+COSH($AA$7*X29)+COS($AA$7*X29)</f>
        <v>-0.622952935960321</v>
      </c>
      <c r="AI29" s="0" t="n">
        <f aca="false">$AH$7*(SINH($AF$7*X29)+SIN($AF$7*X29))+COSH($AF$7*X29)+COS($AF$7*X29)</f>
        <v>1.12745437142914</v>
      </c>
      <c r="AK29" s="0" t="n">
        <f aca="false">X29</f>
        <v>0.44</v>
      </c>
      <c r="AL29" s="0" t="n">
        <f aca="false">Y29</f>
        <v>-1.15201421227366</v>
      </c>
      <c r="AM29" s="0" t="n">
        <f aca="false">AD29</f>
        <v>-0.622952935960321</v>
      </c>
      <c r="AN29" s="0" t="n">
        <f aca="false">AI29</f>
        <v>1.12745437142914</v>
      </c>
      <c r="BW29" s="0" t="n">
        <f aca="false">BW28+2000000</f>
        <v>40000000</v>
      </c>
      <c r="BX29" s="0" t="e">
        <f aca="false">determ3(BW29*$BC$17-$AS$17,BW29*$BD$17-$AT$17,BW29*$BE$17-$AU$17,BW29*$BF$17-$AV$17,BW29*$BG$17-$AW$17,BW29*$BH$17-$AX$17,BW29*$BI$17-$AY$17,BW29*$BJ$17-$AZ$17,BW29*$BK$17-$BA$17)</f>
        <v>#VALUE!</v>
      </c>
      <c r="CB29" s="0" t="n">
        <f aca="false">CB28+0.02</f>
        <v>0.42</v>
      </c>
      <c r="CC29" s="0" t="e">
        <f aca="false">$BX$6*(www(CB29,$W$7,$BY$6)+$BV$6*www(CB29,$AC$7,$BZ$6)+$BW$6*www(CB29,$AH$7,$CA$6))</f>
        <v>#VALUE!</v>
      </c>
      <c r="CG29" s="0" t="n">
        <f aca="false">CB29</f>
        <v>0.42</v>
      </c>
      <c r="CH29" s="0" t="e">
        <f aca="false">$CF$6*(www(CB29,$W$7,$BY$6)+$CD$6*www(CB29,$AC$7,$BZ$6)+$CE$6*www(CB29,$AH$7,$CA$6))</f>
        <v>#VALUE!</v>
      </c>
      <c r="CJ29" s="0" t="n">
        <f aca="false">CG29</f>
        <v>0.42</v>
      </c>
      <c r="CK29" s="0" t="e">
        <f aca="false">CC29</f>
        <v>#VALUE!</v>
      </c>
      <c r="CL29" s="0" t="e">
        <f aca="false">CH29</f>
        <v>#VALUE!</v>
      </c>
    </row>
    <row r="30" customFormat="false" ht="12.75" hidden="false" customHeight="false" outlineLevel="0" collapsed="false">
      <c r="X30" s="5" t="n">
        <f aca="false">X29+0.02</f>
        <v>0.46</v>
      </c>
      <c r="Y30" s="0" t="n">
        <f aca="false">$W$7*(SIN($U$7*X30)+SINH($U$7*X30))+COSH($U$7*X30)+COS($U$7*X30)</f>
        <v>-1.18728362540574</v>
      </c>
      <c r="AD30" s="0" t="n">
        <f aca="false">$AC$7*(SINH($AA$7*X30)+SIN($AA$7*X30))+COSH($AA$7*X30)+COS($AA$7*X30)</f>
        <v>-0.424551265683843</v>
      </c>
      <c r="AI30" s="0" t="n">
        <f aca="false">$AH$7*(SINH($AF$7*X30)+SIN($AF$7*X30))+COSH($AF$7*X30)+COS($AF$7*X30)</f>
        <v>1.28858370188824</v>
      </c>
      <c r="AK30" s="0" t="n">
        <f aca="false">X30</f>
        <v>0.46</v>
      </c>
      <c r="AL30" s="0" t="n">
        <f aca="false">Y30</f>
        <v>-1.18728362540574</v>
      </c>
      <c r="AM30" s="0" t="n">
        <f aca="false">AD30</f>
        <v>-0.424551265683843</v>
      </c>
      <c r="AN30" s="0" t="n">
        <f aca="false">AI30</f>
        <v>1.28858370188824</v>
      </c>
      <c r="BW30" s="0" t="n">
        <f aca="false">BW29+2000000</f>
        <v>42000000</v>
      </c>
      <c r="BX30" s="0" t="e">
        <f aca="false">determ3(BW30*$BC$17-$AS$17,BW30*$BD$17-$AT$17,BW30*$BE$17-$AU$17,BW30*$BF$17-$AV$17,BW30*$BG$17-$AW$17,BW30*$BH$17-$AX$17,BW30*$BI$17-$AY$17,BW30*$BJ$17-$AZ$17,BW30*$BK$17-$BA$17)</f>
        <v>#VALUE!</v>
      </c>
      <c r="CB30" s="0" t="n">
        <f aca="false">CB29+0.02</f>
        <v>0.44</v>
      </c>
      <c r="CC30" s="0" t="e">
        <f aca="false">$BX$6*(www(CB30,$W$7,$BY$6)+$BV$6*www(CB30,$AC$7,$BZ$6)+$BW$6*www(CB30,$AH$7,$CA$6))</f>
        <v>#VALUE!</v>
      </c>
      <c r="CG30" s="0" t="n">
        <f aca="false">CB30</f>
        <v>0.44</v>
      </c>
      <c r="CH30" s="0" t="e">
        <f aca="false">$CF$6*(www(CB30,$W$7,$BY$6)+$CD$6*www(CB30,$AC$7,$BZ$6)+$CE$6*www(CB30,$AH$7,$CA$6))</f>
        <v>#VALUE!</v>
      </c>
      <c r="CJ30" s="0" t="n">
        <f aca="false">CG30</f>
        <v>0.44</v>
      </c>
      <c r="CK30" s="0" t="e">
        <f aca="false">CC30</f>
        <v>#VALUE!</v>
      </c>
      <c r="CL30" s="0" t="e">
        <f aca="false">CH30</f>
        <v>#VALUE!</v>
      </c>
    </row>
    <row r="31" customFormat="false" ht="12.75" hidden="false" customHeight="false" outlineLevel="0" collapsed="false">
      <c r="X31" s="5" t="n">
        <f aca="false">X30+0.02</f>
        <v>0.48</v>
      </c>
      <c r="Y31" s="0" t="n">
        <f aca="false">$W$7*(SIN($U$7*X31)+SINH($U$7*X31))+COSH($U$7*X31)+COS($U$7*X31)</f>
        <v>-1.20854210400695</v>
      </c>
      <c r="AD31" s="0" t="n">
        <f aca="false">$AC$7*(SINH($AA$7*X31)+SIN($AA$7*X31))+COSH($AA$7*X31)+COS($AA$7*X31)</f>
        <v>-0.215076489408752</v>
      </c>
      <c r="AI31" s="0" t="n">
        <f aca="false">$AH$7*(SINH($AF$7*X31)+SIN($AF$7*X31))+COSH($AF$7*X31)+COS($AF$7*X31)</f>
        <v>1.3885166701251</v>
      </c>
      <c r="AK31" s="0" t="n">
        <f aca="false">X31</f>
        <v>0.48</v>
      </c>
      <c r="AL31" s="0" t="n">
        <f aca="false">Y31</f>
        <v>-1.20854210400695</v>
      </c>
      <c r="AM31" s="0" t="n">
        <f aca="false">AD31</f>
        <v>-0.215076489408752</v>
      </c>
      <c r="AN31" s="0" t="n">
        <f aca="false">AI31</f>
        <v>1.3885166701251</v>
      </c>
      <c r="BW31" s="0" t="n">
        <f aca="false">BW30+2000000</f>
        <v>44000000</v>
      </c>
      <c r="BX31" s="0" t="e">
        <f aca="false">determ3(BW31*$BC$17-$AS$17,BW31*$BD$17-$AT$17,BW31*$BE$17-$AU$17,BW31*$BF$17-$AV$17,BW31*$BG$17-$AW$17,BW31*$BH$17-$AX$17,BW31*$BI$17-$AY$17,BW31*$BJ$17-$AZ$17,BW31*$BK$17-$BA$17)</f>
        <v>#VALUE!</v>
      </c>
      <c r="CB31" s="0" t="n">
        <f aca="false">CB30+0.02</f>
        <v>0.46</v>
      </c>
      <c r="CC31" s="0" t="e">
        <f aca="false">$BX$6*(www(CB31,$W$7,$BY$6)+$BV$6*www(CB31,$AC$7,$BZ$6)+$BW$6*www(CB31,$AH$7,$CA$6))</f>
        <v>#VALUE!</v>
      </c>
      <c r="CG31" s="0" t="n">
        <f aca="false">CB31</f>
        <v>0.46</v>
      </c>
      <c r="CH31" s="0" t="e">
        <f aca="false">$CF$6*(www(CB31,$W$7,$BY$6)+$CD$6*www(CB31,$AC$7,$BZ$6)+$CE$6*www(CB31,$AH$7,$CA$6))</f>
        <v>#VALUE!</v>
      </c>
      <c r="CJ31" s="0" t="n">
        <f aca="false">CG31</f>
        <v>0.46</v>
      </c>
      <c r="CK31" s="0" t="e">
        <f aca="false">CC31</f>
        <v>#VALUE!</v>
      </c>
      <c r="CL31" s="0" t="e">
        <f aca="false">CH31</f>
        <v>#VALUE!</v>
      </c>
    </row>
    <row r="32" customFormat="false" ht="12.75" hidden="false" customHeight="false" outlineLevel="0" collapsed="false">
      <c r="X32" s="5" t="n">
        <f aca="false">X31+0.02</f>
        <v>0.5</v>
      </c>
      <c r="Y32" s="0" t="n">
        <f aca="false">$W$7*(SIN($U$7*X32)+SINH($U$7*X32))+COSH($U$7*X32)+COS($U$7*X32)</f>
        <v>-1.21564445883252</v>
      </c>
      <c r="AD32" s="0" t="n">
        <f aca="false">$AC$7*(SINH($AA$7*X32)+SIN($AA$7*X32))+COSH($AA$7*X32)+COS($AA$7*X32)</f>
        <v>-1.59794066867391E-010</v>
      </c>
      <c r="AI32" s="0" t="n">
        <f aca="false">$AH$7*(SINH($AF$7*X32)+SIN($AF$7*X32))+COSH($AF$7*X32)+COS($AF$7*X32)</f>
        <v>1.42238121397686</v>
      </c>
      <c r="AK32" s="0" t="n">
        <f aca="false">X32</f>
        <v>0.5</v>
      </c>
      <c r="AL32" s="0" t="n">
        <f aca="false">Y32</f>
        <v>-1.21564445883252</v>
      </c>
      <c r="AM32" s="0" t="n">
        <f aca="false">AD32</f>
        <v>-1.59794066867391E-010</v>
      </c>
      <c r="AN32" s="0" t="n">
        <f aca="false">AI32</f>
        <v>1.42238121397686</v>
      </c>
      <c r="BW32" s="0" t="n">
        <f aca="false">BW31+2000000</f>
        <v>46000000</v>
      </c>
      <c r="BX32" s="0" t="e">
        <f aca="false">determ3(BW32*$BC$17-$AS$17,BW32*$BD$17-$AT$17,BW32*$BE$17-$AU$17,BW32*$BF$17-$AV$17,BW32*$BG$17-$AW$17,BW32*$BH$17-$AX$17,BW32*$BI$17-$AY$17,BW32*$BJ$17-$AZ$17,BW32*$BK$17-$BA$17)</f>
        <v>#VALUE!</v>
      </c>
      <c r="CB32" s="0" t="n">
        <f aca="false">CB31+0.02</f>
        <v>0.48</v>
      </c>
      <c r="CC32" s="0" t="e">
        <f aca="false">$BX$6*(www(CB32,$W$7,$BY$6)+$BV$6*www(CB32,$AC$7,$BZ$6)+$BW$6*www(CB32,$AH$7,$CA$6))</f>
        <v>#VALUE!</v>
      </c>
      <c r="CG32" s="0" t="n">
        <f aca="false">CB32</f>
        <v>0.48</v>
      </c>
      <c r="CH32" s="0" t="e">
        <f aca="false">$CF$6*(www(CB32,$W$7,$BY$6)+$CD$6*www(CB32,$AC$7,$BZ$6)+$CE$6*www(CB32,$AH$7,$CA$6))</f>
        <v>#VALUE!</v>
      </c>
      <c r="CJ32" s="0" t="n">
        <f aca="false">CG32</f>
        <v>0.48</v>
      </c>
      <c r="CK32" s="0" t="e">
        <f aca="false">CC32</f>
        <v>#VALUE!</v>
      </c>
      <c r="CL32" s="0" t="e">
        <f aca="false">CH32</f>
        <v>#VALUE!</v>
      </c>
    </row>
    <row r="33" customFormat="false" ht="12.75" hidden="false" customHeight="false" outlineLevel="0" collapsed="false">
      <c r="X33" s="5" t="n">
        <f aca="false">X32+0.02</f>
        <v>0.52</v>
      </c>
      <c r="Y33" s="0" t="n">
        <f aca="false">$W$7*(SIN($U$7*X33)+SINH($U$7*X33))+COSH($U$7*X33)+COS($U$7*X33)</f>
        <v>-1.20854210407387</v>
      </c>
      <c r="AD33" s="0" t="n">
        <f aca="false">$AC$7*(SINH($AA$7*X33)+SIN($AA$7*X33))+COSH($AA$7*X33)+COS($AA$7*X33)</f>
        <v>0.215076489093323</v>
      </c>
      <c r="AI33" s="0" t="n">
        <f aca="false">$AH$7*(SINH($AF$7*X33)+SIN($AF$7*X33))+COSH($AF$7*X33)+COS($AF$7*X33)</f>
        <v>1.38852695937196</v>
      </c>
      <c r="AK33" s="0" t="n">
        <f aca="false">X33</f>
        <v>0.52</v>
      </c>
      <c r="AL33" s="0" t="n">
        <f aca="false">Y33</f>
        <v>-1.20854210407387</v>
      </c>
      <c r="AM33" s="0" t="n">
        <f aca="false">AD33</f>
        <v>0.215076489093323</v>
      </c>
      <c r="AN33" s="0" t="n">
        <f aca="false">AI33</f>
        <v>1.38852695937196</v>
      </c>
      <c r="BW33" s="0" t="n">
        <f aca="false">BW32+2000000</f>
        <v>48000000</v>
      </c>
      <c r="BX33" s="0" t="e">
        <f aca="false">determ3(BW33*$BC$17-$AS$17,BW33*$BD$17-$AT$17,BW33*$BE$17-$AU$17,BW33*$BF$17-$AV$17,BW33*$BG$17-$AW$17,BW33*$BH$17-$AX$17,BW33*$BI$17-$AY$17,BW33*$BJ$17-$AZ$17,BW33*$BK$17-$BA$17)</f>
        <v>#VALUE!</v>
      </c>
      <c r="CB33" s="0" t="n">
        <f aca="false">CB32+0.02</f>
        <v>0.5</v>
      </c>
      <c r="CC33" s="0" t="e">
        <f aca="false">$BX$6*(www(CB33,$W$7,$BY$6)+$BV$6*www(CB33,$AC$7,$BZ$6)+$BW$6*www(CB33,$AH$7,$CA$6))</f>
        <v>#VALUE!</v>
      </c>
      <c r="CG33" s="0" t="n">
        <f aca="false">CB33</f>
        <v>0.5</v>
      </c>
      <c r="CH33" s="0" t="e">
        <f aca="false">$CF$6*(www(CB33,$W$7,$BY$6)+$CD$6*www(CB33,$AC$7,$BZ$6)+$CE$6*www(CB33,$AH$7,$CA$6))</f>
        <v>#VALUE!</v>
      </c>
      <c r="CJ33" s="0" t="n">
        <f aca="false">CG33</f>
        <v>0.5</v>
      </c>
      <c r="CK33" s="0" t="e">
        <f aca="false">CC33</f>
        <v>#VALUE!</v>
      </c>
      <c r="CL33" s="0" t="e">
        <f aca="false">CH33</f>
        <v>#VALUE!</v>
      </c>
    </row>
    <row r="34" customFormat="false" ht="12.75" hidden="false" customHeight="false" outlineLevel="0" collapsed="false">
      <c r="X34" s="5" t="n">
        <f aca="false">X33+0.02</f>
        <v>0.54</v>
      </c>
      <c r="Y34" s="0" t="n">
        <f aca="false">$W$7*(SIN($U$7*X34)+SINH($U$7*X34))+COSH($U$7*X34)+COS($U$7*X34)</f>
        <v>-1.18728362553912</v>
      </c>
      <c r="AD34" s="0" t="n">
        <f aca="false">$AC$7*(SINH($AA$7*X34)+SIN($AA$7*X34))+COSH($AA$7*X34)+COS($AA$7*X34)</f>
        <v>0.424551265380797</v>
      </c>
      <c r="AI34" s="0" t="n">
        <f aca="false">$AH$7*(SINH($AF$7*X34)+SIN($AF$7*X34))+COSH($AF$7*X34)+COS($AF$7*X34)</f>
        <v>1.28860377889213</v>
      </c>
      <c r="AK34" s="0" t="n">
        <f aca="false">X34</f>
        <v>0.54</v>
      </c>
      <c r="AL34" s="0" t="n">
        <f aca="false">Y34</f>
        <v>-1.18728362553912</v>
      </c>
      <c r="AM34" s="0" t="n">
        <f aca="false">AD34</f>
        <v>0.424551265380797</v>
      </c>
      <c r="AN34" s="0" t="n">
        <f aca="false">AI34</f>
        <v>1.28860377889213</v>
      </c>
      <c r="BW34" s="0" t="n">
        <f aca="false">BW33+2000000</f>
        <v>50000000</v>
      </c>
      <c r="BX34" s="0" t="e">
        <f aca="false">determ3(BW34*$BC$17-$AS$17,BW34*$BD$17-$AT$17,BW34*$BE$17-$AU$17,BW34*$BF$17-$AV$17,BW34*$BG$17-$AW$17,BW34*$BH$17-$AX$17,BW34*$BI$17-$AY$17,BW34*$BJ$17-$AZ$17,BW34*$BK$17-$BA$17)</f>
        <v>#VALUE!</v>
      </c>
      <c r="CB34" s="0" t="n">
        <f aca="false">CB33+0.02</f>
        <v>0.52</v>
      </c>
      <c r="CC34" s="0" t="e">
        <f aca="false">$BX$6*(www(CB34,$W$7,$BY$6)+$BV$6*www(CB34,$AC$7,$BZ$6)+$BW$6*www(CB34,$AH$7,$CA$6))</f>
        <v>#VALUE!</v>
      </c>
      <c r="CG34" s="0" t="n">
        <f aca="false">CB34</f>
        <v>0.52</v>
      </c>
      <c r="CH34" s="0" t="e">
        <f aca="false">$CF$6*(www(CB34,$W$7,$BY$6)+$CD$6*www(CB34,$AC$7,$BZ$6)+$CE$6*www(CB34,$AH$7,$CA$6))</f>
        <v>#VALUE!</v>
      </c>
      <c r="CJ34" s="0" t="n">
        <f aca="false">CG34</f>
        <v>0.52</v>
      </c>
      <c r="CK34" s="0" t="e">
        <f aca="false">CC34</f>
        <v>#VALUE!</v>
      </c>
      <c r="CL34" s="0" t="e">
        <f aca="false">CH34</f>
        <v>#VALUE!</v>
      </c>
    </row>
    <row r="35" customFormat="false" ht="12.75" hidden="false" customHeight="false" outlineLevel="0" collapsed="false">
      <c r="X35" s="5" t="n">
        <f aca="false">X34+0.02</f>
        <v>0.56</v>
      </c>
      <c r="Y35" s="0" t="n">
        <f aca="false">$W$7*(SIN($U$7*X35)+SINH($U$7*X35))+COSH($U$7*X35)+COS($U$7*X35)</f>
        <v>-1.15201421247259</v>
      </c>
      <c r="AD35" s="0" t="n">
        <f aca="false">$AC$7*(SINH($AA$7*X35)+SIN($AA$7*X35))+COSH($AA$7*X35)+COS($AA$7*X35)</f>
        <v>0.622952935677598</v>
      </c>
      <c r="AI35" s="0" t="n">
        <f aca="false">$AH$7*(SINH($AF$7*X35)+SIN($AF$7*X35))+COSH($AF$7*X35)+COS($AF$7*X35)</f>
        <v>1.12748325707926</v>
      </c>
      <c r="AK35" s="0" t="n">
        <f aca="false">X35</f>
        <v>0.56</v>
      </c>
      <c r="AL35" s="0" t="n">
        <f aca="false">Y35</f>
        <v>-1.15201421247259</v>
      </c>
      <c r="AM35" s="0" t="n">
        <f aca="false">AD35</f>
        <v>0.622952935677598</v>
      </c>
      <c r="AN35" s="0" t="n">
        <f aca="false">AI35</f>
        <v>1.12748325707926</v>
      </c>
      <c r="BW35" s="0" t="n">
        <f aca="false">BW34+2000000</f>
        <v>52000000</v>
      </c>
      <c r="BX35" s="0" t="e">
        <f aca="false">determ3(BW35*$BC$17-$AS$17,BW35*$BD$17-$AT$17,BW35*$BE$17-$AU$17,BW35*$BF$17-$AV$17,BW35*$BG$17-$AW$17,BW35*$BH$17-$AX$17,BW35*$BI$17-$AY$17,BW35*$BJ$17-$AZ$17,BW35*$BK$17-$BA$17)</f>
        <v>#VALUE!</v>
      </c>
      <c r="CB35" s="0" t="n">
        <f aca="false">CB34+0.02</f>
        <v>0.54</v>
      </c>
      <c r="CC35" s="0" t="e">
        <f aca="false">$BX$6*(www(CB35,$W$7,$BY$6)+$BV$6*www(CB35,$AC$7,$BZ$6)+$BW$6*www(CB35,$AH$7,$CA$6))</f>
        <v>#VALUE!</v>
      </c>
      <c r="CG35" s="0" t="n">
        <f aca="false">CB35</f>
        <v>0.54</v>
      </c>
      <c r="CH35" s="0" t="e">
        <f aca="false">$CF$6*(www(CB35,$W$7,$BY$6)+$CD$6*www(CB35,$AC$7,$BZ$6)+$CE$6*www(CB35,$AH$7,$CA$6))</f>
        <v>#VALUE!</v>
      </c>
      <c r="CJ35" s="0" t="n">
        <f aca="false">CG35</f>
        <v>0.54</v>
      </c>
      <c r="CK35" s="0" t="e">
        <f aca="false">CC35</f>
        <v>#VALUE!</v>
      </c>
      <c r="CL35" s="0" t="e">
        <f aca="false">CH35</f>
        <v>#VALUE!</v>
      </c>
    </row>
    <row r="36" customFormat="false" ht="12.75" hidden="false" customHeight="false" outlineLevel="0" collapsed="false">
      <c r="X36" s="5" t="n">
        <f aca="false">X35+0.02</f>
        <v>0.58</v>
      </c>
      <c r="Y36" s="0" t="n">
        <f aca="false">$W$7*(SIN($U$7*X36)+SINH($U$7*X36))+COSH($U$7*X36)+COS($U$7*X36)</f>
        <v>-1.10297395689667</v>
      </c>
      <c r="AD36" s="0" t="n">
        <f aca="false">$AC$7*(SINH($AA$7*X36)+SIN($AA$7*X36))+COSH($AA$7*X36)+COS($AA$7*X36)</f>
        <v>0.805067351057533</v>
      </c>
      <c r="AI36" s="0" t="n">
        <f aca="false">$AH$7*(SINH($AF$7*X36)+SIN($AF$7*X36))+COSH($AF$7*X36)+COS($AF$7*X36)</f>
        <v>0.913026890572023</v>
      </c>
      <c r="AK36" s="0" t="n">
        <f aca="false">X36</f>
        <v>0.58</v>
      </c>
      <c r="AL36" s="0" t="n">
        <f aca="false">Y36</f>
        <v>-1.10297395689667</v>
      </c>
      <c r="AM36" s="0" t="n">
        <f aca="false">AD36</f>
        <v>0.805067351057533</v>
      </c>
      <c r="AN36" s="0" t="n">
        <f aca="false">AI36</f>
        <v>0.913026890572023</v>
      </c>
      <c r="BW36" s="0" t="n">
        <f aca="false">BW35+2000000</f>
        <v>54000000</v>
      </c>
      <c r="BX36" s="0" t="e">
        <f aca="false">determ3(BW36*$BC$17-$AS$17,BW36*$BD$17-$AT$17,BW36*$BE$17-$AU$17,BW36*$BF$17-$AV$17,BW36*$BG$17-$AW$17,BW36*$BH$17-$AX$17,BW36*$BI$17-$AY$17,BW36*$BJ$17-$AZ$17,BW36*$BK$17-$BA$17)</f>
        <v>#VALUE!</v>
      </c>
      <c r="CB36" s="0" t="n">
        <f aca="false">CB35+0.02</f>
        <v>0.56</v>
      </c>
      <c r="CC36" s="0" t="e">
        <f aca="false">$BX$6*(www(CB36,$W$7,$BY$6)+$BV$6*www(CB36,$AC$7,$BZ$6)+$BW$6*www(CB36,$AH$7,$CA$6))</f>
        <v>#VALUE!</v>
      </c>
      <c r="CG36" s="0" t="n">
        <f aca="false">CB36</f>
        <v>0.56</v>
      </c>
      <c r="CH36" s="0" t="e">
        <f aca="false">$CF$6*(www(CB36,$W$7,$BY$6)+$CD$6*www(CB36,$AC$7,$BZ$6)+$CE$6*www(CB36,$AH$7,$CA$6))</f>
        <v>#VALUE!</v>
      </c>
      <c r="CJ36" s="0" t="n">
        <f aca="false">CG36</f>
        <v>0.56</v>
      </c>
      <c r="CK36" s="0" t="e">
        <f aca="false">CC36</f>
        <v>#VALUE!</v>
      </c>
      <c r="CL36" s="0" t="e">
        <f aca="false">CH36</f>
        <v>#VALUE!</v>
      </c>
    </row>
    <row r="37" customFormat="false" ht="12.75" hidden="false" customHeight="false" outlineLevel="0" collapsed="false">
      <c r="X37" s="5" t="n">
        <f aca="false">X36+0.02</f>
        <v>0.6</v>
      </c>
      <c r="Y37" s="0" t="n">
        <f aca="false">$W$7*(SIN($U$7*X37)+SINH($U$7*X37))+COSH($U$7*X37)+COS($U$7*X37)</f>
        <v>-1.04049503208178</v>
      </c>
      <c r="AD37" s="0" t="n">
        <f aca="false">$AC$7*(SINH($AA$7*X37)+SIN($AA$7*X37))+COSH($AA$7*X37)+COS($AA$7*X37)</f>
        <v>0.966057818229754</v>
      </c>
      <c r="AI37" s="0" t="n">
        <f aca="false">$AH$7*(SINH($AF$7*X37)+SIN($AF$7*X37))+COSH($AF$7*X37)+COS($AF$7*X37)</f>
        <v>0.655712326303699</v>
      </c>
      <c r="AK37" s="0" t="n">
        <f aca="false">X37</f>
        <v>0.6</v>
      </c>
      <c r="AL37" s="0" t="n">
        <f aca="false">Y37</f>
        <v>-1.04049503208178</v>
      </c>
      <c r="AM37" s="0" t="n">
        <f aca="false">AD37</f>
        <v>0.966057818229754</v>
      </c>
      <c r="AN37" s="0" t="n">
        <f aca="false">AI37</f>
        <v>0.655712326303699</v>
      </c>
      <c r="BW37" s="0" t="n">
        <f aca="false">BW36+2000000</f>
        <v>56000000</v>
      </c>
      <c r="BX37" s="0" t="e">
        <f aca="false">determ3(BW37*$BC$17-$AS$17,BW37*$BD$17-$AT$17,BW37*$BE$17-$AU$17,BW37*$BF$17-$AV$17,BW37*$BG$17-$AW$17,BW37*$BH$17-$AX$17,BW37*$BI$17-$AY$17,BW37*$BJ$17-$AZ$17,BW37*$BK$17-$BA$17)</f>
        <v>#VALUE!</v>
      </c>
      <c r="CB37" s="0" t="n">
        <f aca="false">CB36+0.02</f>
        <v>0.58</v>
      </c>
      <c r="CC37" s="0" t="e">
        <f aca="false">$BX$6*(www(CB37,$W$7,$BY$6)+$BV$6*www(CB37,$AC$7,$BZ$6)+$BW$6*www(CB37,$AH$7,$CA$6))</f>
        <v>#VALUE!</v>
      </c>
      <c r="CG37" s="0" t="n">
        <f aca="false">CB37</f>
        <v>0.58</v>
      </c>
      <c r="CH37" s="0" t="e">
        <f aca="false">$CF$6*(www(CB37,$W$7,$BY$6)+$CD$6*www(CB37,$AC$7,$BZ$6)+$CE$6*www(CB37,$AH$7,$CA$6))</f>
        <v>#VALUE!</v>
      </c>
      <c r="CJ37" s="0" t="n">
        <f aca="false">CG37</f>
        <v>0.58</v>
      </c>
      <c r="CK37" s="0" t="e">
        <f aca="false">CC37</f>
        <v>#VALUE!</v>
      </c>
      <c r="CL37" s="0" t="e">
        <f aca="false">CH37</f>
        <v>#VALUE!</v>
      </c>
    </row>
    <row r="38" customFormat="false" ht="12.75" hidden="false" customHeight="false" outlineLevel="0" collapsed="false">
      <c r="X38" s="5" t="n">
        <f aca="false">X37+0.02</f>
        <v>0.62</v>
      </c>
      <c r="Y38" s="0" t="n">
        <f aca="false">$W$7*(SIN($U$7*X38)+SINH($U$7*X38))+COSH($U$7*X38)+COS($U$7*X38)</f>
        <v>-0.96499776933571</v>
      </c>
      <c r="AD38" s="0" t="n">
        <f aca="false">$AC$7*(SINH($AA$7*X38)+SIN($AA$7*X38))+COSH($AA$7*X38)+COS($AA$7*X38)</f>
        <v>1.10157543749938</v>
      </c>
      <c r="AI38" s="0" t="n">
        <f aca="false">$AH$7*(SINH($AF$7*X38)+SIN($AF$7*X38))+COSH($AF$7*X38)+COS($AF$7*X38)</f>
        <v>0.36813587841653</v>
      </c>
      <c r="AK38" s="0" t="n">
        <f aca="false">X38</f>
        <v>0.62</v>
      </c>
      <c r="AL38" s="0" t="n">
        <f aca="false">Y38</f>
        <v>-0.96499776933571</v>
      </c>
      <c r="AM38" s="0" t="n">
        <f aca="false">AD38</f>
        <v>1.10157543749938</v>
      </c>
      <c r="AN38" s="0" t="n">
        <f aca="false">AI38</f>
        <v>0.36813587841653</v>
      </c>
      <c r="BW38" s="0" t="n">
        <f aca="false">BW37+2000000</f>
        <v>58000000</v>
      </c>
      <c r="BX38" s="0" t="e">
        <f aca="false">determ3(BW38*$BC$17-$AS$17,BW38*$BD$17-$AT$17,BW38*$BE$17-$AU$17,BW38*$BF$17-$AV$17,BW38*$BG$17-$AW$17,BW38*$BH$17-$AX$17,BW38*$BI$17-$AY$17,BW38*$BJ$17-$AZ$17,BW38*$BK$17-$BA$17)</f>
        <v>#VALUE!</v>
      </c>
      <c r="CB38" s="0" t="n">
        <f aca="false">CB37+0.02</f>
        <v>0.6</v>
      </c>
      <c r="CC38" s="0" t="e">
        <f aca="false">$BX$6*(www(CB38,$W$7,$BY$6)+$BV$6*www(CB38,$AC$7,$BZ$6)+$BW$6*www(CB38,$AH$7,$CA$6))</f>
        <v>#VALUE!</v>
      </c>
      <c r="CG38" s="0" t="n">
        <f aca="false">CB38</f>
        <v>0.6</v>
      </c>
      <c r="CH38" s="0" t="e">
        <f aca="false">$CF$6*(www(CB38,$W$7,$BY$6)+$CD$6*www(CB38,$AC$7,$BZ$6)+$CE$6*www(CB38,$AH$7,$CA$6))</f>
        <v>#VALUE!</v>
      </c>
      <c r="CJ38" s="0" t="n">
        <f aca="false">CG38</f>
        <v>0.6</v>
      </c>
      <c r="CK38" s="0" t="e">
        <f aca="false">CC38</f>
        <v>#VALUE!</v>
      </c>
      <c r="CL38" s="0" t="e">
        <f aca="false">CH38</f>
        <v>#VALUE!</v>
      </c>
    </row>
    <row r="39" customFormat="false" ht="12.75" hidden="false" customHeight="false" outlineLevel="0" collapsed="false">
      <c r="X39" s="5" t="n">
        <f aca="false">X38+0.02</f>
        <v>0.64</v>
      </c>
      <c r="Y39" s="0" t="n">
        <f aca="false">$W$7*(SIN($U$7*X39)+SINH($U$7*X39))+COSH($U$7*X39)+COS($U$7*X39)</f>
        <v>-0.876985659663836</v>
      </c>
      <c r="AD39" s="0" t="n">
        <f aca="false">$AC$7*(SINH($AA$7*X39)+SIN($AA$7*X39))+COSH($AA$7*X39)+COS($AA$7*X39)</f>
        <v>1.20785663489982</v>
      </c>
      <c r="AI39" s="0" t="n">
        <f aca="false">$AH$7*(SINH($AF$7*X39)+SIN($AF$7*X39))+COSH($AF$7*X39)+COS($AF$7*X39)</f>
        <v>0.0644156349356997</v>
      </c>
      <c r="AK39" s="0" t="n">
        <f aca="false">X39</f>
        <v>0.64</v>
      </c>
      <c r="AL39" s="0" t="n">
        <f aca="false">Y39</f>
        <v>-0.876985659663836</v>
      </c>
      <c r="AM39" s="0" t="n">
        <f aca="false">AD39</f>
        <v>1.20785663489982</v>
      </c>
      <c r="AN39" s="0" t="n">
        <f aca="false">AI39</f>
        <v>0.0644156349356997</v>
      </c>
      <c r="BW39" s="0" t="n">
        <f aca="false">BW38+2000000</f>
        <v>60000000</v>
      </c>
      <c r="BX39" s="0" t="e">
        <f aca="false">determ3(BW39*$BC$17-$AS$17,BW39*$BD$17-$AT$17,BW39*$BE$17-$AU$17,BW39*$BF$17-$AV$17,BW39*$BG$17-$AW$17,BW39*$BH$17-$AX$17,BW39*$BI$17-$AY$17,BW39*$BJ$17-$AZ$17,BW39*$BK$17-$BA$17)</f>
        <v>#VALUE!</v>
      </c>
      <c r="CB39" s="0" t="n">
        <f aca="false">CB38+0.02</f>
        <v>0.62</v>
      </c>
      <c r="CC39" s="0" t="e">
        <f aca="false">$BX$6*(www(CB39,$W$7,$BY$6)+$BV$6*www(CB39,$AC$7,$BZ$6)+$BW$6*www(CB39,$AH$7,$CA$6))</f>
        <v>#VALUE!</v>
      </c>
      <c r="CG39" s="0" t="n">
        <f aca="false">CB39</f>
        <v>0.62</v>
      </c>
      <c r="CH39" s="0" t="e">
        <f aca="false">$CF$6*(www(CB39,$W$7,$BY$6)+$CD$6*www(CB39,$AC$7,$BZ$6)+$CE$6*www(CB39,$AH$7,$CA$6))</f>
        <v>#VALUE!</v>
      </c>
      <c r="CJ39" s="0" t="n">
        <f aca="false">CG39</f>
        <v>0.62</v>
      </c>
      <c r="CK39" s="0" t="e">
        <f aca="false">CC39</f>
        <v>#VALUE!</v>
      </c>
      <c r="CL39" s="0" t="e">
        <f aca="false">CH39</f>
        <v>#VALUE!</v>
      </c>
    </row>
    <row r="40" customFormat="false" ht="12.75" hidden="false" customHeight="false" outlineLevel="0" collapsed="false">
      <c r="X40" s="5" t="n">
        <f aca="false">X39+0.02</f>
        <v>0.66</v>
      </c>
      <c r="Y40" s="0" t="n">
        <f aca="false">$W$7*(SIN($U$7*X40)+SINH($U$7*X40))+COSH($U$7*X40)+COS($U$7*X40)</f>
        <v>-0.777039313897845</v>
      </c>
      <c r="AD40" s="0" t="n">
        <f aca="false">$AC$7*(SINH($AA$7*X40)+SIN($AA$7*X40))+COSH($AA$7*X40)+COS($AA$7*X40)</f>
        <v>1.28180525179868</v>
      </c>
      <c r="AI40" s="0" t="n">
        <f aca="false">$AH$7*(SINH($AF$7*X40)+SIN($AF$7*X40))+COSH($AF$7*X40)+COS($AF$7*X40)</f>
        <v>-0.240475618401295</v>
      </c>
      <c r="AK40" s="0" t="n">
        <f aca="false">X40</f>
        <v>0.66</v>
      </c>
      <c r="AL40" s="0" t="n">
        <f aca="false">Y40</f>
        <v>-0.777039313897845</v>
      </c>
      <c r="AM40" s="0" t="n">
        <f aca="false">AD40</f>
        <v>1.28180525179868</v>
      </c>
      <c r="AN40" s="0" t="n">
        <f aca="false">AI40</f>
        <v>-0.240475618401295</v>
      </c>
      <c r="BO40" s="0" t="n">
        <f aca="false">765^2</f>
        <v>585225</v>
      </c>
      <c r="BW40" s="0" t="n">
        <f aca="false">BW39+2000000</f>
        <v>62000000</v>
      </c>
      <c r="BX40" s="0" t="e">
        <f aca="false">determ3(BW40*$BC$17-$AS$17,BW40*$BD$17-$AT$17,BW40*$BE$17-$AU$17,BW40*$BF$17-$AV$17,BW40*$BG$17-$AW$17,BW40*$BH$17-$AX$17,BW40*$BI$17-$AY$17,BW40*$BJ$17-$AZ$17,BW40*$BK$17-$BA$17)</f>
        <v>#VALUE!</v>
      </c>
      <c r="CB40" s="0" t="n">
        <f aca="false">CB39+0.02</f>
        <v>0.64</v>
      </c>
      <c r="CC40" s="0" t="e">
        <f aca="false">$BX$6*(www(CB40,$W$7,$BY$6)+$BV$6*www(CB40,$AC$7,$BZ$6)+$BW$6*www(CB40,$AH$7,$CA$6))</f>
        <v>#VALUE!</v>
      </c>
      <c r="CG40" s="0" t="n">
        <f aca="false">CB40</f>
        <v>0.64</v>
      </c>
      <c r="CH40" s="0" t="e">
        <f aca="false">$CF$6*(www(CB40,$W$7,$BY$6)+$CD$6*www(CB40,$AC$7,$BZ$6)+$CE$6*www(CB40,$AH$7,$CA$6))</f>
        <v>#VALUE!</v>
      </c>
      <c r="CJ40" s="0" t="n">
        <f aca="false">CG40</f>
        <v>0.64</v>
      </c>
      <c r="CK40" s="0" t="e">
        <f aca="false">CC40</f>
        <v>#VALUE!</v>
      </c>
      <c r="CL40" s="0" t="e">
        <f aca="false">CH40</f>
        <v>#VALUE!</v>
      </c>
    </row>
    <row r="41" customFormat="false" ht="12.75" hidden="false" customHeight="false" outlineLevel="0" collapsed="false">
      <c r="X41" s="5" t="n">
        <f aca="false">X40+0.02</f>
        <v>0.68</v>
      </c>
      <c r="Y41" s="0" t="n">
        <f aca="false">$W$7*(SIN($U$7*X41)+SINH($U$7*X41))+COSH($U$7*X41)+COS($U$7*X41)</f>
        <v>-0.665809421537139</v>
      </c>
      <c r="AD41" s="0" t="n">
        <f aca="false">$AC$7*(SINH($AA$7*X41)+SIN($AA$7*X41))+COSH($AA$7*X41)+COS($AA$7*X41)</f>
        <v>1.32105690992292</v>
      </c>
      <c r="AI41" s="0" t="n">
        <f aca="false">$AH$7*(SINH($AF$7*X41)+SIN($AF$7*X41))+COSH($AF$7*X41)+COS($AF$7*X41)</f>
        <v>-0.531414898015769</v>
      </c>
      <c r="AK41" s="0" t="n">
        <f aca="false">X41</f>
        <v>0.68</v>
      </c>
      <c r="AL41" s="0" t="n">
        <f aca="false">Y41</f>
        <v>-0.665809421537139</v>
      </c>
      <c r="AM41" s="0" t="n">
        <f aca="false">AD41</f>
        <v>1.32105690992292</v>
      </c>
      <c r="AN41" s="0" t="n">
        <f aca="false">AI41</f>
        <v>-0.531414898015769</v>
      </c>
      <c r="BW41" s="0" t="n">
        <f aca="false">BW40+2000000</f>
        <v>64000000</v>
      </c>
      <c r="BX41" s="0" t="e">
        <f aca="false">determ3(BW41*$BC$17-$AS$17,BW41*$BD$17-$AT$17,BW41*$BE$17-$AU$17,BW41*$BF$17-$AV$17,BW41*$BG$17-$AW$17,BW41*$BH$17-$AX$17,BW41*$BI$17-$AY$17,BW41*$BJ$17-$AZ$17,BW41*$BK$17-$BA$17)</f>
        <v>#VALUE!</v>
      </c>
      <c r="CB41" s="0" t="n">
        <f aca="false">CB40+0.02</f>
        <v>0.66</v>
      </c>
      <c r="CC41" s="0" t="e">
        <f aca="false">$BX$6*(www(CB41,$W$7,$BY$6)+$BV$6*www(CB41,$AC$7,$BZ$6)+$BW$6*www(CB41,$AH$7,$CA$6))</f>
        <v>#VALUE!</v>
      </c>
      <c r="CG41" s="0" t="n">
        <f aca="false">CB41</f>
        <v>0.66</v>
      </c>
      <c r="CH41" s="0" t="e">
        <f aca="false">$CF$6*(www(CB41,$W$7,$BY$6)+$CD$6*www(CB41,$AC$7,$BZ$6)+$CE$6*www(CB41,$AH$7,$CA$6))</f>
        <v>#VALUE!</v>
      </c>
      <c r="CJ41" s="0" t="n">
        <f aca="false">CG41</f>
        <v>0.66</v>
      </c>
      <c r="CK41" s="0" t="e">
        <f aca="false">CC41</f>
        <v>#VALUE!</v>
      </c>
      <c r="CL41" s="0" t="e">
        <f aca="false">CH41</f>
        <v>#VALUE!</v>
      </c>
    </row>
    <row r="42" customFormat="false" ht="12.75" hidden="false" customHeight="false" outlineLevel="0" collapsed="false">
      <c r="X42" s="5" t="n">
        <f aca="false">X41+0.02</f>
        <v>0.7</v>
      </c>
      <c r="Y42" s="0" t="n">
        <f aca="false">$W$7*(SIN($U$7*X42)+SINH($U$7*X42))+COSH($U$7*X42)+COS($U$7*X42)</f>
        <v>-0.544008754710137</v>
      </c>
      <c r="AD42" s="0" t="n">
        <f aca="false">$AC$7*(SINH($AA$7*X42)+SIN($AA$7*X42))+COSH($AA$7*X42)+COS($AA$7*X42)</f>
        <v>1.32402377411658</v>
      </c>
      <c r="AI42" s="0" t="n">
        <f aca="false">$AH$7*(SINH($AF$7*X42)+SIN($AF$7*X42))+COSH($AF$7*X42)+COS($AF$7*X42)</f>
        <v>-0.793836202551439</v>
      </c>
      <c r="AK42" s="0" t="n">
        <f aca="false">X42</f>
        <v>0.7</v>
      </c>
      <c r="AL42" s="0" t="n">
        <f aca="false">Y42</f>
        <v>-0.544008754710137</v>
      </c>
      <c r="AM42" s="0" t="n">
        <f aca="false">AD42</f>
        <v>1.32402377411658</v>
      </c>
      <c r="AN42" s="0" t="n">
        <f aca="false">AI42</f>
        <v>-0.793836202551439</v>
      </c>
      <c r="BW42" s="0" t="n">
        <f aca="false">BW41+2000000</f>
        <v>66000000</v>
      </c>
      <c r="BX42" s="0" t="e">
        <f aca="false">determ3(BW42*$BC$17-$AS$17,BW42*$BD$17-$AT$17,BW42*$BE$17-$AU$17,BW42*$BF$17-$AV$17,BW42*$BG$17-$AW$17,BW42*$BH$17-$AX$17,BW42*$BI$17-$AY$17,BW42*$BJ$17-$AZ$17,BW42*$BK$17-$BA$17)</f>
        <v>#VALUE!</v>
      </c>
      <c r="CB42" s="0" t="n">
        <f aca="false">CB41+0.02</f>
        <v>0.68</v>
      </c>
      <c r="CC42" s="0" t="e">
        <f aca="false">$BX$6*(www(CB42,$W$7,$BY$6)+$BV$6*www(CB42,$AC$7,$BZ$6)+$BW$6*www(CB42,$AH$7,$CA$6))</f>
        <v>#VALUE!</v>
      </c>
      <c r="CG42" s="0" t="n">
        <f aca="false">CB42</f>
        <v>0.68</v>
      </c>
      <c r="CH42" s="0" t="e">
        <f aca="false">$CF$6*(www(CB42,$W$7,$BY$6)+$CD$6*www(CB42,$AC$7,$BZ$6)+$CE$6*www(CB42,$AH$7,$CA$6))</f>
        <v>#VALUE!</v>
      </c>
      <c r="CJ42" s="0" t="n">
        <f aca="false">CG42</f>
        <v>0.68</v>
      </c>
      <c r="CK42" s="0" t="e">
        <f aca="false">CC42</f>
        <v>#VALUE!</v>
      </c>
      <c r="CL42" s="0" t="e">
        <f aca="false">CH42</f>
        <v>#VALUE!</v>
      </c>
    </row>
    <row r="43" customFormat="false" ht="12.75" hidden="false" customHeight="false" outlineLevel="0" collapsed="false">
      <c r="X43" s="5" t="n">
        <f aca="false">X42+0.02</f>
        <v>0.72</v>
      </c>
      <c r="Y43" s="0" t="n">
        <f aca="false">$W$7*(SIN($U$7*X43)+SINH($U$7*X43))+COSH($U$7*X43)+COS($U$7*X43)</f>
        <v>-0.41240326926257</v>
      </c>
      <c r="AD43" s="0" t="n">
        <f aca="false">$AC$7*(SINH($AA$7*X43)+SIN($AA$7*X43))+COSH($AA$7*X43)+COS($AA$7*X43)</f>
        <v>1.28991827849187</v>
      </c>
      <c r="AI43" s="0" t="n">
        <f aca="false">$AH$7*(SINH($AF$7*X43)+SIN($AF$7*X43))+COSH($AF$7*X43)+COS($AF$7*X43)</f>
        <v>-1.01440527938833</v>
      </c>
      <c r="AK43" s="0" t="n">
        <f aca="false">X43</f>
        <v>0.72</v>
      </c>
      <c r="AL43" s="0" t="n">
        <f aca="false">Y43</f>
        <v>-0.41240326926257</v>
      </c>
      <c r="AM43" s="0" t="n">
        <f aca="false">AD43</f>
        <v>1.28991827849187</v>
      </c>
      <c r="AN43" s="0" t="n">
        <f aca="false">AI43</f>
        <v>-1.01440527938833</v>
      </c>
      <c r="BW43" s="0" t="n">
        <f aca="false">BW42+2000000</f>
        <v>68000000</v>
      </c>
      <c r="BX43" s="0" t="e">
        <f aca="false">determ3(BW43*$BC$17-$AS$17,BW43*$BD$17-$AT$17,BW43*$BE$17-$AU$17,BW43*$BF$17-$AV$17,BW43*$BG$17-$AW$17,BW43*$BH$17-$AX$17,BW43*$BI$17-$AY$17,BW43*$BJ$17-$AZ$17,BW43*$BK$17-$BA$17)</f>
        <v>#VALUE!</v>
      </c>
      <c r="CB43" s="0" t="n">
        <f aca="false">CB42+0.02</f>
        <v>0.7</v>
      </c>
      <c r="CC43" s="0" t="e">
        <f aca="false">$BX$6*(www(CB43,$W$7,$BY$6)+$BV$6*www(CB43,$AC$7,$BZ$6)+$BW$6*www(CB43,$AH$7,$CA$6))</f>
        <v>#VALUE!</v>
      </c>
      <c r="CG43" s="0" t="n">
        <f aca="false">CB43</f>
        <v>0.7</v>
      </c>
      <c r="CH43" s="0" t="e">
        <f aca="false">$CF$6*(www(CB43,$W$7,$BY$6)+$CD$6*www(CB43,$AC$7,$BZ$6)+$CE$6*www(CB43,$AH$7,$CA$6))</f>
        <v>#VALUE!</v>
      </c>
      <c r="CJ43" s="0" t="n">
        <f aca="false">CG43</f>
        <v>0.7</v>
      </c>
      <c r="CK43" s="0" t="e">
        <f aca="false">CC43</f>
        <v>#VALUE!</v>
      </c>
      <c r="CL43" s="0" t="e">
        <f aca="false">CH43</f>
        <v>#VALUE!</v>
      </c>
    </row>
    <row r="44" customFormat="false" ht="12.75" hidden="false" customHeight="false" outlineLevel="0" collapsed="false">
      <c r="X44" s="5" t="n">
        <f aca="false">X43+0.02</f>
        <v>0.74</v>
      </c>
      <c r="Y44" s="0" t="n">
        <f aca="false">$W$7*(SIN($U$7*X44)+SINH($U$7*X44))+COSH($U$7*X44)+COS($U$7*X44)</f>
        <v>-0.271802359940133</v>
      </c>
      <c r="AD44" s="0" t="n">
        <f aca="false">$AC$7*(SINH($AA$7*X44)+SIN($AA$7*X44))+COSH($AA$7*X44)+COS($AA$7*X44)</f>
        <v>1.21875485207911</v>
      </c>
      <c r="AI44" s="0" t="n">
        <f aca="false">$AH$7*(SINH($AF$7*X44)+SIN($AF$7*X44))+COSH($AF$7*X44)+COS($AF$7*X44)</f>
        <v>-1.18162817388745</v>
      </c>
      <c r="AK44" s="0" t="n">
        <f aca="false">X44</f>
        <v>0.74</v>
      </c>
      <c r="AL44" s="0" t="n">
        <f aca="false">Y44</f>
        <v>-0.271802359940133</v>
      </c>
      <c r="AM44" s="0" t="n">
        <f aca="false">AD44</f>
        <v>1.21875485207911</v>
      </c>
      <c r="AN44" s="0" t="n">
        <f aca="false">AI44</f>
        <v>-1.18162817388745</v>
      </c>
      <c r="BW44" s="0" t="n">
        <f aca="false">BW43+2000000</f>
        <v>70000000</v>
      </c>
      <c r="BX44" s="0" t="e">
        <f aca="false">determ3(BW44*$BC$17-$AS$17,BW44*$BD$17-$AT$17,BW44*$BE$17-$AU$17,BW44*$BF$17-$AV$17,BW44*$BG$17-$AW$17,BW44*$BH$17-$AX$17,BW44*$BI$17-$AY$17,BW44*$BJ$17-$AZ$17,BW44*$BK$17-$BA$17)</f>
        <v>#VALUE!</v>
      </c>
      <c r="CB44" s="0" t="n">
        <f aca="false">CB43+0.02</f>
        <v>0.72</v>
      </c>
      <c r="CC44" s="0" t="e">
        <f aca="false">$BX$6*(www(CB44,$W$7,$BY$6)+$BV$6*www(CB44,$AC$7,$BZ$6)+$BW$6*www(CB44,$AH$7,$CA$6))</f>
        <v>#VALUE!</v>
      </c>
      <c r="CG44" s="0" t="n">
        <f aca="false">CB44</f>
        <v>0.72</v>
      </c>
      <c r="CH44" s="0" t="e">
        <f aca="false">$CF$6*(www(CB44,$W$7,$BY$6)+$CD$6*www(CB44,$AC$7,$BZ$6)+$CE$6*www(CB44,$AH$7,$CA$6))</f>
        <v>#VALUE!</v>
      </c>
      <c r="CJ44" s="0" t="n">
        <f aca="false">CG44</f>
        <v>0.72</v>
      </c>
      <c r="CK44" s="0" t="e">
        <f aca="false">CC44</f>
        <v>#VALUE!</v>
      </c>
      <c r="CL44" s="0" t="e">
        <f aca="false">CH44</f>
        <v>#VALUE!</v>
      </c>
    </row>
    <row r="45" customFormat="false" ht="12.75" hidden="false" customHeight="false" outlineLevel="0" collapsed="false">
      <c r="X45" s="5" t="n">
        <f aca="false">X44+0.02</f>
        <v>0.76</v>
      </c>
      <c r="Y45" s="0" t="n">
        <f aca="false">$W$7*(SIN($U$7*X45)+SINH($U$7*X45))+COSH($U$7*X45)+COS($U$7*X45)</f>
        <v>-0.123048330880891</v>
      </c>
      <c r="AD45" s="0" t="n">
        <f aca="false">$AC$7*(SINH($AA$7*X45)+SIN($AA$7*X45))+COSH($AA$7*X45)+COS($AA$7*X45)</f>
        <v>1.11132916486526</v>
      </c>
      <c r="AI45" s="0" t="n">
        <f aca="false">$AH$7*(SINH($AF$7*X45)+SIN($AF$7*X45))+COSH($AF$7*X45)+COS($AF$7*X45)</f>
        <v>-1.28636261263241</v>
      </c>
      <c r="AK45" s="0" t="n">
        <f aca="false">X45</f>
        <v>0.76</v>
      </c>
      <c r="AL45" s="0" t="n">
        <f aca="false">Y45</f>
        <v>-0.123048330880891</v>
      </c>
      <c r="AM45" s="0" t="n">
        <f aca="false">AD45</f>
        <v>1.11132916486526</v>
      </c>
      <c r="AN45" s="0" t="n">
        <f aca="false">AI45</f>
        <v>-1.28636261263241</v>
      </c>
      <c r="BW45" s="0" t="n">
        <f aca="false">BW44+2000000</f>
        <v>72000000</v>
      </c>
      <c r="BX45" s="0" t="e">
        <f aca="false">determ3(BW45*$BC$17-$AS$17,BW45*$BD$17-$AT$17,BW45*$BE$17-$AU$17,BW45*$BF$17-$AV$17,BW45*$BG$17-$AW$17,BW45*$BH$17-$AX$17,BW45*$BI$17-$AY$17,BW45*$BJ$17-$AZ$17,BW45*$BK$17-$BA$17)</f>
        <v>#VALUE!</v>
      </c>
      <c r="CB45" s="0" t="n">
        <f aca="false">CB44+0.02</f>
        <v>0.74</v>
      </c>
      <c r="CC45" s="0" t="e">
        <f aca="false">$BX$6*(www(CB45,$W$7,$BY$6)+$BV$6*www(CB45,$AC$7,$BZ$6)+$BW$6*www(CB45,$AH$7,$CA$6))</f>
        <v>#VALUE!</v>
      </c>
      <c r="CG45" s="0" t="n">
        <f aca="false">CB45</f>
        <v>0.74</v>
      </c>
      <c r="CH45" s="0" t="e">
        <f aca="false">$CF$6*(www(CB45,$W$7,$BY$6)+$CD$6*www(CB45,$AC$7,$BZ$6)+$CE$6*www(CB45,$AH$7,$CA$6))</f>
        <v>#VALUE!</v>
      </c>
      <c r="CJ45" s="0" t="n">
        <f aca="false">CG45</f>
        <v>0.74</v>
      </c>
      <c r="CK45" s="0" t="e">
        <f aca="false">CC45</f>
        <v>#VALUE!</v>
      </c>
      <c r="CL45" s="0" t="e">
        <f aca="false">CH45</f>
        <v>#VALUE!</v>
      </c>
    </row>
    <row r="46" customFormat="false" ht="12.75" hidden="false" customHeight="false" outlineLevel="0" collapsed="false">
      <c r="X46" s="5" t="n">
        <f aca="false">X45+0.02</f>
        <v>0.78</v>
      </c>
      <c r="Y46" s="0" t="n">
        <f aca="false">$W$7*(SIN($U$7*X46)+SINH($U$7*X46))+COSH($U$7*X46)+COS($U$7*X46)</f>
        <v>0.0329948538984182</v>
      </c>
      <c r="AD46" s="0" t="n">
        <f aca="false">$AC$7*(SINH($AA$7*X46)+SIN($AA$7*X46))+COSH($AA$7*X46)+COS($AA$7*X46)</f>
        <v>0.969174900896388</v>
      </c>
      <c r="AI46" s="0" t="n">
        <f aca="false">$AH$7*(SINH($AF$7*X46)+SIN($AF$7*X46))+COSH($AF$7*X46)+COS($AF$7*X46)</f>
        <v>-1.32220553812303</v>
      </c>
      <c r="AK46" s="0" t="n">
        <f aca="false">X46</f>
        <v>0.78</v>
      </c>
      <c r="AL46" s="0" t="n">
        <f aca="false">Y46</f>
        <v>0.0329948538984182</v>
      </c>
      <c r="AM46" s="0" t="n">
        <f aca="false">AD46</f>
        <v>0.969174900896388</v>
      </c>
      <c r="AN46" s="0" t="n">
        <f aca="false">AI46</f>
        <v>-1.32220553812303</v>
      </c>
      <c r="BW46" s="0" t="n">
        <f aca="false">BW45+2000000</f>
        <v>74000000</v>
      </c>
      <c r="BX46" s="0" t="e">
        <f aca="false">determ3(BW46*$BC$17-$AS$17,BW46*$BD$17-$AT$17,BW46*$BE$17-$AU$17,BW46*$BF$17-$AV$17,BW46*$BG$17-$AW$17,BW46*$BH$17-$AX$17,BW46*$BI$17-$AY$17,BW46*$BJ$17-$AZ$17,BW46*$BK$17-$BA$17)</f>
        <v>#VALUE!</v>
      </c>
      <c r="CB46" s="0" t="n">
        <f aca="false">CB45+0.02</f>
        <v>0.76</v>
      </c>
      <c r="CC46" s="0" t="e">
        <f aca="false">$BX$6*(www(CB46,$W$7,$BY$6)+$BV$6*www(CB46,$AC$7,$BZ$6)+$BW$6*www(CB46,$AH$7,$CA$6))</f>
        <v>#VALUE!</v>
      </c>
      <c r="CG46" s="0" t="n">
        <f aca="false">CB46</f>
        <v>0.76</v>
      </c>
      <c r="CH46" s="0" t="e">
        <f aca="false">$CF$6*(www(CB46,$W$7,$BY$6)+$CD$6*www(CB46,$AC$7,$BZ$6)+$CE$6*www(CB46,$AH$7,$CA$6))</f>
        <v>#VALUE!</v>
      </c>
      <c r="CJ46" s="0" t="n">
        <f aca="false">CG46</f>
        <v>0.76</v>
      </c>
      <c r="CK46" s="0" t="e">
        <f aca="false">CC46</f>
        <v>#VALUE!</v>
      </c>
      <c r="CL46" s="0" t="e">
        <f aca="false">CH46</f>
        <v>#VALUE!</v>
      </c>
    </row>
    <row r="47" customFormat="false" ht="12.75" hidden="false" customHeight="false" outlineLevel="0" collapsed="false">
      <c r="X47" s="5" t="n">
        <f aca="false">X46+0.02</f>
        <v>0.8</v>
      </c>
      <c r="Y47" s="0" t="n">
        <f aca="false">$W$7*(SIN($U$7*X47)+SINH($U$7*X47))+COSH($U$7*X47)+COS($U$7*X47)</f>
        <v>0.195453472712089</v>
      </c>
      <c r="AD47" s="0" t="n">
        <f aca="false">$AC$7*(SINH($AA$7*X47)+SIN($AA$7*X47))+COSH($AA$7*X47)+COS($AA$7*X47)</f>
        <v>0.794498538277283</v>
      </c>
      <c r="AI47" s="0" t="n">
        <f aca="false">$AH$7*(SINH($AF$7*X47)+SIN($AF$7*X47))+COSH($AF$7*X47)+COS($AF$7*X47)</f>
        <v>-1.28573556416645</v>
      </c>
      <c r="AK47" s="0" t="n">
        <f aca="false">X47</f>
        <v>0.8</v>
      </c>
      <c r="AL47" s="0" t="n">
        <f aca="false">Y47</f>
        <v>0.195453472712089</v>
      </c>
      <c r="AM47" s="0" t="n">
        <f aca="false">AD47</f>
        <v>0.794498538277283</v>
      </c>
      <c r="AN47" s="0" t="n">
        <f aca="false">AI47</f>
        <v>-1.28573556416645</v>
      </c>
      <c r="BW47" s="0" t="n">
        <f aca="false">BW46+2000000</f>
        <v>76000000</v>
      </c>
      <c r="BX47" s="0" t="e">
        <f aca="false">determ3(BW47*$BC$17-$AS$17,BW47*$BD$17-$AT$17,BW47*$BE$17-$AU$17,BW47*$BF$17-$AV$17,BW47*$BG$17-$AW$17,BW47*$BH$17-$AX$17,BW47*$BI$17-$AY$17,BW47*$BJ$17-$AZ$17,BW47*$BK$17-$BA$17)</f>
        <v>#VALUE!</v>
      </c>
      <c r="CB47" s="0" t="n">
        <f aca="false">CB46+0.02</f>
        <v>0.78</v>
      </c>
      <c r="CC47" s="0" t="e">
        <f aca="false">$BX$6*(www(CB47,$W$7,$BY$6)+$BV$6*www(CB47,$AC$7,$BZ$6)+$BW$6*www(CB47,$AH$7,$CA$6))</f>
        <v>#VALUE!</v>
      </c>
      <c r="CG47" s="0" t="n">
        <f aca="false">CB47</f>
        <v>0.78</v>
      </c>
      <c r="CH47" s="0" t="e">
        <f aca="false">$CF$6*(www(CB47,$W$7,$BY$6)+$CD$6*www(CB47,$AC$7,$BZ$6)+$CE$6*www(CB47,$AH$7,$CA$6))</f>
        <v>#VALUE!</v>
      </c>
      <c r="CJ47" s="0" t="n">
        <f aca="false">CG47</f>
        <v>0.78</v>
      </c>
      <c r="CK47" s="0" t="e">
        <f aca="false">CC47</f>
        <v>#VALUE!</v>
      </c>
      <c r="CL47" s="0" t="e">
        <f aca="false">CH47</f>
        <v>#VALUE!</v>
      </c>
    </row>
    <row r="48" customFormat="false" ht="12.75" hidden="false" customHeight="false" outlineLevel="0" collapsed="false">
      <c r="X48" s="5" t="n">
        <f aca="false">X47+0.02</f>
        <v>0.82</v>
      </c>
      <c r="Y48" s="0" t="n">
        <f aca="false">$W$7*(SIN($U$7*X48)+SINH($U$7*X48))+COSH($U$7*X48)+COS($U$7*X48)</f>
        <v>0.363456532074976</v>
      </c>
      <c r="AD48" s="0" t="n">
        <f aca="false">$AC$7*(SINH($AA$7*X48)+SIN($AA$7*X48))+COSH($AA$7*X48)+COS($AA$7*X48)</f>
        <v>0.590093062800284</v>
      </c>
      <c r="AI48" s="0" t="n">
        <f aca="false">$AH$7*(SINH($AF$7*X48)+SIN($AF$7*X48))+COSH($AF$7*X48)+COS($AF$7*X48)</f>
        <v>-1.17659547111248</v>
      </c>
      <c r="AK48" s="0" t="n">
        <f aca="false">X48</f>
        <v>0.82</v>
      </c>
      <c r="AL48" s="0" t="n">
        <f aca="false">Y48</f>
        <v>0.363456532074976</v>
      </c>
      <c r="AM48" s="0" t="n">
        <f aca="false">AD48</f>
        <v>0.590093062800284</v>
      </c>
      <c r="AN48" s="0" t="n">
        <f aca="false">AI48</f>
        <v>-1.17659547111248</v>
      </c>
      <c r="BW48" s="0" t="n">
        <f aca="false">BW47+2000000</f>
        <v>78000000</v>
      </c>
      <c r="BX48" s="0" t="e">
        <f aca="false">determ3(BW48*$BC$17-$AS$17,BW48*$BD$17-$AT$17,BW48*$BE$17-$AU$17,BW48*$BF$17-$AV$17,BW48*$BG$17-$AW$17,BW48*$BH$17-$AX$17,BW48*$BI$17-$AY$17,BW48*$BJ$17-$AZ$17,BW48*$BK$17-$BA$17)</f>
        <v>#VALUE!</v>
      </c>
      <c r="CB48" s="0" t="n">
        <f aca="false">CB47+0.02</f>
        <v>0.8</v>
      </c>
      <c r="CC48" s="0" t="e">
        <f aca="false">$BX$6*(www(CB48,$W$7,$BY$6)+$BV$6*www(CB48,$AC$7,$BZ$6)+$BW$6*www(CB48,$AH$7,$CA$6))</f>
        <v>#VALUE!</v>
      </c>
      <c r="CG48" s="0" t="n">
        <f aca="false">CB48</f>
        <v>0.8</v>
      </c>
      <c r="CH48" s="0" t="e">
        <f aca="false">$CF$6*(www(CB48,$W$7,$BY$6)+$CD$6*www(CB48,$AC$7,$BZ$6)+$CE$6*www(CB48,$AH$7,$CA$6))</f>
        <v>#VALUE!</v>
      </c>
      <c r="CJ48" s="0" t="n">
        <f aca="false">CG48</f>
        <v>0.8</v>
      </c>
      <c r="CK48" s="0" t="e">
        <f aca="false">CC48</f>
        <v>#VALUE!</v>
      </c>
      <c r="CL48" s="0" t="e">
        <f aca="false">CH48</f>
        <v>#VALUE!</v>
      </c>
    </row>
    <row r="49" customFormat="false" ht="12.75" hidden="false" customHeight="false" outlineLevel="0" collapsed="false">
      <c r="X49" s="5" t="n">
        <f aca="false">X48+0.02</f>
        <v>0.84</v>
      </c>
      <c r="Y49" s="0" t="n">
        <f aca="false">$W$7*(SIN($U$7*X49)+SINH($U$7*X49))+COSH($U$7*X49)+COS($U$7*X49)</f>
        <v>0.5361487664219</v>
      </c>
      <c r="AD49" s="0" t="n">
        <f aca="false">$AC$7*(SINH($AA$7*X49)+SIN($AA$7*X49))+COSH($AA$7*X49)+COS($AA$7*X49)</f>
        <v>0.3592319492383</v>
      </c>
      <c r="AI49" s="0" t="n">
        <f aca="false">$AH$7*(SINH($AF$7*X49)+SIN($AF$7*X49))+COSH($AF$7*X49)+COS($AF$7*X49)</f>
        <v>-0.997406771186719</v>
      </c>
      <c r="AK49" s="0" t="n">
        <f aca="false">X49</f>
        <v>0.84</v>
      </c>
      <c r="AL49" s="0" t="n">
        <f aca="false">Y49</f>
        <v>0.5361487664219</v>
      </c>
      <c r="AM49" s="0" t="n">
        <f aca="false">AD49</f>
        <v>0.3592319492383</v>
      </c>
      <c r="AN49" s="0" t="n">
        <f aca="false">AI49</f>
        <v>-0.997406771186719</v>
      </c>
      <c r="BW49" s="0" t="n">
        <f aca="false">BW48+2000000</f>
        <v>80000000</v>
      </c>
      <c r="BX49" s="0" t="e">
        <f aca="false">determ3(BW49*$BC$17-$AS$17,BW49*$BD$17-$AT$17,BW49*$BE$17-$AU$17,BW49*$BF$17-$AV$17,BW49*$BG$17-$AW$17,BW49*$BH$17-$AX$17,BW49*$BI$17-$AY$17,BW49*$BJ$17-$AZ$17,BW49*$BK$17-$BA$17)</f>
        <v>#VALUE!</v>
      </c>
      <c r="CB49" s="0" t="n">
        <f aca="false">CB48+0.02</f>
        <v>0.82</v>
      </c>
      <c r="CC49" s="0" t="e">
        <f aca="false">$BX$6*(www(CB49,$W$7,$BY$6)+$BV$6*www(CB49,$AC$7,$BZ$6)+$BW$6*www(CB49,$AH$7,$CA$6))</f>
        <v>#VALUE!</v>
      </c>
      <c r="CG49" s="0" t="n">
        <f aca="false">CB49</f>
        <v>0.82</v>
      </c>
      <c r="CH49" s="0" t="e">
        <f aca="false">$CF$6*(www(CB49,$W$7,$BY$6)+$CD$6*www(CB49,$AC$7,$BZ$6)+$CE$6*www(CB49,$AH$7,$CA$6))</f>
        <v>#VALUE!</v>
      </c>
      <c r="CJ49" s="0" t="n">
        <f aca="false">CG49</f>
        <v>0.82</v>
      </c>
      <c r="CK49" s="0" t="e">
        <f aca="false">CC49</f>
        <v>#VALUE!</v>
      </c>
      <c r="CL49" s="0" t="e">
        <f aca="false">CH49</f>
        <v>#VALUE!</v>
      </c>
    </row>
    <row r="50" customFormat="false" ht="12.75" hidden="false" customHeight="false" outlineLevel="0" collapsed="false">
      <c r="X50" s="5" t="n">
        <f aca="false">X49+0.02</f>
        <v>0.86</v>
      </c>
      <c r="Y50" s="0" t="n">
        <f aca="false">$W$7*(SIN($U$7*X50)+SINH($U$7*X50))+COSH($U$7*X50)+COS($U$7*X50)</f>
        <v>0.712704082092453</v>
      </c>
      <c r="AD50" s="0" t="n">
        <f aca="false">$AC$7*(SINH($AA$7*X50)+SIN($AA$7*X50))+COSH($AA$7*X50)+COS($AA$7*X50)</f>
        <v>0.105545099261035</v>
      </c>
      <c r="AI50" s="0" t="n">
        <f aca="false">$AH$7*(SINH($AF$7*X50)+SIN($AF$7*X50))+COSH($AF$7*X50)+COS($AF$7*X50)</f>
        <v>-0.75351547518541</v>
      </c>
      <c r="AK50" s="0" t="n">
        <f aca="false">X50</f>
        <v>0.86</v>
      </c>
      <c r="AL50" s="0" t="n">
        <f aca="false">Y50</f>
        <v>0.712704082092453</v>
      </c>
      <c r="AM50" s="0" t="n">
        <f aca="false">AD50</f>
        <v>0.105545099261035</v>
      </c>
      <c r="AN50" s="0" t="n">
        <f aca="false">AI50</f>
        <v>-0.75351547518541</v>
      </c>
      <c r="BW50" s="0" t="n">
        <f aca="false">BW49+2000000</f>
        <v>82000000</v>
      </c>
      <c r="BX50" s="0" t="e">
        <f aca="false">determ3(BW50*$BC$17-$AS$17,BW50*$BD$17-$AT$17,BW50*$BE$17-$AU$17,BW50*$BF$17-$AV$17,BW50*$BG$17-$AW$17,BW50*$BH$17-$AX$17,BW50*$BI$17-$AY$17,BW50*$BJ$17-$AZ$17,BW50*$BK$17-$BA$17)</f>
        <v>#VALUE!</v>
      </c>
      <c r="CB50" s="0" t="n">
        <f aca="false">CB49+0.02</f>
        <v>0.84</v>
      </c>
      <c r="CC50" s="0" t="e">
        <f aca="false">$BX$6*(www(CB50,$W$7,$BY$6)+$BV$6*www(CB50,$AC$7,$BZ$6)+$BW$6*www(CB50,$AH$7,$CA$6))</f>
        <v>#VALUE!</v>
      </c>
      <c r="CG50" s="0" t="n">
        <f aca="false">CB50</f>
        <v>0.84</v>
      </c>
      <c r="CH50" s="0" t="e">
        <f aca="false">$CF$6*(www(CB50,$W$7,$BY$6)+$CD$6*www(CB50,$AC$7,$BZ$6)+$CE$6*www(CB50,$AH$7,$CA$6))</f>
        <v>#VALUE!</v>
      </c>
      <c r="CJ50" s="0" t="n">
        <f aca="false">CG50</f>
        <v>0.84</v>
      </c>
      <c r="CK50" s="0" t="e">
        <f aca="false">CC50</f>
        <v>#VALUE!</v>
      </c>
      <c r="CL50" s="0" t="e">
        <f aca="false">CH50</f>
        <v>#VALUE!</v>
      </c>
    </row>
    <row r="51" customFormat="false" ht="12.75" hidden="false" customHeight="false" outlineLevel="0" collapsed="false">
      <c r="X51" s="5" t="n">
        <f aca="false">X50+0.02</f>
        <v>0.88</v>
      </c>
      <c r="Y51" s="0" t="n">
        <f aca="false">$W$7*(SIN($U$7*X51)+SINH($U$7*X51))+COSH($U$7*X51)+COS($U$7*X51)</f>
        <v>0.892339377262208</v>
      </c>
      <c r="AD51" s="0" t="n">
        <f aca="false">$AC$7*(SINH($AA$7*X51)+SIN($AA$7*X51))+COSH($AA$7*X51)+COS($AA$7*X51)</f>
        <v>-0.167121284481701</v>
      </c>
      <c r="AI51" s="0" t="n">
        <f aca="false">$AH$7*(SINH($AF$7*X51)+SIN($AF$7*X51))+COSH($AF$7*X51)+COS($AF$7*X51)</f>
        <v>-0.452575092552218</v>
      </c>
      <c r="AK51" s="0" t="n">
        <f aca="false">X51</f>
        <v>0.88</v>
      </c>
      <c r="AL51" s="0" t="n">
        <f aca="false">Y51</f>
        <v>0.892339377262208</v>
      </c>
      <c r="AM51" s="0" t="n">
        <f aca="false">AD51</f>
        <v>-0.167121284481701</v>
      </c>
      <c r="AN51" s="0" t="n">
        <f aca="false">AI51</f>
        <v>-0.452575092552218</v>
      </c>
      <c r="BW51" s="0" t="n">
        <f aca="false">BW50+2000000</f>
        <v>84000000</v>
      </c>
      <c r="BX51" s="0" t="e">
        <f aca="false">determ3(BW51*$BC$17-$AS$17,BW51*$BD$17-$AT$17,BW51*$BE$17-$AU$17,BW51*$BF$17-$AV$17,BW51*$BG$17-$AW$17,BW51*$BH$17-$AX$17,BW51*$BI$17-$AY$17,BW51*$BJ$17-$AZ$17,BW51*$BK$17-$BA$17)</f>
        <v>#VALUE!</v>
      </c>
      <c r="CB51" s="0" t="n">
        <f aca="false">CB50+0.02</f>
        <v>0.86</v>
      </c>
      <c r="CC51" s="0" t="e">
        <f aca="false">$BX$6*(www(CB51,$W$7,$BY$6)+$BV$6*www(CB51,$AC$7,$BZ$6)+$BW$6*www(CB51,$AH$7,$CA$6))</f>
        <v>#VALUE!</v>
      </c>
      <c r="CG51" s="0" t="n">
        <f aca="false">CB51</f>
        <v>0.86</v>
      </c>
      <c r="CH51" s="0" t="e">
        <f aca="false">$CF$6*(www(CB51,$W$7,$BY$6)+$CD$6*www(CB51,$AC$7,$BZ$6)+$CE$6*www(CB51,$AH$7,$CA$6))</f>
        <v>#VALUE!</v>
      </c>
      <c r="CJ51" s="0" t="n">
        <f aca="false">CG51</f>
        <v>0.86</v>
      </c>
      <c r="CK51" s="0" t="e">
        <f aca="false">CC51</f>
        <v>#VALUE!</v>
      </c>
      <c r="CL51" s="0" t="e">
        <f aca="false">CH51</f>
        <v>#VALUE!</v>
      </c>
    </row>
    <row r="52" customFormat="false" ht="12.75" hidden="false" customHeight="false" outlineLevel="0" collapsed="false">
      <c r="X52" s="5" t="n">
        <f aca="false">X51+0.02</f>
        <v>0.900000000000001</v>
      </c>
      <c r="Y52" s="0" t="n">
        <f aca="false">$W$7*(SIN($U$7*X52)+SINH($U$7*X52))+COSH($U$7*X52)+COS($U$7*X52)</f>
        <v>1.0743286718429</v>
      </c>
      <c r="AD52" s="0" t="n">
        <f aca="false">$AC$7*(SINH($AA$7*X52)+SIN($AA$7*X52))+COSH($AA$7*X52)+COS($AA$7*X52)</f>
        <v>-0.454858693293094</v>
      </c>
      <c r="AI52" s="0" t="n">
        <f aca="false">$AH$7*(SINH($AF$7*X52)+SIN($AF$7*X52))+COSH($AF$7*X52)+COS($AF$7*X52)</f>
        <v>-0.10397920549202</v>
      </c>
      <c r="AK52" s="0" t="n">
        <f aca="false">X52</f>
        <v>0.900000000000001</v>
      </c>
      <c r="AL52" s="0" t="n">
        <f aca="false">Y52</f>
        <v>1.0743286718429</v>
      </c>
      <c r="AM52" s="0" t="n">
        <f aca="false">AD52</f>
        <v>-0.454858693293094</v>
      </c>
      <c r="AN52" s="0" t="n">
        <f aca="false">AI52</f>
        <v>-0.10397920549202</v>
      </c>
      <c r="BW52" s="0" t="n">
        <f aca="false">BW51+2000000</f>
        <v>86000000</v>
      </c>
      <c r="BX52" s="0" t="e">
        <f aca="false">determ3(BW52*$BC$17-$AS$17,BW52*$BD$17-$AT$17,BW52*$BE$17-$AU$17,BW52*$BF$17-$AV$17,BW52*$BG$17-$AW$17,BW52*$BH$17-$AX$17,BW52*$BI$17-$AY$17,BW52*$BJ$17-$AZ$17,BW52*$BK$17-$BA$17)</f>
        <v>#VALUE!</v>
      </c>
      <c r="CB52" s="0" t="n">
        <f aca="false">CB51+0.02</f>
        <v>0.88</v>
      </c>
      <c r="CC52" s="0" t="e">
        <f aca="false">$BX$6*(www(CB52,$W$7,$BY$6)+$BV$6*www(CB52,$AC$7,$BZ$6)+$BW$6*www(CB52,$AH$7,$CA$6))</f>
        <v>#VALUE!</v>
      </c>
      <c r="CG52" s="0" t="n">
        <f aca="false">CB52</f>
        <v>0.88</v>
      </c>
      <c r="CH52" s="0" t="e">
        <f aca="false">$CF$6*(www(CB52,$W$7,$BY$6)+$CD$6*www(CB52,$AC$7,$BZ$6)+$CE$6*www(CB52,$AH$7,$CA$6))</f>
        <v>#VALUE!</v>
      </c>
      <c r="CJ52" s="0" t="n">
        <f aca="false">CG52</f>
        <v>0.88</v>
      </c>
      <c r="CK52" s="0" t="e">
        <f aca="false">CC52</f>
        <v>#VALUE!</v>
      </c>
      <c r="CL52" s="0" t="e">
        <f aca="false">CH52</f>
        <v>#VALUE!</v>
      </c>
    </row>
    <row r="53" customFormat="false" ht="12.75" hidden="false" customHeight="false" outlineLevel="0" collapsed="false">
      <c r="X53" s="5" t="n">
        <f aca="false">X52+0.02</f>
        <v>0.920000000000001</v>
      </c>
      <c r="Y53" s="0" t="n">
        <f aca="false">$W$7*(SIN($U$7*X53)+SINH($U$7*X53))+COSH($U$7*X53)+COS($U$7*X53)</f>
        <v>1.25801748482117</v>
      </c>
      <c r="AD53" s="0" t="n">
        <f aca="false">$AC$7*(SINH($AA$7*X53)+SIN($AA$7*X53))+COSH($AA$7*X53)+COS($AA$7*X53)</f>
        <v>-0.753861851330032</v>
      </c>
      <c r="AI53" s="0" t="n">
        <f aca="false">$AH$7*(SINH($AF$7*X53)+SIN($AF$7*X53))+COSH($AF$7*X53)+COS($AF$7*X53)</f>
        <v>0.281838704181274</v>
      </c>
      <c r="AK53" s="0" t="n">
        <f aca="false">X53</f>
        <v>0.920000000000001</v>
      </c>
      <c r="AL53" s="0" t="n">
        <f aca="false">Y53</f>
        <v>1.25801748482117</v>
      </c>
      <c r="AM53" s="0" t="n">
        <f aca="false">AD53</f>
        <v>-0.753861851330032</v>
      </c>
      <c r="AN53" s="0" t="n">
        <f aca="false">AI53</f>
        <v>0.281838704181274</v>
      </c>
      <c r="BW53" s="0" t="n">
        <f aca="false">BW52+2000000</f>
        <v>88000000</v>
      </c>
      <c r="BX53" s="0" t="e">
        <f aca="false">determ3(BW53*$BC$17-$AS$17,BW53*$BD$17-$AT$17,BW53*$BE$17-$AU$17,BW53*$BF$17-$AV$17,BW53*$BG$17-$AW$17,BW53*$BH$17-$AX$17,BW53*$BI$17-$AY$17,BW53*$BJ$17-$AZ$17,BW53*$BK$17-$BA$17)</f>
        <v>#VALUE!</v>
      </c>
      <c r="CB53" s="0" t="n">
        <f aca="false">CB52+0.02</f>
        <v>0.900000000000001</v>
      </c>
      <c r="CC53" s="0" t="e">
        <f aca="false">$BX$6*(www(CB53,$W$7,$BY$6)+$BV$6*www(CB53,$AC$7,$BZ$6)+$BW$6*www(CB53,$AH$7,$CA$6))</f>
        <v>#VALUE!</v>
      </c>
      <c r="CG53" s="0" t="n">
        <f aca="false">CB53</f>
        <v>0.900000000000001</v>
      </c>
      <c r="CH53" s="0" t="e">
        <f aca="false">$CF$6*(www(CB53,$W$7,$BY$6)+$CD$6*www(CB53,$AC$7,$BZ$6)+$CE$6*www(CB53,$AH$7,$CA$6))</f>
        <v>#VALUE!</v>
      </c>
      <c r="CJ53" s="0" t="n">
        <f aca="false">CG53</f>
        <v>0.900000000000001</v>
      </c>
      <c r="CK53" s="0" t="e">
        <f aca="false">CC53</f>
        <v>#VALUE!</v>
      </c>
      <c r="CL53" s="0" t="e">
        <f aca="false">CH53</f>
        <v>#VALUE!</v>
      </c>
    </row>
    <row r="54" customFormat="false" ht="12.75" hidden="false" customHeight="false" outlineLevel="0" collapsed="false">
      <c r="X54" s="5" t="n">
        <f aca="false">X53+0.02</f>
        <v>0.940000000000001</v>
      </c>
      <c r="Y54" s="0" t="n">
        <f aca="false">$W$7*(SIN($U$7*X54)+SINH($U$7*X54))+COSH($U$7*X54)+COS($U$7*X54)</f>
        <v>1.44283740108412</v>
      </c>
      <c r="AD54" s="0" t="n">
        <f aca="false">$AC$7*(SINH($AA$7*X54)+SIN($AA$7*X54))+COSH($AA$7*X54)+COS($AA$7*X54)</f>
        <v>-1.06060343667908</v>
      </c>
      <c r="AI54" s="0" t="n">
        <f aca="false">$AH$7*(SINH($AF$7*X54)+SIN($AF$7*X54))+COSH($AF$7*X54)+COS($AF$7*X54)</f>
        <v>0.694216478802107</v>
      </c>
      <c r="AK54" s="0" t="n">
        <f aca="false">X54</f>
        <v>0.940000000000001</v>
      </c>
      <c r="AL54" s="0" t="n">
        <f aca="false">Y54</f>
        <v>1.44283740108412</v>
      </c>
      <c r="AM54" s="0" t="n">
        <f aca="false">AD54</f>
        <v>-1.06060343667908</v>
      </c>
      <c r="AN54" s="0" t="n">
        <f aca="false">AI54</f>
        <v>0.694216478802107</v>
      </c>
      <c r="BW54" s="0" t="n">
        <f aca="false">BW53+2000000</f>
        <v>90000000</v>
      </c>
      <c r="BX54" s="0" t="e">
        <f aca="false">determ3(BW54*$BC$17-$AS$17,BW54*$BD$17-$AT$17,BW54*$BE$17-$AU$17,BW54*$BF$17-$AV$17,BW54*$BG$17-$AW$17,BW54*$BH$17-$AX$17,BW54*$BI$17-$AY$17,BW54*$BJ$17-$AZ$17,BW54*$BK$17-$BA$17)</f>
        <v>#VALUE!</v>
      </c>
      <c r="CB54" s="0" t="n">
        <f aca="false">CB53+0.02</f>
        <v>0.920000000000001</v>
      </c>
      <c r="CC54" s="0" t="e">
        <f aca="false">$BX$6*(www(CB54,$W$7,$BY$6)+$BV$6*www(CB54,$AC$7,$BZ$6)+$BW$6*www(CB54,$AH$7,$CA$6))</f>
        <v>#VALUE!</v>
      </c>
      <c r="CG54" s="0" t="n">
        <f aca="false">CB54</f>
        <v>0.920000000000001</v>
      </c>
      <c r="CH54" s="0" t="e">
        <f aca="false">$CF$6*(www(CB54,$W$7,$BY$6)+$CD$6*www(CB54,$AC$7,$BZ$6)+$CE$6*www(CB54,$AH$7,$CA$6))</f>
        <v>#VALUE!</v>
      </c>
      <c r="CJ54" s="0" t="n">
        <f aca="false">CG54</f>
        <v>0.920000000000001</v>
      </c>
      <c r="CK54" s="0" t="e">
        <f aca="false">CC54</f>
        <v>#VALUE!</v>
      </c>
      <c r="CL54" s="0" t="e">
        <f aca="false">CH54</f>
        <v>#VALUE!</v>
      </c>
    </row>
    <row r="55" customFormat="false" ht="12.75" hidden="false" customHeight="false" outlineLevel="0" collapsed="false">
      <c r="X55" s="5" t="n">
        <f aca="false">X54+0.02</f>
        <v>0.960000000000001</v>
      </c>
      <c r="Y55" s="0" t="n">
        <f aca="false">$W$7*(SIN($U$7*X55)+SINH($U$7*X55))+COSH($U$7*X55)+COS($U$7*X55)</f>
        <v>1.62832077550855</v>
      </c>
      <c r="AD55" s="0" t="n">
        <f aca="false">$AC$7*(SINH($AA$7*X55)+SIN($AA$7*X55))+COSH($AA$7*X55)+COS($AA$7*X55)</f>
        <v>-1.37201568657105</v>
      </c>
      <c r="AI55" s="0" t="n">
        <f aca="false">$AH$7*(SINH($AF$7*X55)+SIN($AF$7*X55))+COSH($AF$7*X55)+COS($AF$7*X55)</f>
        <v>1.12316147375348</v>
      </c>
      <c r="AK55" s="0" t="n">
        <f aca="false">X55</f>
        <v>0.960000000000001</v>
      </c>
      <c r="AL55" s="0" t="n">
        <f aca="false">Y55</f>
        <v>1.62832077550855</v>
      </c>
      <c r="AM55" s="0" t="n">
        <f aca="false">AD55</f>
        <v>-1.37201568657105</v>
      </c>
      <c r="AN55" s="0" t="n">
        <f aca="false">AI55</f>
        <v>1.12316147375348</v>
      </c>
      <c r="BW55" s="0" t="n">
        <f aca="false">BW54+2000000</f>
        <v>92000000</v>
      </c>
      <c r="BX55" s="0" t="e">
        <f aca="false">determ3(BW55*$BC$17-$AS$17,BW55*$BD$17-$AT$17,BW55*$BE$17-$AU$17,BW55*$BF$17-$AV$17,BW55*$BG$17-$AW$17,BW55*$BH$17-$AX$17,BW55*$BI$17-$AY$17,BW55*$BJ$17-$AZ$17,BW55*$BK$17-$BA$17)</f>
        <v>#VALUE!</v>
      </c>
      <c r="CB55" s="0" t="n">
        <f aca="false">CB54+0.02</f>
        <v>0.940000000000001</v>
      </c>
      <c r="CC55" s="0" t="e">
        <f aca="false">$BX$6*(www(CB55,$W$7,$BY$6)+$BV$6*www(CB55,$AC$7,$BZ$6)+$BW$6*www(CB55,$AH$7,$CA$6))</f>
        <v>#VALUE!</v>
      </c>
      <c r="CG55" s="0" t="n">
        <f aca="false">CB55</f>
        <v>0.940000000000001</v>
      </c>
      <c r="CH55" s="0" t="e">
        <f aca="false">$CF$6*(www(CB55,$W$7,$BY$6)+$CD$6*www(CB55,$AC$7,$BZ$6)+$CE$6*www(CB55,$AH$7,$CA$6))</f>
        <v>#VALUE!</v>
      </c>
      <c r="CJ55" s="0" t="n">
        <f aca="false">CG55</f>
        <v>0.940000000000001</v>
      </c>
      <c r="CK55" s="0" t="e">
        <f aca="false">CC55</f>
        <v>#VALUE!</v>
      </c>
      <c r="CL55" s="0" t="e">
        <f aca="false">CH55</f>
        <v>#VALUE!</v>
      </c>
    </row>
    <row r="56" customFormat="false" ht="12.75" hidden="false" customHeight="false" outlineLevel="0" collapsed="false">
      <c r="X56" s="5" t="n">
        <f aca="false">X55+0.02</f>
        <v>0.980000000000001</v>
      </c>
      <c r="Y56" s="0" t="n">
        <f aca="false">$W$7*(SIN($U$7*X56)+SINH($U$7*X56))+COSH($U$7*X56)+COS($U$7*X56)</f>
        <v>1.81411552898546</v>
      </c>
      <c r="AD56" s="0" t="n">
        <f aca="false">$AC$7*(SINH($AA$7*X56)+SIN($AA$7*X56))+COSH($AA$7*X56)+COS($AA$7*X56)</f>
        <v>-1.68567675854522</v>
      </c>
      <c r="AI56" s="0" t="n">
        <f aca="false">$AH$7*(SINH($AF$7*X56)+SIN($AF$7*X56))+COSH($AF$7*X56)+COS($AF$7*X56)</f>
        <v>1.56031112518009</v>
      </c>
      <c r="AK56" s="0" t="n">
        <f aca="false">X56</f>
        <v>0.980000000000001</v>
      </c>
      <c r="AL56" s="0" t="n">
        <f aca="false">Y56</f>
        <v>1.81411552898546</v>
      </c>
      <c r="AM56" s="0" t="n">
        <f aca="false">AD56</f>
        <v>-1.68567675854522</v>
      </c>
      <c r="AN56" s="0" t="n">
        <f aca="false">AI56</f>
        <v>1.56031112518009</v>
      </c>
      <c r="BW56" s="0" t="n">
        <f aca="false">BW55+2000000</f>
        <v>94000000</v>
      </c>
      <c r="BX56" s="0" t="e">
        <f aca="false">determ3(BW56*$BC$17-$AS$17,BW56*$BD$17-$AT$17,BW56*$BE$17-$AU$17,BW56*$BF$17-$AV$17,BW56*$BG$17-$AW$17,BW56*$BH$17-$AX$17,BW56*$BI$17-$AY$17,BW56*$BJ$17-$AZ$17,BW56*$BK$17-$BA$17)</f>
        <v>#VALUE!</v>
      </c>
      <c r="CB56" s="0" t="n">
        <f aca="false">CB55+0.02</f>
        <v>0.960000000000001</v>
      </c>
      <c r="CC56" s="0" t="e">
        <f aca="false">$BX$6*(www(CB56,$W$7,$BY$6)+$BV$6*www(CB56,$AC$7,$BZ$6)+$BW$6*www(CB56,$AH$7,$CA$6))</f>
        <v>#VALUE!</v>
      </c>
      <c r="CG56" s="0" t="n">
        <f aca="false">CB56</f>
        <v>0.960000000000001</v>
      </c>
      <c r="CH56" s="0" t="e">
        <f aca="false">$CF$6*(www(CB56,$W$7,$BY$6)+$CD$6*www(CB56,$AC$7,$BZ$6)+$CE$6*www(CB56,$AH$7,$CA$6))</f>
        <v>#VALUE!</v>
      </c>
      <c r="CJ56" s="0" t="n">
        <f aca="false">CG56</f>
        <v>0.960000000000001</v>
      </c>
      <c r="CK56" s="0" t="e">
        <f aca="false">CC56</f>
        <v>#VALUE!</v>
      </c>
      <c r="CL56" s="0" t="e">
        <f aca="false">CH56</f>
        <v>#VALUE!</v>
      </c>
    </row>
    <row r="57" customFormat="false" ht="12.75" hidden="false" customHeight="false" outlineLevel="0" collapsed="false">
      <c r="X57" s="5" t="n">
        <f aca="false">X56+0.02</f>
        <v>1</v>
      </c>
      <c r="Y57" s="0" t="n">
        <f aca="false">$W$7*(SIN($U$7*X57)+SINH($U$7*X57))+COSH($U$7*X57)+COS($U$7*X57)</f>
        <v>1.99999999912378</v>
      </c>
      <c r="AD57" s="0" t="n">
        <f aca="false">$AC$7*(SINH($AA$7*X57)+SIN($AA$7*X57))+COSH($AA$7*X57)+COS($AA$7*X57)</f>
        <v>-1.9999999995348</v>
      </c>
      <c r="AI57" s="0" t="n">
        <f aca="false">$AH$7*(SINH($AF$7*X57)+SIN($AF$7*X57))+COSH($AF$7*X57)+COS($AF$7*X57)</f>
        <v>1.99993290024577</v>
      </c>
      <c r="AK57" s="0" t="n">
        <f aca="false">X57</f>
        <v>1</v>
      </c>
      <c r="AL57" s="0" t="n">
        <f aca="false">Y57</f>
        <v>1.99999999912378</v>
      </c>
      <c r="AM57" s="0" t="n">
        <f aca="false">AD57</f>
        <v>-1.9999999995348</v>
      </c>
      <c r="AN57" s="0" t="n">
        <f aca="false">AI57</f>
        <v>1.99993290024577</v>
      </c>
      <c r="BW57" s="0" t="n">
        <f aca="false">BW56+2000000</f>
        <v>96000000</v>
      </c>
      <c r="BX57" s="0" t="e">
        <f aca="false">determ3(BW57*$BC$17-$AS$17,BW57*$BD$17-$AT$17,BW57*$BE$17-$AU$17,BW57*$BF$17-$AV$17,BW57*$BG$17-$AW$17,BW57*$BH$17-$AX$17,BW57*$BI$17-$AY$17,BW57*$BJ$17-$AZ$17,BW57*$BK$17-$BA$17)</f>
        <v>#VALUE!</v>
      </c>
      <c r="CB57" s="0" t="n">
        <f aca="false">CB56+0.02</f>
        <v>0.980000000000001</v>
      </c>
      <c r="CC57" s="0" t="e">
        <f aca="false">$BX$6*(www(CB57,$W$7,$BY$6)+$BV$6*www(CB57,$AC$7,$BZ$6)+$BW$6*www(CB57,$AH$7,$CA$6))</f>
        <v>#VALUE!</v>
      </c>
      <c r="CG57" s="0" t="n">
        <f aca="false">CB57</f>
        <v>0.980000000000001</v>
      </c>
      <c r="CH57" s="0" t="e">
        <f aca="false">$CF$6*(www(CB57,$W$7,$BY$6)+$CD$6*www(CB57,$AC$7,$BZ$6)+$CE$6*www(CB57,$AH$7,$CA$6))</f>
        <v>#VALUE!</v>
      </c>
      <c r="CJ57" s="0" t="n">
        <f aca="false">CG57</f>
        <v>0.980000000000001</v>
      </c>
      <c r="CK57" s="0" t="e">
        <f aca="false">CC57</f>
        <v>#VALUE!</v>
      </c>
      <c r="CL57" s="0" t="e">
        <f aca="false">CH57</f>
        <v>#VALUE!</v>
      </c>
    </row>
    <row r="58" customFormat="false" ht="12.75" hidden="false" customHeight="false" outlineLevel="0" collapsed="false">
      <c r="BW58" s="0" t="n">
        <f aca="false">BW57+2000000</f>
        <v>98000000</v>
      </c>
      <c r="BX58" s="0" t="e">
        <f aca="false">determ3(BW58*$BC$17-$AS$17,BW58*$BD$17-$AT$17,BW58*$BE$17-$AU$17,BW58*$BF$17-$AV$17,BW58*$BG$17-$AW$17,BW58*$BH$17-$AX$17,BW58*$BI$17-$AY$17,BW58*$BJ$17-$AZ$17,BW58*$BK$17-$BA$17)</f>
        <v>#VALUE!</v>
      </c>
      <c r="CB58" s="0" t="n">
        <f aca="false">CB57+0.02</f>
        <v>1</v>
      </c>
      <c r="CC58" s="0" t="e">
        <f aca="false">$BX$6*(www(CB58,$W$7,$BY$6)+$BV$6*www(CB58,$AC$7,$BZ$6)+$BW$6*www(CB58,$AH$7,$CA$6))</f>
        <v>#VALUE!</v>
      </c>
      <c r="CG58" s="0" t="n">
        <f aca="false">CB58</f>
        <v>1</v>
      </c>
      <c r="CH58" s="0" t="e">
        <f aca="false">$CF$6*(www(CB58,$W$7,$BY$6)+$CD$6*www(CB58,$AC$7,$BZ$6)+$CE$6*www(CB58,$AH$7,$CA$6))</f>
        <v>#VALUE!</v>
      </c>
      <c r="CJ58" s="0" t="n">
        <f aca="false">CG58</f>
        <v>1</v>
      </c>
      <c r="CK58" s="0" t="e">
        <f aca="false">CC58</f>
        <v>#VALUE!</v>
      </c>
      <c r="CL58" s="0" t="e">
        <f aca="false">CH58</f>
        <v>#VALUE!</v>
      </c>
    </row>
    <row r="59" customFormat="false" ht="12.75" hidden="false" customHeight="false" outlineLevel="0" collapsed="false">
      <c r="BW59" s="0" t="n">
        <f aca="false">BW58+2000000</f>
        <v>100000000</v>
      </c>
      <c r="BX59" s="0" t="e">
        <f aca="false">determ3(BW59*$BC$17-$AS$17,BW59*$BD$17-$AT$17,BW59*$BE$17-$AU$17,BW59*$BF$17-$AV$17,BW59*$BG$17-$AW$17,BW59*$BH$17-$AX$17,BW59*$BI$17-$AY$17,BW59*$BJ$17-$AZ$17,BW59*$BK$17-$BA$17)</f>
        <v>#VALUE!</v>
      </c>
    </row>
    <row r="60" customFormat="false" ht="12.75" hidden="false" customHeight="false" outlineLevel="0" collapsed="false">
      <c r="BW60" s="0" t="n">
        <f aca="false">BW59+2000000</f>
        <v>102000000</v>
      </c>
      <c r="BX60" s="0" t="e">
        <f aca="false">determ3(BW60*$BC$17-$AS$17,BW60*$BD$17-$AT$17,BW60*$BE$17-$AU$17,BW60*$BF$17-$AV$17,BW60*$BG$17-$AW$17,BW60*$BH$17-$AX$17,BW60*$BI$17-$AY$17,BW60*$BJ$17-$AZ$17,BW60*$BK$17-$BA$17)</f>
        <v>#VALUE!</v>
      </c>
    </row>
    <row r="61" customFormat="false" ht="12.75" hidden="false" customHeight="false" outlineLevel="0" collapsed="false">
      <c r="BW61" s="0" t="n">
        <f aca="false">BW60+2000000</f>
        <v>104000000</v>
      </c>
      <c r="BX61" s="0" t="e">
        <f aca="false">determ3(BW61*$BC$17-$AS$17,BW61*$BD$17-$AT$17,BW61*$BE$17-$AU$17,BW61*$BF$17-$AV$17,BW61*$BG$17-$AW$17,BW61*$BH$17-$AX$17,BW61*$BI$17-$AY$17,BW61*$BJ$17-$AZ$17,BW61*$BK$17-$BA$17)</f>
        <v>#VALUE!</v>
      </c>
    </row>
    <row r="62" customFormat="false" ht="12.75" hidden="false" customHeight="false" outlineLevel="0" collapsed="false">
      <c r="BW62" s="0" t="n">
        <f aca="false">BW61+2000000</f>
        <v>106000000</v>
      </c>
      <c r="BX62" s="0" t="e">
        <f aca="false">determ3(BW62*$BC$17-$AS$17,BW62*$BD$17-$AT$17,BW62*$BE$17-$AU$17,BW62*$BF$17-$AV$17,BW62*$BG$17-$AW$17,BW62*$BH$17-$AX$17,BW62*$BI$17-$AY$17,BW62*$BJ$17-$AZ$17,BW62*$BK$17-$BA$17)</f>
        <v>#VALUE!</v>
      </c>
    </row>
    <row r="63" customFormat="false" ht="12.75" hidden="false" customHeight="false" outlineLevel="0" collapsed="false">
      <c r="BW63" s="0" t="n">
        <f aca="false">BW62+2000000</f>
        <v>108000000</v>
      </c>
      <c r="BX63" s="0" t="e">
        <f aca="false">determ3(BW63*$BC$17-$AS$17,BW63*$BD$17-$AT$17,BW63*$BE$17-$AU$17,BW63*$BF$17-$AV$17,BW63*$BG$17-$AW$17,BW63*$BH$17-$AX$17,BW63*$BI$17-$AY$17,BW63*$BJ$17-$AZ$17,BW63*$BK$17-$BA$17)</f>
        <v>#VALUE!</v>
      </c>
    </row>
    <row r="64" customFormat="false" ht="12.75" hidden="false" customHeight="false" outlineLevel="0" collapsed="false">
      <c r="BW64" s="0" t="n">
        <f aca="false">BW63+2000000</f>
        <v>110000000</v>
      </c>
      <c r="BX64" s="0" t="e">
        <f aca="false">determ3(BW64*$BC$17-$AS$17,BW64*$BD$17-$AT$17,BW64*$BE$17-$AU$17,BW64*$BF$17-$AV$17,BW64*$BG$17-$AW$17,BW64*$BH$17-$AX$17,BW64*$BI$17-$AY$17,BW64*$BJ$17-$AZ$17,BW64*$BK$17-$BA$17)</f>
        <v>#VALUE!</v>
      </c>
    </row>
    <row r="65" customFormat="false" ht="12.75" hidden="false" customHeight="false" outlineLevel="0" collapsed="false">
      <c r="BW65" s="0" t="n">
        <f aca="false">BW64+2000000</f>
        <v>112000000</v>
      </c>
      <c r="BX65" s="0" t="e">
        <f aca="false">determ3(BW65*$BC$17-$AS$17,BW65*$BD$17-$AT$17,BW65*$BE$17-$AU$17,BW65*$BF$17-$AV$17,BW65*$BG$17-$AW$17,BW65*$BH$17-$AX$17,BW65*$BI$17-$AY$17,BW65*$BJ$17-$AZ$17,BW65*$BK$17-$BA$17)</f>
        <v>#VALUE!</v>
      </c>
    </row>
    <row r="66" customFormat="false" ht="12.75" hidden="false" customHeight="false" outlineLevel="0" collapsed="false">
      <c r="BW66" s="0" t="n">
        <f aca="false">BW65+2000000</f>
        <v>114000000</v>
      </c>
      <c r="BX66" s="0" t="e">
        <f aca="false">determ3(BW66*$BC$17-$AS$17,BW66*$BD$17-$AT$17,BW66*$BE$17-$AU$17,BW66*$BF$17-$AV$17,BW66*$BG$17-$AW$17,BW66*$BH$17-$AX$17,BW66*$BI$17-$AY$17,BW66*$BJ$17-$AZ$17,BW66*$BK$17-$BA$17)</f>
        <v>#VALUE!</v>
      </c>
    </row>
    <row r="67" customFormat="false" ht="12.75" hidden="false" customHeight="false" outlineLevel="0" collapsed="false">
      <c r="BW67" s="0" t="n">
        <f aca="false">BW66+2000000</f>
        <v>116000000</v>
      </c>
      <c r="BX67" s="0" t="e">
        <f aca="false">determ3(BW67*$BC$17-$AS$17,BW67*$BD$17-$AT$17,BW67*$BE$17-$AU$17,BW67*$BF$17-$AV$17,BW67*$BG$17-$AW$17,BW67*$BH$17-$AX$17,BW67*$BI$17-$AY$17,BW67*$BJ$17-$AZ$17,BW67*$BK$17-$BA$17)</f>
        <v>#VALUE!</v>
      </c>
    </row>
    <row r="68" customFormat="false" ht="12.75" hidden="false" customHeight="false" outlineLevel="0" collapsed="false">
      <c r="BW68" s="0" t="n">
        <f aca="false">BW67+2000000</f>
        <v>118000000</v>
      </c>
      <c r="BX68" s="0" t="e">
        <f aca="false">determ3(BW68*$BC$17-$AS$17,BW68*$BD$17-$AT$17,BW68*$BE$17-$AU$17,BW68*$BF$17-$AV$17,BW68*$BG$17-$AW$17,BW68*$BH$17-$AX$17,BW68*$BI$17-$AY$17,BW68*$BJ$17-$AZ$17,BW68*$BK$17-$BA$17)</f>
        <v>#VALUE!</v>
      </c>
    </row>
    <row r="69" customFormat="false" ht="12.75" hidden="false" customHeight="false" outlineLevel="0" collapsed="false">
      <c r="BW69" s="0" t="n">
        <f aca="false">BW68+2000000</f>
        <v>120000000</v>
      </c>
      <c r="BX69" s="0" t="e">
        <f aca="false">determ3(BW69*$BC$17-$AS$17,BW69*$BD$17-$AT$17,BW69*$BE$17-$AU$17,BW69*$BF$17-$AV$17,BW69*$BG$17-$AW$17,BW69*$BH$17-$AX$17,BW69*$BI$17-$AY$17,BW69*$BJ$17-$AZ$17,BW69*$BK$17-$BA$17)</f>
        <v>#VALUE!</v>
      </c>
    </row>
    <row r="70" customFormat="false" ht="12.75" hidden="false" customHeight="false" outlineLevel="0" collapsed="false">
      <c r="BW70" s="0" t="n">
        <f aca="false">BW69+2000000</f>
        <v>122000000</v>
      </c>
      <c r="BX70" s="0" t="e">
        <f aca="false">determ3(BW70*$BC$17-$AS$17,BW70*$BD$17-$AT$17,BW70*$BE$17-$AU$17,BW70*$BF$17-$AV$17,BW70*$BG$17-$AW$17,BW70*$BH$17-$AX$17,BW70*$BI$17-$AY$17,BW70*$BJ$17-$AZ$17,BW70*$BK$17-$BA$17)</f>
        <v>#VALUE!</v>
      </c>
    </row>
    <row r="71" customFormat="false" ht="12.75" hidden="false" customHeight="false" outlineLevel="0" collapsed="false">
      <c r="BW71" s="0" t="n">
        <f aca="false">BW70+2000000</f>
        <v>124000000</v>
      </c>
      <c r="BX71" s="0" t="e">
        <f aca="false">determ3(BW71*$BC$17-$AS$17,BW71*$BD$17-$AT$17,BW71*$BE$17-$AU$17,BW71*$BF$17-$AV$17,BW71*$BG$17-$AW$17,BW71*$BH$17-$AX$17,BW71*$BI$17-$AY$17,BW71*$BJ$17-$AZ$17,BW71*$BK$17-$BA$17)</f>
        <v>#VALUE!</v>
      </c>
    </row>
    <row r="72" customFormat="false" ht="12.75" hidden="false" customHeight="false" outlineLevel="0" collapsed="false">
      <c r="BW72" s="0" t="n">
        <f aca="false">BW71+2000000</f>
        <v>126000000</v>
      </c>
      <c r="BX72" s="0" t="e">
        <f aca="false">determ3(BW72*$BC$17-$AS$17,BW72*$BD$17-$AT$17,BW72*$BE$17-$AU$17,BW72*$BF$17-$AV$17,BW72*$BG$17-$AW$17,BW72*$BH$17-$AX$17,BW72*$BI$17-$AY$17,BW72*$BJ$17-$AZ$17,BW72*$BK$17-$BA$17)</f>
        <v>#VALUE!</v>
      </c>
    </row>
    <row r="73" customFormat="false" ht="12.75" hidden="false" customHeight="false" outlineLevel="0" collapsed="false">
      <c r="BW73" s="0" t="n">
        <f aca="false">BW72+2000000</f>
        <v>128000000</v>
      </c>
      <c r="BX73" s="0" t="e">
        <f aca="false">determ3(BW73*$BC$17-$AS$17,BW73*$BD$17-$AT$17,BW73*$BE$17-$AU$17,BW73*$BF$17-$AV$17,BW73*$BG$17-$AW$17,BW73*$BH$17-$AX$17,BW73*$BI$17-$AY$17,BW73*$BJ$17-$AZ$17,BW73*$BK$17-$BA$17)</f>
        <v>#VALUE!</v>
      </c>
    </row>
    <row r="74" customFormat="false" ht="12.75" hidden="false" customHeight="false" outlineLevel="0" collapsed="false">
      <c r="BW74" s="0" t="n">
        <f aca="false">BW73+2000000</f>
        <v>130000000</v>
      </c>
      <c r="BX74" s="0" t="e">
        <f aca="false">determ3(BW74*$BC$17-$AS$17,BW74*$BD$17-$AT$17,BW74*$BE$17-$AU$17,BW74*$BF$17-$AV$17,BW74*$BG$17-$AW$17,BW74*$BH$17-$AX$17,BW74*$BI$17-$AY$17,BW74*$BJ$17-$AZ$17,BW74*$BK$17-$BA$17)</f>
        <v>#VALUE!</v>
      </c>
    </row>
    <row r="75" customFormat="false" ht="12.75" hidden="false" customHeight="false" outlineLevel="0" collapsed="false">
      <c r="BW75" s="0" t="n">
        <f aca="false">BW74+2000000</f>
        <v>132000000</v>
      </c>
      <c r="BX75" s="0" t="e">
        <f aca="false">determ3(BW75*$BC$17-$AS$17,BW75*$BD$17-$AT$17,BW75*$BE$17-$AU$17,BW75*$BF$17-$AV$17,BW75*$BG$17-$AW$17,BW75*$BH$17-$AX$17,BW75*$BI$17-$AY$17,BW75*$BJ$17-$AZ$17,BW75*$BK$17-$BA$17)</f>
        <v>#VALUE!</v>
      </c>
    </row>
    <row r="76" customFormat="false" ht="12.75" hidden="false" customHeight="false" outlineLevel="0" collapsed="false">
      <c r="BW76" s="0" t="n">
        <f aca="false">BW75+2000000</f>
        <v>134000000</v>
      </c>
      <c r="BX76" s="0" t="e">
        <f aca="false">determ3(BW76*$BC$17-$AS$17,BW76*$BD$17-$AT$17,BW76*$BE$17-$AU$17,BW76*$BF$17-$AV$17,BW76*$BG$17-$AW$17,BW76*$BH$17-$AX$17,BW76*$BI$17-$AY$17,BW76*$BJ$17-$AZ$17,BW76*$BK$17-$BA$17)</f>
        <v>#VALUE!</v>
      </c>
    </row>
    <row r="77" customFormat="false" ht="12.75" hidden="false" customHeight="false" outlineLevel="0" collapsed="false">
      <c r="BW77" s="0" t="n">
        <f aca="false">BW76+2000000</f>
        <v>136000000</v>
      </c>
      <c r="BX77" s="0" t="e">
        <f aca="false">determ3(BW77*$BC$17-$AS$17,BW77*$BD$17-$AT$17,BW77*$BE$17-$AU$17,BW77*$BF$17-$AV$17,BW77*$BG$17-$AW$17,BW77*$BH$17-$AX$17,BW77*$BI$17-$AY$17,BW77*$BJ$17-$AZ$17,BW77*$BK$17-$BA$17)</f>
        <v>#VALUE!</v>
      </c>
    </row>
    <row r="78" customFormat="false" ht="12.75" hidden="false" customHeight="false" outlineLevel="0" collapsed="false">
      <c r="BW78" s="0" t="n">
        <f aca="false">BW77+2000000</f>
        <v>138000000</v>
      </c>
      <c r="BX78" s="0" t="e">
        <f aca="false">determ3(BW78*$BC$17-$AS$17,BW78*$BD$17-$AT$17,BW78*$BE$17-$AU$17,BW78*$BF$17-$AV$17,BW78*$BG$17-$AW$17,BW78*$BH$17-$AX$17,BW78*$BI$17-$AY$17,BW78*$BJ$17-$AZ$17,BW78*$BK$17-$BA$17)</f>
        <v>#VALUE!</v>
      </c>
    </row>
    <row r="79" customFormat="false" ht="12.75" hidden="false" customHeight="false" outlineLevel="0" collapsed="false">
      <c r="BW79" s="0" t="n">
        <f aca="false">BW78+2000000</f>
        <v>140000000</v>
      </c>
      <c r="BX79" s="0" t="e">
        <f aca="false">determ3(BW79*$BC$17-$AS$17,BW79*$BD$17-$AT$17,BW79*$BE$17-$AU$17,BW79*$BF$17-$AV$17,BW79*$BG$17-$AW$17,BW79*$BH$17-$AX$17,BW79*$BI$17-$AY$17,BW79*$BJ$17-$AZ$17,BW79*$BK$17-$BA$17)</f>
        <v>#VALUE!</v>
      </c>
    </row>
    <row r="80" customFormat="false" ht="12.75" hidden="false" customHeight="false" outlineLevel="0" collapsed="false">
      <c r="BW80" s="0" t="n">
        <f aca="false">BW79+2000000</f>
        <v>142000000</v>
      </c>
      <c r="BX80" s="0" t="e">
        <f aca="false">determ3(BW80*$BC$17-$AS$17,BW80*$BD$17-$AT$17,BW80*$BE$17-$AU$17,BW80*$BF$17-$AV$17,BW80*$BG$17-$AW$17,BW80*$BH$17-$AX$17,BW80*$BI$17-$AY$17,BW80*$BJ$17-$AZ$17,BW80*$BK$17-$BA$17)</f>
        <v>#VALUE!</v>
      </c>
    </row>
    <row r="81" customFormat="false" ht="12.75" hidden="false" customHeight="false" outlineLevel="0" collapsed="false">
      <c r="BW81" s="0" t="n">
        <f aca="false">BW80+2000000</f>
        <v>144000000</v>
      </c>
      <c r="BX81" s="0" t="e">
        <f aca="false">determ3(BW81*$BC$17-$AS$17,BW81*$BD$17-$AT$17,BW81*$BE$17-$AU$17,BW81*$BF$17-$AV$17,BW81*$BG$17-$AW$17,BW81*$BH$17-$AX$17,BW81*$BI$17-$AY$17,BW81*$BJ$17-$AZ$17,BW81*$BK$17-$BA$17)</f>
        <v>#VALUE!</v>
      </c>
    </row>
    <row r="82" customFormat="false" ht="12.75" hidden="false" customHeight="false" outlineLevel="0" collapsed="false">
      <c r="BW82" s="0" t="n">
        <f aca="false">BW81+2000000</f>
        <v>146000000</v>
      </c>
      <c r="BX82" s="0" t="e">
        <f aca="false">determ3(BW82*$BC$17-$AS$17,BW82*$BD$17-$AT$17,BW82*$BE$17-$AU$17,BW82*$BF$17-$AV$17,BW82*$BG$17-$AW$17,BW82*$BH$17-$AX$17,BW82*$BI$17-$AY$17,BW82*$BJ$17-$AZ$17,BW82*$BK$17-$BA$17)</f>
        <v>#VALUE!</v>
      </c>
    </row>
    <row r="83" customFormat="false" ht="12.75" hidden="false" customHeight="false" outlineLevel="0" collapsed="false">
      <c r="BW83" s="0" t="n">
        <f aca="false">BW82+2000000</f>
        <v>148000000</v>
      </c>
      <c r="BX83" s="0" t="e">
        <f aca="false">determ3(BW83*$BC$17-$AS$17,BW83*$BD$17-$AT$17,BW83*$BE$17-$AU$17,BW83*$BF$17-$AV$17,BW83*$BG$17-$AW$17,BW83*$BH$17-$AX$17,BW83*$BI$17-$AY$17,BW83*$BJ$17-$AZ$17,BW83*$BK$17-$BA$17)</f>
        <v>#VALUE!</v>
      </c>
    </row>
    <row r="84" customFormat="false" ht="12.75" hidden="false" customHeight="false" outlineLevel="0" collapsed="false">
      <c r="BW84" s="0" t="n">
        <f aca="false">BW83+2000000</f>
        <v>150000000</v>
      </c>
      <c r="BX84" s="0" t="e">
        <f aca="false">determ3(BW84*$BC$17-$AS$17,BW84*$BD$17-$AT$17,BW84*$BE$17-$AU$17,BW84*$BF$17-$AV$17,BW84*$BG$17-$AW$17,BW84*$BH$17-$AX$17,BW84*$BI$17-$AY$17,BW84*$BJ$17-$AZ$17,BW84*$BK$17-$BA$17)</f>
        <v>#VALUE!</v>
      </c>
    </row>
    <row r="85" customFormat="false" ht="12.75" hidden="false" customHeight="false" outlineLevel="0" collapsed="false">
      <c r="BW85" s="0" t="n">
        <f aca="false">BW84+2000000</f>
        <v>152000000</v>
      </c>
      <c r="BX85" s="0" t="e">
        <f aca="false">determ3(BW85*$BC$17-$AS$17,BW85*$BD$17-$AT$17,BW85*$BE$17-$AU$17,BW85*$BF$17-$AV$17,BW85*$BG$17-$AW$17,BW85*$BH$17-$AX$17,BW85*$BI$17-$AY$17,BW85*$BJ$17-$AZ$17,BW85*$BK$17-$BA$17)</f>
        <v>#VALUE!</v>
      </c>
    </row>
    <row r="86" customFormat="false" ht="12.75" hidden="false" customHeight="false" outlineLevel="0" collapsed="false">
      <c r="BW86" s="0" t="n">
        <f aca="false">BW85+2000000</f>
        <v>154000000</v>
      </c>
      <c r="BX86" s="0" t="e">
        <f aca="false">determ3(BW86*$BC$17-$AS$17,BW86*$BD$17-$AT$17,BW86*$BE$17-$AU$17,BW86*$BF$17-$AV$17,BW86*$BG$17-$AW$17,BW86*$BH$17-$AX$17,BW86*$BI$17-$AY$17,BW86*$BJ$17-$AZ$17,BW86*$BK$17-$BA$17)</f>
        <v>#VALUE!</v>
      </c>
    </row>
    <row r="87" customFormat="false" ht="12.75" hidden="false" customHeight="false" outlineLevel="0" collapsed="false">
      <c r="BW87" s="0" t="n">
        <f aca="false">BW86+2000000</f>
        <v>156000000</v>
      </c>
      <c r="BX87" s="0" t="e">
        <f aca="false">determ3(BW87*$BC$17-$AS$17,BW87*$BD$17-$AT$17,BW87*$BE$17-$AU$17,BW87*$BF$17-$AV$17,BW87*$BG$17-$AW$17,BW87*$BH$17-$AX$17,BW87*$BI$17-$AY$17,BW87*$BJ$17-$AZ$17,BW87*$BK$17-$BA$17)</f>
        <v>#VALUE!</v>
      </c>
    </row>
    <row r="88" customFormat="false" ht="12.75" hidden="false" customHeight="false" outlineLevel="0" collapsed="false">
      <c r="BW88" s="0" t="n">
        <f aca="false">BW87+2000000</f>
        <v>158000000</v>
      </c>
      <c r="BX88" s="0" t="e">
        <f aca="false">determ3(BW88*$BC$17-$AS$17,BW88*$BD$17-$AT$17,BW88*$BE$17-$AU$17,BW88*$BF$17-$AV$17,BW88*$BG$17-$AW$17,BW88*$BH$17-$AX$17,BW88*$BI$17-$AY$17,BW88*$BJ$17-$AZ$17,BW88*$BK$17-$BA$17)</f>
        <v>#VALUE!</v>
      </c>
    </row>
    <row r="89" customFormat="false" ht="12.75" hidden="false" customHeight="false" outlineLevel="0" collapsed="false">
      <c r="BW89" s="0" t="n">
        <f aca="false">BW88+2000000</f>
        <v>160000000</v>
      </c>
      <c r="BX89" s="0" t="e">
        <f aca="false">determ3(BW89*$BC$17-$AS$17,BW89*$BD$17-$AT$17,BW89*$BE$17-$AU$17,BW89*$BF$17-$AV$17,BW89*$BG$17-$AW$17,BW89*$BH$17-$AX$17,BW89*$BI$17-$AY$17,BW89*$BJ$17-$AZ$17,BW89*$BK$17-$BA$17)</f>
        <v>#VALUE!</v>
      </c>
    </row>
    <row r="90" customFormat="false" ht="12.75" hidden="false" customHeight="false" outlineLevel="0" collapsed="false">
      <c r="BW90" s="0" t="n">
        <f aca="false">BW89+2000000</f>
        <v>162000000</v>
      </c>
      <c r="BX90" s="0" t="e">
        <f aca="false">determ3(BW90*$BC$17-$AS$17,BW90*$BD$17-$AT$17,BW90*$BE$17-$AU$17,BW90*$BF$17-$AV$17,BW90*$BG$17-$AW$17,BW90*$BH$17-$AX$17,BW90*$BI$17-$AY$17,BW90*$BJ$17-$AZ$17,BW90*$BK$17-$BA$17)</f>
        <v>#VALUE!</v>
      </c>
    </row>
    <row r="91" customFormat="false" ht="12.75" hidden="false" customHeight="false" outlineLevel="0" collapsed="false">
      <c r="BW91" s="0" t="n">
        <f aca="false">BW90+2000000</f>
        <v>164000000</v>
      </c>
      <c r="BX91" s="0" t="e">
        <f aca="false">determ3(BW91*$BC$17-$AS$17,BW91*$BD$17-$AT$17,BW91*$BE$17-$AU$17,BW91*$BF$17-$AV$17,BW91*$BG$17-$AW$17,BW91*$BH$17-$AX$17,BW91*$BI$17-$AY$17,BW91*$BJ$17-$AZ$17,BW91*$BK$17-$BA$17)</f>
        <v>#VALUE!</v>
      </c>
    </row>
    <row r="92" customFormat="false" ht="12.75" hidden="false" customHeight="false" outlineLevel="0" collapsed="false">
      <c r="BW92" s="0" t="n">
        <f aca="false">BW91+2000000</f>
        <v>166000000</v>
      </c>
      <c r="BX92" s="0" t="e">
        <f aca="false">determ3(BW92*$BC$17-$AS$17,BW92*$BD$17-$AT$17,BW92*$BE$17-$AU$17,BW92*$BF$17-$AV$17,BW92*$BG$17-$AW$17,BW92*$BH$17-$AX$17,BW92*$BI$17-$AY$17,BW92*$BJ$17-$AZ$17,BW92*$BK$17-$BA$17)</f>
        <v>#VALUE!</v>
      </c>
    </row>
    <row r="93" customFormat="false" ht="12.75" hidden="false" customHeight="false" outlineLevel="0" collapsed="false">
      <c r="BW93" s="0" t="n">
        <f aca="false">BW92+2000000</f>
        <v>168000000</v>
      </c>
      <c r="BX93" s="0" t="e">
        <f aca="false">determ3(BW93*$BC$17-$AS$17,BW93*$BD$17-$AT$17,BW93*$BE$17-$AU$17,BW93*$BF$17-$AV$17,BW93*$BG$17-$AW$17,BW93*$BH$17-$AX$17,BW93*$BI$17-$AY$17,BW93*$BJ$17-$AZ$17,BW93*$BK$17-$BA$17)</f>
        <v>#VALUE!</v>
      </c>
    </row>
    <row r="94" customFormat="false" ht="12.75" hidden="false" customHeight="false" outlineLevel="0" collapsed="false">
      <c r="BW94" s="0" t="n">
        <f aca="false">BW93+2000000</f>
        <v>170000000</v>
      </c>
      <c r="BX94" s="0" t="e">
        <f aca="false">determ3(BW94*$BC$17-$AS$17,BW94*$BD$17-$AT$17,BW94*$BE$17-$AU$17,BW94*$BF$17-$AV$17,BW94*$BG$17-$AW$17,BW94*$BH$17-$AX$17,BW94*$BI$17-$AY$17,BW94*$BJ$17-$AZ$17,BW94*$BK$17-$BA$17)</f>
        <v>#VALUE!</v>
      </c>
    </row>
    <row r="95" customFormat="false" ht="12.75" hidden="false" customHeight="false" outlineLevel="0" collapsed="false">
      <c r="BW95" s="0" t="n">
        <f aca="false">BW94+2000000</f>
        <v>172000000</v>
      </c>
      <c r="BX95" s="0" t="e">
        <f aca="false">determ3(BW95*$BC$17-$AS$17,BW95*$BD$17-$AT$17,BW95*$BE$17-$AU$17,BW95*$BF$17-$AV$17,BW95*$BG$17-$AW$17,BW95*$BH$17-$AX$17,BW95*$BI$17-$AY$17,BW95*$BJ$17-$AZ$17,BW95*$BK$17-$BA$17)</f>
        <v>#VALUE!</v>
      </c>
    </row>
    <row r="96" customFormat="false" ht="12.75" hidden="false" customHeight="false" outlineLevel="0" collapsed="false">
      <c r="BW96" s="0" t="n">
        <f aca="false">BW95+2000000</f>
        <v>174000000</v>
      </c>
      <c r="BX96" s="0" t="e">
        <f aca="false">determ3(BW96*$BC$17-$AS$17,BW96*$BD$17-$AT$17,BW96*$BE$17-$AU$17,BW96*$BF$17-$AV$17,BW96*$BG$17-$AW$17,BW96*$BH$17-$AX$17,BW96*$BI$17-$AY$17,BW96*$BJ$17-$AZ$17,BW96*$BK$17-$BA$17)</f>
        <v>#VALUE!</v>
      </c>
    </row>
    <row r="97" customFormat="false" ht="12.75" hidden="false" customHeight="false" outlineLevel="0" collapsed="false">
      <c r="BW97" s="0" t="n">
        <f aca="false">BW96+2000000</f>
        <v>176000000</v>
      </c>
      <c r="BX97" s="0" t="e">
        <f aca="false">determ3(BW97*$BC$17-$AS$17,BW97*$BD$17-$AT$17,BW97*$BE$17-$AU$17,BW97*$BF$17-$AV$17,BW97*$BG$17-$AW$17,BW97*$BH$17-$AX$17,BW97*$BI$17-$AY$17,BW97*$BJ$17-$AZ$17,BW97*$BK$17-$BA$17)</f>
        <v>#VALUE!</v>
      </c>
    </row>
    <row r="98" customFormat="false" ht="12.75" hidden="false" customHeight="false" outlineLevel="0" collapsed="false">
      <c r="BW98" s="0" t="n">
        <f aca="false">BW97+2000000</f>
        <v>178000000</v>
      </c>
      <c r="BX98" s="0" t="e">
        <f aca="false">determ3(BW98*$BC$17-$AS$17,BW98*$BD$17-$AT$17,BW98*$BE$17-$AU$17,BW98*$BF$17-$AV$17,BW98*$BG$17-$AW$17,BW98*$BH$17-$AX$17,BW98*$BI$17-$AY$17,BW98*$BJ$17-$AZ$17,BW98*$BK$17-$BA$17)</f>
        <v>#VALUE!</v>
      </c>
    </row>
    <row r="99" customFormat="false" ht="12.75" hidden="false" customHeight="false" outlineLevel="0" collapsed="false">
      <c r="BW99" s="0" t="n">
        <f aca="false">BW98+2000000</f>
        <v>180000000</v>
      </c>
      <c r="BX99" s="0" t="e">
        <f aca="false">determ3(BW99*$BC$17-$AS$17,BW99*$BD$17-$AT$17,BW99*$BE$17-$AU$17,BW99*$BF$17-$AV$17,BW99*$BG$17-$AW$17,BW99*$BH$17-$AX$17,BW99*$BI$17-$AY$17,BW99*$BJ$17-$AZ$17,BW99*$BK$17-$BA$17)</f>
        <v>#VALUE!</v>
      </c>
    </row>
    <row r="100" customFormat="false" ht="12.75" hidden="false" customHeight="false" outlineLevel="0" collapsed="false">
      <c r="BW100" s="0" t="n">
        <f aca="false">BW99+2000000</f>
        <v>182000000</v>
      </c>
      <c r="BX100" s="0" t="e">
        <f aca="false">determ3(BW100*$BC$17-$AS$17,BW100*$BD$17-$AT$17,BW100*$BE$17-$AU$17,BW100*$BF$17-$AV$17,BW100*$BG$17-$AW$17,BW100*$BH$17-$AX$17,BW100*$BI$17-$AY$17,BW100*$BJ$17-$AZ$17,BW100*$BK$17-$BA$17)</f>
        <v>#VALUE!</v>
      </c>
    </row>
    <row r="101" customFormat="false" ht="12.75" hidden="false" customHeight="false" outlineLevel="0" collapsed="false">
      <c r="BW101" s="0" t="n">
        <f aca="false">BW100+2000000</f>
        <v>184000000</v>
      </c>
      <c r="BX101" s="0" t="e">
        <f aca="false">determ3(BW101*$BC$17-$AS$17,BW101*$BD$17-$AT$17,BW101*$BE$17-$AU$17,BW101*$BF$17-$AV$17,BW101*$BG$17-$AW$17,BW101*$BH$17-$AX$17,BW101*$BI$17-$AY$17,BW101*$BJ$17-$AZ$17,BW101*$BK$17-$BA$17)</f>
        <v>#VALUE!</v>
      </c>
    </row>
    <row r="102" customFormat="false" ht="12.75" hidden="false" customHeight="false" outlineLevel="0" collapsed="false">
      <c r="BW102" s="0" t="n">
        <f aca="false">BW101+2000000</f>
        <v>186000000</v>
      </c>
      <c r="BX102" s="0" t="e">
        <f aca="false">determ3(BW102*$BC$17-$AS$17,BW102*$BD$17-$AT$17,BW102*$BE$17-$AU$17,BW102*$BF$17-$AV$17,BW102*$BG$17-$AW$17,BW102*$BH$17-$AX$17,BW102*$BI$17-$AY$17,BW102*$BJ$17-$AZ$17,BW102*$BK$17-$BA$17)</f>
        <v>#VALUE!</v>
      </c>
    </row>
    <row r="103" customFormat="false" ht="12.75" hidden="false" customHeight="false" outlineLevel="0" collapsed="false">
      <c r="BW103" s="0" t="n">
        <f aca="false">BW102+2000000</f>
        <v>188000000</v>
      </c>
      <c r="BX103" s="0" t="e">
        <f aca="false">determ3(BW103*$BC$17-$AS$17,BW103*$BD$17-$AT$17,BW103*$BE$17-$AU$17,BW103*$BF$17-$AV$17,BW103*$BG$17-$AW$17,BW103*$BH$17-$AX$17,BW103*$BI$17-$AY$17,BW103*$BJ$17-$AZ$17,BW103*$BK$17-$BA$17)</f>
        <v>#VALUE!</v>
      </c>
    </row>
    <row r="104" customFormat="false" ht="12.75" hidden="false" customHeight="false" outlineLevel="0" collapsed="false">
      <c r="BW104" s="0" t="n">
        <f aca="false">BW103+2000000</f>
        <v>190000000</v>
      </c>
      <c r="BX104" s="0" t="e">
        <f aca="false">determ3(BW104*$BC$17-$AS$17,BW104*$BD$17-$AT$17,BW104*$BE$17-$AU$17,BW104*$BF$17-$AV$17,BW104*$BG$17-$AW$17,BW104*$BH$17-$AX$17,BW104*$BI$17-$AY$17,BW104*$BJ$17-$AZ$17,BW104*$BK$17-$BA$17)</f>
        <v>#VALUE!</v>
      </c>
    </row>
    <row r="105" customFormat="false" ht="12.75" hidden="false" customHeight="false" outlineLevel="0" collapsed="false">
      <c r="BW105" s="0" t="n">
        <f aca="false">BW104+2000000</f>
        <v>192000000</v>
      </c>
      <c r="BX105" s="0" t="e">
        <f aca="false">determ3(BW105*$BC$17-$AS$17,BW105*$BD$17-$AT$17,BW105*$BE$17-$AU$17,BW105*$BF$17-$AV$17,BW105*$BG$17-$AW$17,BW105*$BH$17-$AX$17,BW105*$BI$17-$AY$17,BW105*$BJ$17-$AZ$17,BW105*$BK$17-$BA$17)</f>
        <v>#VALUE!</v>
      </c>
    </row>
    <row r="106" customFormat="false" ht="12.75" hidden="false" customHeight="false" outlineLevel="0" collapsed="false">
      <c r="BW106" s="0" t="n">
        <f aca="false">BW105+2000000</f>
        <v>194000000</v>
      </c>
      <c r="BX106" s="0" t="e">
        <f aca="false">determ3(BW106*$BC$17-$AS$17,BW106*$BD$17-$AT$17,BW106*$BE$17-$AU$17,BW106*$BF$17-$AV$17,BW106*$BG$17-$AW$17,BW106*$BH$17-$AX$17,BW106*$BI$17-$AY$17,BW106*$BJ$17-$AZ$17,BW106*$BK$17-$BA$17)</f>
        <v>#VALUE!</v>
      </c>
    </row>
    <row r="107" customFormat="false" ht="12.75" hidden="false" customHeight="false" outlineLevel="0" collapsed="false">
      <c r="BW107" s="0" t="n">
        <f aca="false">BW106+2000000</f>
        <v>196000000</v>
      </c>
      <c r="BX107" s="0" t="e">
        <f aca="false">determ3(BW107*$BC$17-$AS$17,BW107*$BD$17-$AT$17,BW107*$BE$17-$AU$17,BW107*$BF$17-$AV$17,BW107*$BG$17-$AW$17,BW107*$BH$17-$AX$17,BW107*$BI$17-$AY$17,BW107*$BJ$17-$AZ$17,BW107*$BK$17-$BA$17)</f>
        <v>#VALUE!</v>
      </c>
    </row>
    <row r="108" customFormat="false" ht="12.75" hidden="false" customHeight="false" outlineLevel="0" collapsed="false">
      <c r="BW108" s="0" t="n">
        <f aca="false">BW107+2000000</f>
        <v>198000000</v>
      </c>
      <c r="BX108" s="0" t="e">
        <f aca="false">determ3(BW108*$BC$17-$AS$17,BW108*$BD$17-$AT$17,BW108*$BE$17-$AU$17,BW108*$BF$17-$AV$17,BW108*$BG$17-$AW$17,BW108*$BH$17-$AX$17,BW108*$BI$17-$AY$17,BW108*$BJ$17-$AZ$17,BW108*$BK$17-$BA$17)</f>
        <v>#VALUE!</v>
      </c>
    </row>
    <row r="109" customFormat="false" ht="12.75" hidden="false" customHeight="false" outlineLevel="0" collapsed="false">
      <c r="BW109" s="0" t="n">
        <f aca="false">BW108+2000000</f>
        <v>200000000</v>
      </c>
      <c r="BX109" s="0" t="e">
        <f aca="false">determ3(BW109*$BC$17-$AS$17,BW109*$BD$17-$AT$17,BW109*$BE$17-$AU$17,BW109*$BF$17-$AV$17,BW109*$BG$17-$AW$17,BW109*$BH$17-$AX$17,BW109*$BI$17-$AY$17,BW109*$BJ$17-$AZ$17,BW109*$BK$17-$BA$17)</f>
        <v>#VALUE!</v>
      </c>
    </row>
    <row r="110" customFormat="false" ht="12.75" hidden="false" customHeight="false" outlineLevel="0" collapsed="false">
      <c r="BW110" s="0" t="n">
        <f aca="false">BW109+2000000</f>
        <v>202000000</v>
      </c>
      <c r="BX110" s="0" t="e">
        <f aca="false">determ3(BW110*$BC$17-$AS$17,BW110*$BD$17-$AT$17,BW110*$BE$17-$AU$17,BW110*$BF$17-$AV$17,BW110*$BG$17-$AW$17,BW110*$BH$17-$AX$17,BW110*$BI$17-$AY$17,BW110*$BJ$17-$AZ$17,BW110*$BK$17-$BA$17)</f>
        <v>#VALUE!</v>
      </c>
    </row>
    <row r="111" customFormat="false" ht="12.75" hidden="false" customHeight="false" outlineLevel="0" collapsed="false">
      <c r="BW111" s="0" t="n">
        <f aca="false">BW110+2000000</f>
        <v>204000000</v>
      </c>
      <c r="BX111" s="0" t="e">
        <f aca="false">determ3(BW111*$BC$17-$AS$17,BW111*$BD$17-$AT$17,BW111*$BE$17-$AU$17,BW111*$BF$17-$AV$17,BW111*$BG$17-$AW$17,BW111*$BH$17-$AX$17,BW111*$BI$17-$AY$17,BW111*$BJ$17-$AZ$17,BW111*$BK$17-$BA$17)</f>
        <v>#VALUE!</v>
      </c>
    </row>
    <row r="112" customFormat="false" ht="12.75" hidden="false" customHeight="false" outlineLevel="0" collapsed="false">
      <c r="BW112" s="0" t="n">
        <f aca="false">BW111+2000000</f>
        <v>206000000</v>
      </c>
      <c r="BX112" s="0" t="e">
        <f aca="false">determ3(BW112*$BC$17-$AS$17,BW112*$BD$17-$AT$17,BW112*$BE$17-$AU$17,BW112*$BF$17-$AV$17,BW112*$BG$17-$AW$17,BW112*$BH$17-$AX$17,BW112*$BI$17-$AY$17,BW112*$BJ$17-$AZ$17,BW112*$BK$17-$BA$17)</f>
        <v>#VALUE!</v>
      </c>
    </row>
    <row r="113" customFormat="false" ht="12.75" hidden="false" customHeight="false" outlineLevel="0" collapsed="false">
      <c r="BW113" s="0" t="n">
        <f aca="false">BW112+2000000</f>
        <v>208000000</v>
      </c>
      <c r="BX113" s="0" t="e">
        <f aca="false">determ3(BW113*$BC$17-$AS$17,BW113*$BD$17-$AT$17,BW113*$BE$17-$AU$17,BW113*$BF$17-$AV$17,BW113*$BG$17-$AW$17,BW113*$BH$17-$AX$17,BW113*$BI$17-$AY$17,BW113*$BJ$17-$AZ$17,BW113*$BK$17-$BA$17)</f>
        <v>#VALUE!</v>
      </c>
    </row>
    <row r="114" customFormat="false" ht="12.75" hidden="false" customHeight="false" outlineLevel="0" collapsed="false">
      <c r="BW114" s="0" t="n">
        <f aca="false">BW113+2000000</f>
        <v>210000000</v>
      </c>
      <c r="BX114" s="0" t="e">
        <f aca="false">determ3(BW114*$BC$17-$AS$17,BW114*$BD$17-$AT$17,BW114*$BE$17-$AU$17,BW114*$BF$17-$AV$17,BW114*$BG$17-$AW$17,BW114*$BH$17-$AX$17,BW114*$BI$17-$AY$17,BW114*$BJ$17-$AZ$17,BW114*$BK$17-$BA$17)</f>
        <v>#VALUE!</v>
      </c>
    </row>
    <row r="115" customFormat="false" ht="12.75" hidden="false" customHeight="false" outlineLevel="0" collapsed="false">
      <c r="BW115" s="0" t="n">
        <f aca="false">BW114+2000000</f>
        <v>212000000</v>
      </c>
      <c r="BX115" s="0" t="e">
        <f aca="false">determ3(BW115*$BC$17-$AS$17,BW115*$BD$17-$AT$17,BW115*$BE$17-$AU$17,BW115*$BF$17-$AV$17,BW115*$BG$17-$AW$17,BW115*$BH$17-$AX$17,BW115*$BI$17-$AY$17,BW115*$BJ$17-$AZ$17,BW115*$BK$17-$BA$17)</f>
        <v>#VALUE!</v>
      </c>
    </row>
    <row r="116" customFormat="false" ht="12.75" hidden="false" customHeight="false" outlineLevel="0" collapsed="false">
      <c r="BW116" s="0" t="n">
        <f aca="false">BW115+2000000</f>
        <v>214000000</v>
      </c>
      <c r="BX116" s="0" t="e">
        <f aca="false">determ3(BW116*$BC$17-$AS$17,BW116*$BD$17-$AT$17,BW116*$BE$17-$AU$17,BW116*$BF$17-$AV$17,BW116*$BG$17-$AW$17,BW116*$BH$17-$AX$17,BW116*$BI$17-$AY$17,BW116*$BJ$17-$AZ$17,BW116*$BK$17-$BA$17)</f>
        <v>#VALUE!</v>
      </c>
    </row>
    <row r="117" customFormat="false" ht="12.75" hidden="false" customHeight="false" outlineLevel="0" collapsed="false">
      <c r="BW117" s="0" t="n">
        <f aca="false">BW116+2000000</f>
        <v>216000000</v>
      </c>
      <c r="BX117" s="0" t="e">
        <f aca="false">determ3(BW117*$BC$17-$AS$17,BW117*$BD$17-$AT$17,BW117*$BE$17-$AU$17,BW117*$BF$17-$AV$17,BW117*$BG$17-$AW$17,BW117*$BH$17-$AX$17,BW117*$BI$17-$AY$17,BW117*$BJ$17-$AZ$17,BW117*$BK$17-$BA$17)</f>
        <v>#VALUE!</v>
      </c>
    </row>
    <row r="118" customFormat="false" ht="12.75" hidden="false" customHeight="false" outlineLevel="0" collapsed="false">
      <c r="BW118" s="0" t="n">
        <f aca="false">BW117+2000000</f>
        <v>218000000</v>
      </c>
      <c r="BX118" s="0" t="e">
        <f aca="false">determ3(BW118*$BC$17-$AS$17,BW118*$BD$17-$AT$17,BW118*$BE$17-$AU$17,BW118*$BF$17-$AV$17,BW118*$BG$17-$AW$17,BW118*$BH$17-$AX$17,BW118*$BI$17-$AY$17,BW118*$BJ$17-$AZ$17,BW118*$BK$17-$BA$17)</f>
        <v>#VALUE!</v>
      </c>
    </row>
    <row r="119" customFormat="false" ht="12.75" hidden="false" customHeight="false" outlineLevel="0" collapsed="false">
      <c r="BW119" s="0" t="n">
        <f aca="false">BW118+2000000</f>
        <v>220000000</v>
      </c>
      <c r="BX119" s="0" t="e">
        <f aca="false">determ3(BW119*$BC$17-$AS$17,BW119*$BD$17-$AT$17,BW119*$BE$17-$AU$17,BW119*$BF$17-$AV$17,BW119*$BG$17-$AW$17,BW119*$BH$17-$AX$17,BW119*$BI$17-$AY$17,BW119*$BJ$17-$AZ$17,BW119*$BK$17-$BA$17)</f>
        <v>#VALUE!</v>
      </c>
    </row>
    <row r="120" customFormat="false" ht="12.75" hidden="false" customHeight="false" outlineLevel="0" collapsed="false">
      <c r="BW120" s="0" t="n">
        <f aca="false">BW119+2000000</f>
        <v>222000000</v>
      </c>
      <c r="BX120" s="0" t="e">
        <f aca="false">determ3(BW120*$BC$17-$AS$17,BW120*$BD$17-$AT$17,BW120*$BE$17-$AU$17,BW120*$BF$17-$AV$17,BW120*$BG$17-$AW$17,BW120*$BH$17-$AX$17,BW120*$BI$17-$AY$17,BW120*$BJ$17-$AZ$17,BW120*$BK$17-$BA$17)</f>
        <v>#VALUE!</v>
      </c>
    </row>
    <row r="121" customFormat="false" ht="12.75" hidden="false" customHeight="false" outlineLevel="0" collapsed="false">
      <c r="BW121" s="0" t="n">
        <f aca="false">BW120+2000000</f>
        <v>224000000</v>
      </c>
      <c r="BX121" s="0" t="e">
        <f aca="false">determ3(BW121*$BC$17-$AS$17,BW121*$BD$17-$AT$17,BW121*$BE$17-$AU$17,BW121*$BF$17-$AV$17,BW121*$BG$17-$AW$17,BW121*$BH$17-$AX$17,BW121*$BI$17-$AY$17,BW121*$BJ$17-$AZ$17,BW121*$BK$17-$BA$17)</f>
        <v>#VALUE!</v>
      </c>
    </row>
    <row r="122" customFormat="false" ht="12.75" hidden="false" customHeight="false" outlineLevel="0" collapsed="false">
      <c r="BW122" s="0" t="n">
        <f aca="false">BW121+2000000</f>
        <v>226000000</v>
      </c>
      <c r="BX122" s="0" t="e">
        <f aca="false">determ3(BW122*$BC$17-$AS$17,BW122*$BD$17-$AT$17,BW122*$BE$17-$AU$17,BW122*$BF$17-$AV$17,BW122*$BG$17-$AW$17,BW122*$BH$17-$AX$17,BW122*$BI$17-$AY$17,BW122*$BJ$17-$AZ$17,BW122*$BK$17-$BA$17)</f>
        <v>#VALUE!</v>
      </c>
    </row>
    <row r="123" customFormat="false" ht="12.75" hidden="false" customHeight="false" outlineLevel="0" collapsed="false">
      <c r="BW123" s="0" t="n">
        <f aca="false">BW122+2000000</f>
        <v>228000000</v>
      </c>
      <c r="BX123" s="0" t="e">
        <f aca="false">determ3(BW123*$BC$17-$AS$17,BW123*$BD$17-$AT$17,BW123*$BE$17-$AU$17,BW123*$BF$17-$AV$17,BW123*$BG$17-$AW$17,BW123*$BH$17-$AX$17,BW123*$BI$17-$AY$17,BW123*$BJ$17-$AZ$17,BW123*$BK$17-$BA$17)</f>
        <v>#VALUE!</v>
      </c>
    </row>
    <row r="124" customFormat="false" ht="12.75" hidden="false" customHeight="false" outlineLevel="0" collapsed="false">
      <c r="BW124" s="0" t="n">
        <f aca="false">BW123+2000000</f>
        <v>230000000</v>
      </c>
      <c r="BX124" s="0" t="e">
        <f aca="false">determ3(BW124*$BC$17-$AS$17,BW124*$BD$17-$AT$17,BW124*$BE$17-$AU$17,BW124*$BF$17-$AV$17,BW124*$BG$17-$AW$17,BW124*$BH$17-$AX$17,BW124*$BI$17-$AY$17,BW124*$BJ$17-$AZ$17,BW124*$BK$17-$BA$17)</f>
        <v>#VALUE!</v>
      </c>
    </row>
    <row r="125" customFormat="false" ht="12.75" hidden="false" customHeight="false" outlineLevel="0" collapsed="false">
      <c r="BW125" s="0" t="n">
        <f aca="false">BW124+2000000</f>
        <v>232000000</v>
      </c>
      <c r="BX125" s="0" t="e">
        <f aca="false">determ3(BW125*$BC$17-$AS$17,BW125*$BD$17-$AT$17,BW125*$BE$17-$AU$17,BW125*$BF$17-$AV$17,BW125*$BG$17-$AW$17,BW125*$BH$17-$AX$17,BW125*$BI$17-$AY$17,BW125*$BJ$17-$AZ$17,BW125*$BK$17-$BA$17)</f>
        <v>#VALUE!</v>
      </c>
    </row>
    <row r="126" customFormat="false" ht="12.75" hidden="false" customHeight="false" outlineLevel="0" collapsed="false">
      <c r="BW126" s="0" t="n">
        <f aca="false">BW125+2000000</f>
        <v>234000000</v>
      </c>
      <c r="BX126" s="0" t="e">
        <f aca="false">determ3(BW126*$BC$17-$AS$17,BW126*$BD$17-$AT$17,BW126*$BE$17-$AU$17,BW126*$BF$17-$AV$17,BW126*$BG$17-$AW$17,BW126*$BH$17-$AX$17,BW126*$BI$17-$AY$17,BW126*$BJ$17-$AZ$17,BW126*$BK$17-$BA$17)</f>
        <v>#VALUE!</v>
      </c>
    </row>
    <row r="127" customFormat="false" ht="12.75" hidden="false" customHeight="false" outlineLevel="0" collapsed="false">
      <c r="BW127" s="0" t="n">
        <f aca="false">BW126+2000000</f>
        <v>236000000</v>
      </c>
      <c r="BX127" s="0" t="e">
        <f aca="false">determ3(BW127*$BC$17-$AS$17,BW127*$BD$17-$AT$17,BW127*$BE$17-$AU$17,BW127*$BF$17-$AV$17,BW127*$BG$17-$AW$17,BW127*$BH$17-$AX$17,BW127*$BI$17-$AY$17,BW127*$BJ$17-$AZ$17,BW127*$BK$17-$BA$17)</f>
        <v>#VALUE!</v>
      </c>
    </row>
    <row r="128" customFormat="false" ht="12.75" hidden="false" customHeight="false" outlineLevel="0" collapsed="false">
      <c r="BW128" s="0" t="n">
        <f aca="false">BW127+2000000</f>
        <v>238000000</v>
      </c>
      <c r="BX128" s="0" t="e">
        <f aca="false">determ3(BW128*$BC$17-$AS$17,BW128*$BD$17-$AT$17,BW128*$BE$17-$AU$17,BW128*$BF$17-$AV$17,BW128*$BG$17-$AW$17,BW128*$BH$17-$AX$17,BW128*$BI$17-$AY$17,BW128*$BJ$17-$AZ$17,BW128*$BK$17-$BA$17)</f>
        <v>#VALUE!</v>
      </c>
    </row>
    <row r="129" customFormat="false" ht="12.75" hidden="false" customHeight="false" outlineLevel="0" collapsed="false">
      <c r="BW129" s="0" t="n">
        <f aca="false">BW128+2000000</f>
        <v>240000000</v>
      </c>
      <c r="BX129" s="0" t="e">
        <f aca="false">determ3(BW129*$BC$17-$AS$17,BW129*$BD$17-$AT$17,BW129*$BE$17-$AU$17,BW129*$BF$17-$AV$17,BW129*$BG$17-$AW$17,BW129*$BH$17-$AX$17,BW129*$BI$17-$AY$17,BW129*$BJ$17-$AZ$17,BW129*$BK$17-$BA$17)</f>
        <v>#VALUE!</v>
      </c>
    </row>
    <row r="130" customFormat="false" ht="12.75" hidden="false" customHeight="false" outlineLevel="0" collapsed="false">
      <c r="BW130" s="0" t="n">
        <f aca="false">BW129+2000000</f>
        <v>242000000</v>
      </c>
      <c r="BX130" s="0" t="e">
        <f aca="false">determ3(BW130*$BC$17-$AS$17,BW130*$BD$17-$AT$17,BW130*$BE$17-$AU$17,BW130*$BF$17-$AV$17,BW130*$BG$17-$AW$17,BW130*$BH$17-$AX$17,BW130*$BI$17-$AY$17,BW130*$BJ$17-$AZ$17,BW130*$BK$17-$BA$17)</f>
        <v>#VALUE!</v>
      </c>
    </row>
    <row r="131" customFormat="false" ht="12.75" hidden="false" customHeight="false" outlineLevel="0" collapsed="false">
      <c r="BW131" s="0" t="n">
        <f aca="false">BW130+2000000</f>
        <v>244000000</v>
      </c>
      <c r="BX131" s="0" t="e">
        <f aca="false">determ3(BW131*$BC$17-$AS$17,BW131*$BD$17-$AT$17,BW131*$BE$17-$AU$17,BW131*$BF$17-$AV$17,BW131*$BG$17-$AW$17,BW131*$BH$17-$AX$17,BW131*$BI$17-$AY$17,BW131*$BJ$17-$AZ$17,BW131*$BK$17-$BA$17)</f>
        <v>#VALUE!</v>
      </c>
    </row>
    <row r="132" customFormat="false" ht="12.75" hidden="false" customHeight="false" outlineLevel="0" collapsed="false">
      <c r="BW132" s="0" t="n">
        <f aca="false">BW131+2000000</f>
        <v>246000000</v>
      </c>
      <c r="BX132" s="0" t="e">
        <f aca="false">determ3(BW132*$BC$17-$AS$17,BW132*$BD$17-$AT$17,BW132*$BE$17-$AU$17,BW132*$BF$17-$AV$17,BW132*$BG$17-$AW$17,BW132*$BH$17-$AX$17,BW132*$BI$17-$AY$17,BW132*$BJ$17-$AZ$17,BW132*$BK$17-$BA$17)</f>
        <v>#VALUE!</v>
      </c>
    </row>
    <row r="133" customFormat="false" ht="12.75" hidden="false" customHeight="false" outlineLevel="0" collapsed="false">
      <c r="BW133" s="0" t="n">
        <f aca="false">BW132+2000000</f>
        <v>248000000</v>
      </c>
      <c r="BX133" s="0" t="e">
        <f aca="false">determ3(BW133*$BC$17-$AS$17,BW133*$BD$17-$AT$17,BW133*$BE$17-$AU$17,BW133*$BF$17-$AV$17,BW133*$BG$17-$AW$17,BW133*$BH$17-$AX$17,BW133*$BI$17-$AY$17,BW133*$BJ$17-$AZ$17,BW133*$BK$17-$BA$17)</f>
        <v>#VALUE!</v>
      </c>
    </row>
    <row r="134" customFormat="false" ht="12.75" hidden="false" customHeight="false" outlineLevel="0" collapsed="false">
      <c r="BW134" s="0" t="n">
        <f aca="false">BW133+2000000</f>
        <v>250000000</v>
      </c>
      <c r="BX134" s="0" t="e">
        <f aca="false">determ3(BW134*$BC$17-$AS$17,BW134*$BD$17-$AT$17,BW134*$BE$17-$AU$17,BW134*$BF$17-$AV$17,BW134*$BG$17-$AW$17,BW134*$BH$17-$AX$17,BW134*$BI$17-$AY$17,BW134*$BJ$17-$AZ$17,BW134*$BK$17-$BA$17)</f>
        <v>#VALUE!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2013-08-02T23:11:53Z</dcterms:created>
  <dc:creator>Owner</dc:creator>
  <dc:description/>
  <dc:language>en-US</dc:language>
  <cp:lastModifiedBy>Owner</cp:lastModifiedBy>
  <dcterms:modified xsi:type="dcterms:W3CDTF">2013-09-10T15:02:29Z</dcterms:modified>
  <cp:revision>0</cp:revision>
  <dc:subject/>
  <dc:title/>
</cp:coreProperties>
</file>