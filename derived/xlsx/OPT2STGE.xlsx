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<sst xmlns="http://schemas.openxmlformats.org/spreadsheetml/2006/main" count="15" uniqueCount="15">
  <si>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r>
      <rPr>
        <sz val="10"/>
        <rFont val="Arial"/>
        <family val="0"/>
      </rPr>
      <t xml:space="preserve">Standard Gravity, g</t>
    </r>
    <r>
      <rPr>
        <vertAlign val="subscript"/>
        <sz val="10"/>
        <rFont val="Arial"/>
        <family val="2"/>
      </rPr>
      <t xml:space="preserve">0</t>
    </r>
    <r>
      <rPr>
        <sz val="10"/>
        <rFont val="Arial"/>
        <family val="2"/>
      </rPr>
      <t xml:space="preserve">, ft/sec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</si>
  <si>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2"/>
      </rPr>
      <t xml:space="preserve">Ideal Velocity</t>
    </r>
    <r>
      <rPr>
        <sz val="10"/>
        <rFont val="Symbol"/>
        <family val="1"/>
        <charset val="2"/>
      </rPr>
      <t xml:space="preserve">,   D</t>
    </r>
    <r>
      <rPr>
        <sz val="10"/>
        <rFont val="Arial"/>
        <family val="0"/>
      </rPr>
      <t xml:space="preserve">V</t>
    </r>
    <r>
      <rPr>
        <vertAlign val="subscript"/>
        <sz val="10"/>
        <rFont val="Arial"/>
        <family val="2"/>
      </rPr>
      <t xml:space="preserve">ID</t>
    </r>
    <r>
      <rPr>
        <sz val="10"/>
        <rFont val="Arial"/>
        <family val="2"/>
      </rPr>
      <t xml:space="preserve">, ft/sec</t>
    </r>
  </si>
  <si>
    <t xml:space="preserve">Payload Weight, lb</t>
  </si>
  <si>
    <r>
      <rPr>
        <sz val="10"/>
        <rFont val="Arial"/>
        <family val="0"/>
      </rPr>
      <t xml:space="preserve">Specific Impulse,  I</t>
    </r>
    <r>
      <rPr>
        <vertAlign val="subscript"/>
        <sz val="10"/>
        <rFont val="Arial"/>
        <family val="2"/>
      </rPr>
      <t xml:space="preserve">SP</t>
    </r>
    <r>
      <rPr>
        <sz val="10"/>
        <rFont val="Arial"/>
        <family val="2"/>
      </rPr>
      <t xml:space="preserve">, sec</t>
    </r>
  </si>
  <si>
    <r>
      <rPr>
        <sz val="10"/>
        <rFont val="Arial"/>
        <family val="0"/>
      </rPr>
      <t xml:space="preserve">Structural  Fraction, </t>
    </r>
    <r>
      <rPr>
        <sz val="10"/>
        <rFont val="Symbol"/>
        <family val="1"/>
        <charset val="2"/>
      </rPr>
      <t xml:space="preserve">s</t>
    </r>
  </si>
  <si>
    <r>
      <rPr>
        <sz val="10"/>
        <rFont val="Arial"/>
        <family val="0"/>
      </rPr>
      <t xml:space="preserve">Total Payload Ratio, Eta</t>
    </r>
    <r>
      <rPr>
        <vertAlign val="subscript"/>
        <sz val="10"/>
        <rFont val="Arial"/>
        <family val="2"/>
      </rPr>
      <t xml:space="preserve">TOT</t>
    </r>
  </si>
  <si>
    <r>
      <rPr>
        <sz val="10"/>
        <rFont val="Arial"/>
        <family val="0"/>
      </rPr>
      <t xml:space="preserve">Lagrange Multiplier, </t>
    </r>
    <r>
      <rPr>
        <sz val="10"/>
        <rFont val="Symbol"/>
        <family val="1"/>
        <charset val="2"/>
      </rPr>
      <t xml:space="preserve">l</t>
    </r>
  </si>
  <si>
    <t xml:space="preserve">Stage    Payload      Ratio</t>
  </si>
  <si>
    <t xml:space="preserve">Stage Propellant Weight, lb</t>
  </si>
  <si>
    <t xml:space="preserve">Stage Structural Weight, lb</t>
  </si>
  <si>
    <t xml:space="preserve">Stage Loaded Weight, lb</t>
  </si>
  <si>
    <t xml:space="preserve">Liftoff     Weightt, lb</t>
  </si>
  <si>
    <t xml:space="preserve">First           Stage</t>
  </si>
  <si>
    <t xml:space="preserve">Second      Stage</t>
  </si>
  <si>
    <r>
      <rPr>
        <sz val="10"/>
        <rFont val="Arial"/>
        <family val="0"/>
      </rPr>
      <t xml:space="preserve">Avg I</t>
    </r>
    <r>
      <rPr>
        <vertAlign val="subscript"/>
        <sz val="10"/>
        <rFont val="Arial"/>
        <family val="2"/>
      </rPr>
      <t xml:space="preserve">SP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</si>
</sst>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O2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10.41"/>
    <col collapsed="false" customWidth="true" hidden="false" outlineLevel="0" max="5" min="5" style="0" width="10.13"/>
    <col collapsed="false" customWidth="true" hidden="false" outlineLevel="0" max="8" min="8" style="0" width="11.42"/>
    <col collapsed="false" customWidth="true" hidden="false" outlineLevel="0" max="9" min="9" style="0" width="9.7"/>
    <col collapsed="false" customWidth="true" hidden="false" outlineLevel="0" max="10" min="10" style="0" width="10.13"/>
    <col collapsed="false" customWidth="true" hidden="false" outlineLevel="0" max="11" min="11" style="0" width="9.7"/>
  </cols>
  <sheetData>
    <row r="4" customFormat="false" ht="43.5" hidden="false" customHeight="true" outlineLevel="0" collapsed="false">
      <c r="C4" s="1" t="s">
        <v>0</v>
      </c>
      <c r="D4" s="2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</row>
    <row r="5" customFormat="false" ht="12.75" hidden="false" customHeight="false" outlineLevel="0" collapsed="false">
      <c r="C5" s="3" t="n">
        <v>32.174</v>
      </c>
      <c r="D5" s="4" t="n">
        <v>2000</v>
      </c>
      <c r="E5" s="4" t="n">
        <v>10</v>
      </c>
      <c r="H5" s="0" t="n">
        <f aca="false">(EXP(-D5/(2*C5*F14))-SQRT(G8*G11))^2/((1-G8)*(1-G11))</f>
        <v>0.704275332096033</v>
      </c>
      <c r="I5" s="0" t="n">
        <f aca="false">H5*C5*F14*SQRT((1-G8)*(1-G11)/(G8*G11))/(1+H5*SQRT((1-G8)*(1-G11)/(G8*G11)))</f>
        <v>5445.91282888968</v>
      </c>
      <c r="N5" s="0" t="n">
        <f aca="false">E5+K8+K11+L8+L11</f>
        <v>14.1989922751354</v>
      </c>
    </row>
    <row r="7" customFormat="false" ht="12.75" hidden="false" customHeight="false" outlineLevel="0" collapsed="false">
      <c r="K7" s="5"/>
    </row>
    <row r="8" customFormat="false" ht="25.5" hidden="false" customHeight="false" outlineLevel="0" collapsed="false">
      <c r="E8" s="1" t="s">
        <v>12</v>
      </c>
      <c r="F8" s="4" t="n">
        <v>220</v>
      </c>
      <c r="G8" s="4" t="n">
        <v>0.15</v>
      </c>
      <c r="J8" s="0" t="n">
        <f aca="false">(G8/(1-G8))*SQRT(H5*(1-G8)*(1-G11)/(G8*G11))</f>
        <v>0.873760913014828</v>
      </c>
      <c r="K8" s="0" t="n">
        <f aca="false">L8*(1-G8)/G8</f>
        <v>1.52359764778421</v>
      </c>
      <c r="L8" s="0" t="n">
        <f aca="false">G8*E5*(1-H5)/H5-G8*L11/G11</f>
        <v>0.26887017313839</v>
      </c>
      <c r="M8" s="0" t="n">
        <f aca="false">K8+L8</f>
        <v>1.7924678209226</v>
      </c>
    </row>
    <row r="11" customFormat="false" ht="25.5" hidden="false" customHeight="false" outlineLevel="0" collapsed="false">
      <c r="E11" s="1" t="s">
        <v>13</v>
      </c>
      <c r="F11" s="4" t="n">
        <v>200</v>
      </c>
      <c r="G11" s="4" t="n">
        <v>0.14</v>
      </c>
      <c r="J11" s="0" t="n">
        <f aca="false">(G11/(1-G11))*(H5*(1-G8)*(1-G11)/(G8*G11))^(1/2)</f>
        <v>0.806027508905152</v>
      </c>
      <c r="K11" s="0" t="n">
        <f aca="false">L11*(1-G11)/G11</f>
        <v>2.06961103062302</v>
      </c>
      <c r="L11" s="0" t="n">
        <f aca="false">E5*G11*(1-J11)/J11</f>
        <v>0.336913423589794</v>
      </c>
      <c r="M11" s="0" t="n">
        <f aca="false">K11+L11</f>
        <v>2.40652445421281</v>
      </c>
    </row>
    <row r="14" customFormat="false" ht="15.75" hidden="false" customHeight="false" outlineLevel="0" collapsed="false">
      <c r="E14" s="6" t="s">
        <v>14</v>
      </c>
      <c r="F14" s="0" t="n">
        <f aca="false">(F8+F11)/2</f>
        <v>210</v>
      </c>
    </row>
    <row r="21" customFormat="false" ht="12.75" hidden="false" customHeight="false" outlineLevel="0" collapsed="false">
      <c r="L21" s="5"/>
      <c r="M21" s="5"/>
    </row>
    <row r="28" customFormat="false" ht="12.75" hidden="false" customHeight="false" outlineLevel="0" collapsed="false">
      <c r="O28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2015-01-06T15:08:36Z</dcterms:created>
  <dc:creator>Charles Hoult</dc:creator>
  <dc:description/>
  <dc:language>en-US</dc:language>
  <cp:lastModifiedBy>Charles Hoult</cp:lastModifiedBy>
  <dcterms:modified xsi:type="dcterms:W3CDTF">2015-03-21T13:02:29Z</dcterms:modified>
  <cp:revision>0</cp:revision>
  <dc:subject/>
  <dc:title/>
</cp:coreProperties>
</file>