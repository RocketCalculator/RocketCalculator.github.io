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3"/>
    <sheet name="Sheet2" sheetId="2" state="visible" r:id="rId4"/>
    <sheet name="Sheet3" sheetId="3" state="visible" r:id="rId5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<sst xmlns="http://schemas.openxmlformats.org/spreadsheetml/2006/main" count="37" uniqueCount="37">
  <si>
    <t xml:space="preserve">Gold Rush III</t>
  </si>
  <si>
    <t xml:space="preserve">Pi</t>
  </si>
  <si>
    <t xml:space="preserve">Body R, in</t>
  </si>
  <si>
    <t xml:space="preserve">Fin b, in</t>
  </si>
  <si>
    <t xml:space="preserve">Root c, in</t>
  </si>
  <si>
    <t xml:space="preserve">Tip c, in</t>
  </si>
  <si>
    <r>
      <rPr>
        <sz val="10"/>
        <rFont val="Arial"/>
        <family val="0"/>
      </rPr>
      <t xml:space="preserve">S, in</t>
    </r>
    <r>
      <rPr>
        <vertAlign val="superscript"/>
        <sz val="10"/>
        <rFont val="Arial"/>
        <family val="2"/>
      </rPr>
      <t xml:space="preserve">2</t>
    </r>
  </si>
  <si>
    <r>
      <rPr>
        <sz val="10"/>
        <rFont val="Arial"/>
        <family val="0"/>
      </rPr>
      <t xml:space="preserve">c</t>
    </r>
    <r>
      <rPr>
        <vertAlign val="subscript"/>
        <sz val="10"/>
        <rFont val="Arial"/>
        <family val="2"/>
      </rPr>
      <t xml:space="preserve">R</t>
    </r>
    <r>
      <rPr>
        <sz val="10"/>
        <rFont val="Arial"/>
        <family val="0"/>
      </rPr>
      <t xml:space="preserve">b-c</t>
    </r>
    <r>
      <rPr>
        <vertAlign val="subscript"/>
        <sz val="10"/>
        <rFont val="Arial"/>
        <family val="2"/>
      </rPr>
      <t xml:space="preserve">T</t>
    </r>
    <r>
      <rPr>
        <sz val="10"/>
        <rFont val="Arial"/>
        <family val="0"/>
      </rPr>
      <t xml:space="preserve">R</t>
    </r>
  </si>
  <si>
    <r>
      <rPr>
        <sz val="10"/>
        <rFont val="Arial"/>
        <family val="0"/>
      </rPr>
      <t xml:space="preserve">c</t>
    </r>
    <r>
      <rPr>
        <vertAlign val="subscript"/>
        <sz val="10"/>
        <rFont val="Arial"/>
        <family val="2"/>
      </rPr>
      <t xml:space="preserve">R</t>
    </r>
    <r>
      <rPr>
        <sz val="10"/>
        <rFont val="Arial"/>
        <family val="0"/>
      </rPr>
      <t xml:space="preserve">-c</t>
    </r>
    <r>
      <rPr>
        <vertAlign val="subscript"/>
        <sz val="10"/>
        <rFont val="Arial"/>
        <family val="2"/>
      </rPr>
      <t xml:space="preserve">T</t>
    </r>
  </si>
  <si>
    <t xml:space="preserve">A</t>
  </si>
  <si>
    <t xml:space="preserve">C</t>
  </si>
  <si>
    <r>
      <rPr>
        <sz val="10"/>
        <rFont val="Arial"/>
        <family val="0"/>
      </rPr>
      <t xml:space="preserve">L</t>
    </r>
    <r>
      <rPr>
        <sz val="10"/>
        <rFont val="Symbol"/>
        <family val="1"/>
        <charset val="2"/>
      </rPr>
      <t xml:space="preserve">d</t>
    </r>
  </si>
  <si>
    <t xml:space="preserve">L(p/V)</t>
  </si>
  <si>
    <r>
      <rPr>
        <sz val="10"/>
        <rFont val="Arial"/>
        <family val="0"/>
      </rPr>
      <t xml:space="preserve">Airfoil c</t>
    </r>
    <r>
      <rPr>
        <vertAlign val="subscript"/>
        <sz val="10"/>
        <rFont val="Arial"/>
        <family val="0"/>
      </rPr>
      <t xml:space="preserve">N</t>
    </r>
    <r>
      <rPr>
        <vertAlign val="subscript"/>
        <sz val="10"/>
        <rFont val="Symbol"/>
        <family val="1"/>
        <charset val="2"/>
      </rPr>
      <t xml:space="preserve">a</t>
    </r>
  </si>
  <si>
    <t xml:space="preserve">N</t>
  </si>
  <si>
    <r>
      <rPr>
        <sz val="10"/>
        <rFont val="Arial"/>
        <family val="0"/>
      </rPr>
      <t xml:space="preserve">Single Fin C</t>
    </r>
    <r>
      <rPr>
        <vertAlign val="subscript"/>
        <sz val="10"/>
        <rFont val="Arial"/>
        <family val="0"/>
      </rPr>
      <t xml:space="preserve">L</t>
    </r>
    <r>
      <rPr>
        <vertAlign val="subscript"/>
        <sz val="10"/>
        <rFont val="Symbol"/>
        <family val="1"/>
        <charset val="2"/>
      </rPr>
      <t xml:space="preserve">d</t>
    </r>
  </si>
  <si>
    <r>
      <rPr>
        <sz val="10"/>
        <rFont val="Arial"/>
        <family val="0"/>
      </rPr>
      <t xml:space="preserve">N Fin C</t>
    </r>
    <r>
      <rPr>
        <vertAlign val="subscript"/>
        <sz val="10"/>
        <rFont val="Arial"/>
        <family val="2"/>
      </rPr>
      <t xml:space="preserve">Lp</t>
    </r>
  </si>
  <si>
    <t xml:space="preserve">Fixed B.O. Roll Rate --&gt;</t>
  </si>
  <si>
    <t xml:space="preserve">Vel, fps</t>
  </si>
  <si>
    <t xml:space="preserve">Vel, ips</t>
  </si>
  <si>
    <t xml:space="preserve">p, hz</t>
  </si>
  <si>
    <t xml:space="preserve">p,rad/sec</t>
  </si>
  <si>
    <t xml:space="preserve">p/V</t>
  </si>
  <si>
    <r>
      <rPr>
        <sz val="10"/>
        <rFont val="Symbol"/>
        <family val="1"/>
        <charset val="2"/>
      </rPr>
      <t xml:space="preserve">d</t>
    </r>
    <r>
      <rPr>
        <sz val="10"/>
        <rFont val="Arial"/>
        <family val="0"/>
      </rPr>
      <t xml:space="preserve">, rad</t>
    </r>
  </si>
  <si>
    <r>
      <rPr>
        <sz val="10"/>
        <rFont val="Symbol"/>
        <family val="1"/>
        <charset val="2"/>
      </rPr>
      <t xml:space="preserve">d</t>
    </r>
    <r>
      <rPr>
        <sz val="10"/>
        <rFont val="Arial"/>
        <family val="0"/>
      </rPr>
      <t xml:space="preserve">, deg</t>
    </r>
  </si>
  <si>
    <t xml:space="preserve">Fixed Roll Cycles ---&gt;</t>
  </si>
  <si>
    <r>
      <rPr>
        <sz val="10"/>
        <rFont val="Arial"/>
        <family val="0"/>
      </rPr>
      <t xml:space="preserve">Ixx, sl-ft</t>
    </r>
    <r>
      <rPr>
        <vertAlign val="superscript"/>
        <sz val="10"/>
        <rFont val="Arial"/>
        <family val="2"/>
      </rPr>
      <t xml:space="preserve">2</t>
    </r>
  </si>
  <si>
    <r>
      <rPr>
        <sz val="10"/>
        <rFont val="Arial"/>
        <family val="0"/>
      </rPr>
      <t xml:space="preserve">Density, sl/ft</t>
    </r>
    <r>
      <rPr>
        <vertAlign val="superscript"/>
        <sz val="10"/>
        <rFont val="Arial"/>
        <family val="2"/>
      </rPr>
      <t xml:space="preserve">3</t>
    </r>
  </si>
  <si>
    <t xml:space="preserve">Altitude, ft</t>
  </si>
  <si>
    <t xml:space="preserve">Launcher L, ft</t>
  </si>
  <si>
    <t xml:space="preserve">k</t>
  </si>
  <si>
    <t xml:space="preserve">brkt</t>
  </si>
  <si>
    <t xml:space="preserve">Roll Cycles</t>
  </si>
  <si>
    <t xml:space="preserve">Delta, rad</t>
  </si>
  <si>
    <t xml:space="preserve">Delta, deg</t>
  </si>
  <si>
    <t xml:space="preserve">User input</t>
  </si>
  <si>
    <t xml:space="preserve">Output</t>
  </si>
</sst>
</file>

<file path=xl/styles.xml><?xml version="1.0" encoding="utf-8"?>
<styleSheet xmlns="http://schemas.openxmlformats.org/spreadsheetml/2006/main">
  <numFmts count="1">
    <numFmt numFmtId="164" formatCode="General"/>
  </numFmts>
  <fonts count="28"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1"/>
      <color rgb="FF000000"/>
      <name val="Calibri"/>
      <family val="2"/>
    </font>
    <font>
      <sz val="11"/>
      <color rgb="FFFFFFFF"/>
      <name val="Calibri"/>
      <family val="2"/>
    </font>
    <font>
      <sz val="11"/>
      <color rgb="FF800080"/>
      <name val="Calibri"/>
      <family val="2"/>
    </font>
    <font>
      <b val="true"/>
      <sz val="11"/>
      <color rgb="FFFF9900"/>
      <name val="Calibri"/>
      <family val="2"/>
    </font>
    <font>
      <b val="true"/>
      <sz val="11"/>
      <color rgb="FFFFFFFF"/>
      <name val="Calibri"/>
      <family val="2"/>
    </font>
    <font>
      <i val="true"/>
      <sz val="11"/>
      <color rgb="FF808080"/>
      <name val="Calibri"/>
      <family val="2"/>
    </font>
    <font>
      <sz val="11"/>
      <color rgb="FF008000"/>
      <name val="Calibri"/>
      <family val="2"/>
    </font>
    <font>
      <b val="true"/>
      <sz val="15"/>
      <color rgb="FF003366"/>
      <name val="Calibri"/>
      <family val="2"/>
    </font>
    <font>
      <b val="true"/>
      <sz val="13"/>
      <color rgb="FF003366"/>
      <name val="Calibri"/>
      <family val="2"/>
    </font>
    <font>
      <b val="true"/>
      <sz val="11"/>
      <color rgb="FF003366"/>
      <name val="Calibri"/>
      <family val="2"/>
    </font>
    <font>
      <sz val="11"/>
      <color rgb="FF333399"/>
      <name val="Calibri"/>
      <family val="2"/>
    </font>
    <font>
      <sz val="11"/>
      <color rgb="FFFF9900"/>
      <name val="Calibri"/>
      <family val="2"/>
    </font>
    <font>
      <sz val="11"/>
      <color rgb="FF993300"/>
      <name val="Calibri"/>
      <family val="2"/>
    </font>
    <font>
      <b val="true"/>
      <sz val="11"/>
      <color rgb="FF333333"/>
      <name val="Calibri"/>
      <family val="2"/>
    </font>
    <font>
      <b val="true"/>
      <sz val="18"/>
      <color rgb="FF003366"/>
      <name val="Cambria"/>
      <family val="2"/>
    </font>
    <font>
      <b val="true"/>
      <sz val="11"/>
      <color rgb="FF000000"/>
      <name val="Calibri"/>
      <family val="2"/>
    </font>
    <font>
      <sz val="11"/>
      <color rgb="FFFF0000"/>
      <name val="Calibri"/>
      <family val="2"/>
    </font>
    <font>
      <b val="true"/>
      <sz val="10"/>
      <name val="Arial"/>
      <family val="2"/>
    </font>
    <font>
      <vertAlign val="superscript"/>
      <sz val="10"/>
      <name val="Arial"/>
      <family val="2"/>
    </font>
    <font>
      <vertAlign val="subscript"/>
      <sz val="10"/>
      <name val="Arial"/>
      <family val="2"/>
    </font>
    <font>
      <sz val="10"/>
      <name val="Symbol"/>
      <family val="1"/>
      <charset val="2"/>
    </font>
    <font>
      <vertAlign val="subscript"/>
      <sz val="10"/>
      <name val="Arial"/>
      <family val="0"/>
    </font>
    <font>
      <vertAlign val="subscript"/>
      <sz val="10"/>
      <name val="Symbol"/>
      <family val="1"/>
      <charset val="2"/>
    </font>
    <font>
      <b val="true"/>
      <sz val="10"/>
      <color rgb="FFFFFFFF"/>
      <name val="Arial"/>
      <family val="0"/>
    </font>
  </fonts>
  <fills count="26">
    <fill>
      <patternFill patternType="none"/>
    </fill>
    <fill>
      <patternFill patternType="gray125"/>
    </fill>
    <fill>
      <patternFill patternType="solid">
        <fgColor rgb="FFCCCCFF"/>
        <bgColor rgb="FFC0C0C0"/>
      </patternFill>
    </fill>
    <fill>
      <patternFill patternType="solid">
        <fgColor rgb="FFFF99CC"/>
        <bgColor rgb="FFFF8080"/>
      </patternFill>
    </fill>
    <fill>
      <patternFill patternType="solid">
        <fgColor rgb="FFCCFFCC"/>
        <bgColor rgb="FFCCFFFF"/>
      </patternFill>
    </fill>
    <fill>
      <patternFill patternType="solid">
        <fgColor rgb="FFCC99FF"/>
        <bgColor rgb="FF9999FF"/>
      </patternFill>
    </fill>
    <fill>
      <patternFill patternType="solid">
        <fgColor rgb="FFCCFFFF"/>
        <bgColor rgb="FFCCFFFF"/>
      </patternFill>
    </fill>
    <fill>
      <patternFill patternType="solid">
        <fgColor rgb="FFFFCC99"/>
        <bgColor rgb="FFC0C0C0"/>
      </patternFill>
    </fill>
    <fill>
      <patternFill patternType="solid">
        <fgColor rgb="FF99CCFF"/>
        <bgColor rgb="FFCCCCFF"/>
      </patternFill>
    </fill>
    <fill>
      <patternFill patternType="solid">
        <fgColor rgb="FFFF8080"/>
        <bgColor rgb="FFFF99CC"/>
      </patternFill>
    </fill>
    <fill>
      <patternFill patternType="solid">
        <fgColor rgb="FF00FF00"/>
        <bgColor rgb="FF33CCCC"/>
      </patternFill>
    </fill>
    <fill>
      <patternFill patternType="solid">
        <fgColor rgb="FFFFCC00"/>
        <bgColor rgb="FFFFFF00"/>
      </patternFill>
    </fill>
    <fill>
      <patternFill patternType="solid">
        <fgColor rgb="FF0066CC"/>
        <bgColor rgb="FF008080"/>
      </patternFill>
    </fill>
    <fill>
      <patternFill patternType="solid">
        <fgColor rgb="FF800080"/>
        <bgColor rgb="FF800080"/>
      </patternFill>
    </fill>
    <fill>
      <patternFill patternType="solid">
        <fgColor rgb="FF33CCCC"/>
        <bgColor rgb="FF00CCFF"/>
      </patternFill>
    </fill>
    <fill>
      <patternFill patternType="solid">
        <fgColor rgb="FFFF9900"/>
        <bgColor rgb="FFFFCC00"/>
      </patternFill>
    </fill>
    <fill>
      <patternFill patternType="solid">
        <fgColor rgb="FF333399"/>
        <bgColor rgb="FF003366"/>
      </patternFill>
    </fill>
    <fill>
      <patternFill patternType="solid">
        <fgColor rgb="FFFF0000"/>
        <bgColor rgb="FF993300"/>
      </patternFill>
    </fill>
    <fill>
      <patternFill patternType="solid">
        <fgColor rgb="FF339966"/>
        <bgColor rgb="FF008080"/>
      </patternFill>
    </fill>
    <fill>
      <patternFill patternType="solid">
        <fgColor rgb="FFFF6600"/>
        <bgColor rgb="FFFF9900"/>
      </patternFill>
    </fill>
    <fill>
      <patternFill patternType="solid">
        <fgColor rgb="FFC0C0C0"/>
        <bgColor rgb="FFCCCCFF"/>
      </patternFill>
    </fill>
    <fill>
      <patternFill patternType="solid">
        <fgColor rgb="FF969696"/>
        <bgColor rgb="FF808080"/>
      </patternFill>
    </fill>
    <fill>
      <patternFill patternType="solid">
        <fgColor rgb="FFFFFF99"/>
        <bgColor rgb="FFFFFFCC"/>
      </patternFill>
    </fill>
    <fill>
      <patternFill patternType="solid">
        <fgColor rgb="FFFFFFCC"/>
        <bgColor rgb="FFFFFFFF"/>
      </patternFill>
    </fill>
    <fill>
      <patternFill patternType="solid">
        <fgColor rgb="FFFF00FF"/>
        <bgColor rgb="FFFF00FF"/>
      </patternFill>
    </fill>
    <fill>
      <patternFill patternType="solid">
        <fgColor rgb="FFFFFF00"/>
        <bgColor rgb="FFFFFF00"/>
      </patternFill>
    </fill>
  </fills>
  <borders count="12">
    <border diagonalUp="false" diagonalDown="false">
      <left/>
      <right/>
      <top/>
      <bottom/>
      <diagonal/>
    </border>
    <border diagonalUp="false" diagonalDown="false"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  <diagonal/>
    </border>
    <border diagonalUp="false" diagonalDown="false">
      <left style="double">
        <color rgb="FF333333"/>
      </left>
      <right style="double">
        <color rgb="FF333333"/>
      </right>
      <top style="double">
        <color rgb="FF333333"/>
      </top>
      <bottom style="double">
        <color rgb="FF333333"/>
      </bottom>
      <diagonal/>
    </border>
    <border diagonalUp="false" diagonalDown="false">
      <left/>
      <right/>
      <top/>
      <bottom style="thick">
        <color rgb="FF333399"/>
      </bottom>
      <diagonal/>
    </border>
    <border diagonalUp="false" diagonalDown="false">
      <left/>
      <right/>
      <top/>
      <bottom style="thick">
        <color rgb="FFC0C0C0"/>
      </bottom>
      <diagonal/>
    </border>
    <border diagonalUp="false" diagonalDown="false">
      <left/>
      <right/>
      <top/>
      <bottom style="medium">
        <color rgb="FF0066CC"/>
      </bottom>
      <diagonal/>
    </border>
    <border diagonalUp="false" diagonalDown="false">
      <left/>
      <right/>
      <top/>
      <bottom style="double">
        <color rgb="FFFF9900"/>
      </bottom>
      <diagonal/>
    </border>
    <border diagonalUp="false" diagonalDown="false">
      <left style="thin">
        <color rgb="FFC0C0C0"/>
      </left>
      <right style="thin">
        <color rgb="FFC0C0C0"/>
      </right>
      <top style="thin">
        <color rgb="FFC0C0C0"/>
      </top>
      <bottom style="thin">
        <color rgb="FFC0C0C0"/>
      </bottom>
      <diagonal/>
    </border>
    <border diagonalUp="false" diagonalDown="false">
      <left style="thin">
        <color rgb="FF333333"/>
      </left>
      <right style="thin">
        <color rgb="FF333333"/>
      </right>
      <top style="thin">
        <color rgb="FF333333"/>
      </top>
      <bottom style="thin">
        <color rgb="FF333333"/>
      </bottom>
      <diagonal/>
    </border>
    <border diagonalUp="false" diagonalDown="false">
      <left/>
      <right/>
      <top style="thin">
        <color rgb="FF333399"/>
      </top>
      <bottom style="double">
        <color rgb="FF333399"/>
      </bottom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/>
      <right style="thin">
        <color rgb="FFFFFFFF"/>
      </right>
      <top/>
      <bottom/>
      <diagonal/>
    </border>
  </borders>
  <cellStyleXfs count="61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4" fontId="4" fillId="2" borderId="0" applyFont="true" applyBorder="false" applyAlignment="false" applyProtection="false"/>
    <xf numFmtId="164" fontId="4" fillId="3" borderId="0" applyFont="true" applyBorder="false" applyAlignment="false" applyProtection="false"/>
    <xf numFmtId="164" fontId="4" fillId="4" borderId="0" applyFont="true" applyBorder="false" applyAlignment="false" applyProtection="false"/>
    <xf numFmtId="164" fontId="4" fillId="5" borderId="0" applyFont="true" applyBorder="false" applyAlignment="false" applyProtection="false"/>
    <xf numFmtId="164" fontId="4" fillId="6" borderId="0" applyFont="true" applyBorder="false" applyAlignment="false" applyProtection="false"/>
    <xf numFmtId="164" fontId="4" fillId="7" borderId="0" applyFont="true" applyBorder="false" applyAlignment="false" applyProtection="false"/>
    <xf numFmtId="164" fontId="4" fillId="8" borderId="0" applyFont="true" applyBorder="false" applyAlignment="false" applyProtection="false"/>
    <xf numFmtId="164" fontId="4" fillId="9" borderId="0" applyFont="true" applyBorder="false" applyAlignment="false" applyProtection="false"/>
    <xf numFmtId="164" fontId="4" fillId="10" borderId="0" applyFont="true" applyBorder="false" applyAlignment="false" applyProtection="false"/>
    <xf numFmtId="164" fontId="4" fillId="5" borderId="0" applyFont="true" applyBorder="false" applyAlignment="false" applyProtection="false"/>
    <xf numFmtId="164" fontId="4" fillId="8" borderId="0" applyFont="true" applyBorder="false" applyAlignment="false" applyProtection="false"/>
    <xf numFmtId="164" fontId="4" fillId="11" borderId="0" applyFont="true" applyBorder="false" applyAlignment="false" applyProtection="false"/>
    <xf numFmtId="164" fontId="5" fillId="12" borderId="0" applyFont="true" applyBorder="false" applyAlignment="false" applyProtection="false"/>
    <xf numFmtId="164" fontId="5" fillId="9" borderId="0" applyFont="true" applyBorder="false" applyAlignment="false" applyProtection="false"/>
    <xf numFmtId="164" fontId="5" fillId="10" borderId="0" applyFont="true" applyBorder="false" applyAlignment="false" applyProtection="false"/>
    <xf numFmtId="164" fontId="5" fillId="13" borderId="0" applyFont="true" applyBorder="false" applyAlignment="false" applyProtection="false"/>
    <xf numFmtId="164" fontId="5" fillId="14" borderId="0" applyFont="true" applyBorder="false" applyAlignment="false" applyProtection="false"/>
    <xf numFmtId="164" fontId="5" fillId="15" borderId="0" applyFont="true" applyBorder="false" applyAlignment="false" applyProtection="false"/>
    <xf numFmtId="164" fontId="5" fillId="16" borderId="0" applyFont="true" applyBorder="false" applyAlignment="false" applyProtection="false"/>
    <xf numFmtId="164" fontId="5" fillId="17" borderId="0" applyFont="true" applyBorder="false" applyAlignment="false" applyProtection="false"/>
    <xf numFmtId="164" fontId="5" fillId="18" borderId="0" applyFont="true" applyBorder="false" applyAlignment="false" applyProtection="false"/>
    <xf numFmtId="164" fontId="5" fillId="13" borderId="0" applyFont="true" applyBorder="false" applyAlignment="false" applyProtection="false"/>
    <xf numFmtId="164" fontId="5" fillId="14" borderId="0" applyFont="true" applyBorder="false" applyAlignment="false" applyProtection="false"/>
    <xf numFmtId="164" fontId="5" fillId="19" borderId="0" applyFont="true" applyBorder="false" applyAlignment="false" applyProtection="false"/>
    <xf numFmtId="164" fontId="6" fillId="3" borderId="0" applyFont="true" applyBorder="false" applyAlignment="false" applyProtection="false"/>
    <xf numFmtId="164" fontId="7" fillId="20" borderId="1" applyFont="true" applyBorder="true" applyAlignment="false" applyProtection="false"/>
    <xf numFmtId="164" fontId="8" fillId="21" borderId="2" applyFont="true" applyBorder="true" applyAlignment="false" applyProtection="false"/>
    <xf numFmtId="164" fontId="9" fillId="0" borderId="0" applyFont="true" applyBorder="false" applyAlignment="false" applyProtection="false"/>
    <xf numFmtId="164" fontId="10" fillId="4" borderId="0" applyFont="true" applyBorder="false" applyAlignment="false" applyProtection="false"/>
    <xf numFmtId="164" fontId="11" fillId="0" borderId="3" applyFont="true" applyBorder="true" applyAlignment="false" applyProtection="false"/>
    <xf numFmtId="164" fontId="12" fillId="0" borderId="4" applyFont="true" applyBorder="true" applyAlignment="false" applyProtection="false"/>
    <xf numFmtId="164" fontId="13" fillId="0" borderId="5" applyFont="true" applyBorder="true" applyAlignment="false" applyProtection="false"/>
    <xf numFmtId="164" fontId="13" fillId="0" borderId="0" applyFont="true" applyBorder="false" applyAlignment="false" applyProtection="false"/>
    <xf numFmtId="164" fontId="14" fillId="7" borderId="1" applyFont="true" applyBorder="true" applyAlignment="false" applyProtection="false"/>
    <xf numFmtId="164" fontId="15" fillId="0" borderId="6" applyFont="true" applyBorder="true" applyAlignment="false" applyProtection="false"/>
    <xf numFmtId="164" fontId="16" fillId="22" borderId="0" applyFont="true" applyBorder="false" applyAlignment="false" applyProtection="false"/>
    <xf numFmtId="164" fontId="0" fillId="23" borderId="7" applyFont="true" applyBorder="true" applyAlignment="false" applyProtection="false"/>
    <xf numFmtId="164" fontId="17" fillId="20" borderId="8" applyFont="true" applyBorder="true" applyAlignment="false" applyProtection="false"/>
    <xf numFmtId="164" fontId="18" fillId="0" borderId="0" applyFont="true" applyBorder="false" applyAlignment="false" applyProtection="false"/>
    <xf numFmtId="164" fontId="19" fillId="0" borderId="9" applyFont="true" applyBorder="true" applyAlignment="false" applyProtection="false"/>
    <xf numFmtId="164" fontId="20" fillId="0" borderId="0" applyFont="true" applyBorder="false" applyAlignment="false" applyProtection="false"/>
  </cellStyleXfs>
  <cellXfs count="1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2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11" borderId="1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11" borderId="10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4" fontId="0" fillId="24" borderId="10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6" borderId="10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25" borderId="10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27" fillId="20" borderId="1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24" fillId="11" borderId="1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24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0" fillId="11" borderId="1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7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1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47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20% - Accent1" xfId="20"/>
    <cellStyle name="20% - Accent2" xfId="21"/>
    <cellStyle name="20% - Accent3" xfId="22"/>
    <cellStyle name="20% - Accent4" xfId="23"/>
    <cellStyle name="20% - Accent5" xfId="24"/>
    <cellStyle name="20% - Accent6" xfId="25"/>
    <cellStyle name="40% - Accent1" xfId="26"/>
    <cellStyle name="40% - Accent2" xfId="27"/>
    <cellStyle name="40% - Accent3" xfId="28"/>
    <cellStyle name="40% - Accent4" xfId="29"/>
    <cellStyle name="40% - Accent5" xfId="30"/>
    <cellStyle name="40% - Accent6" xfId="31"/>
    <cellStyle name="60% - Accent1" xfId="32"/>
    <cellStyle name="60% - Accent2" xfId="33"/>
    <cellStyle name="60% - Accent3" xfId="34"/>
    <cellStyle name="60% - Accent4" xfId="35"/>
    <cellStyle name="60% - Accent5" xfId="36"/>
    <cellStyle name="60% - Accent6" xfId="37"/>
    <cellStyle name="Accent1" xfId="38"/>
    <cellStyle name="Accent2" xfId="39"/>
    <cellStyle name="Accent3" xfId="40"/>
    <cellStyle name="Accent4" xfId="41"/>
    <cellStyle name="Accent5" xfId="42"/>
    <cellStyle name="Accent6" xfId="43"/>
    <cellStyle name="Bad 1" xfId="44"/>
    <cellStyle name="Calculation" xfId="45"/>
    <cellStyle name="Check Cell" xfId="46"/>
    <cellStyle name="Explanatory Text" xfId="47"/>
    <cellStyle name="Good 1" xfId="48"/>
    <cellStyle name="Heading 1 1" xfId="49"/>
    <cellStyle name="Heading 2 1" xfId="50"/>
    <cellStyle name="Heading 3" xfId="51"/>
    <cellStyle name="Heading 4" xfId="52"/>
    <cellStyle name="Input" xfId="53"/>
    <cellStyle name="Linked Cell" xfId="54"/>
    <cellStyle name="Neutral 1" xfId="55"/>
    <cellStyle name="Note 1" xfId="56"/>
    <cellStyle name="Output" xfId="57"/>
    <cellStyle name="Title" xfId="58"/>
    <cellStyle name="Total" xfId="59"/>
    <cellStyle name="Warning Text" xfId="60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T19"/>
  <sheetViews>
    <sheetView showFormulas="false" showGridLines="true" showRowColHeaders="true" showZeros="true" rightToLeft="false" tabSelected="true" showOutlineSymbols="true" defaultGridColor="true" view="normal" topLeftCell="A1" colorId="64" zoomScale="120" zoomScaleNormal="120" zoomScalePageLayoutView="100" workbookViewId="0">
      <selection pane="topLeft" activeCell="A1" activeCellId="0" sqref="A1"/>
    </sheetView>
  </sheetViews>
  <sheetFormatPr defaultColWidth="9.0546875" defaultRowHeight="12.75" customHeight="false" zeroHeight="false" outlineLevelRow="0" outlineLevelCol="0"/>
  <cols>
    <col collapsed="false" customWidth="true" hidden="false" outlineLevel="0" max="1" min="1" style="0" width="22.42"/>
    <col collapsed="false" customWidth="true" hidden="false" outlineLevel="0" max="3" min="3" style="0" width="12.14"/>
    <col collapsed="false" customWidth="true" hidden="false" outlineLevel="0" max="5" min="5" style="0" width="12.28"/>
    <col collapsed="false" customWidth="true" hidden="false" outlineLevel="0" max="8" min="8" style="0" width="9.99"/>
    <col collapsed="false" customWidth="true" hidden="false" outlineLevel="0" max="17" min="17" style="0" width="12.28"/>
    <col collapsed="false" customWidth="true" hidden="false" outlineLevel="0" max="18" min="18" style="0" width="11.28"/>
  </cols>
  <sheetData>
    <row r="1" customFormat="false" ht="12.75" hidden="false" customHeight="false" outlineLevel="0" collapsed="false">
      <c r="A1" s="1" t="s">
        <v>0</v>
      </c>
    </row>
    <row r="4" customFormat="false" ht="14.25" hidden="false" customHeight="true" outlineLevel="0" collapsed="false">
      <c r="B4" s="2" t="s">
        <v>1</v>
      </c>
      <c r="C4" s="2" t="s">
        <v>2</v>
      </c>
      <c r="D4" s="2" t="s">
        <v>3</v>
      </c>
      <c r="E4" s="2" t="s">
        <v>4</v>
      </c>
      <c r="F4" s="2" t="s">
        <v>5</v>
      </c>
      <c r="G4" s="3" t="s">
        <v>6</v>
      </c>
      <c r="H4" s="2" t="s">
        <v>7</v>
      </c>
      <c r="I4" s="2" t="s">
        <v>8</v>
      </c>
      <c r="J4" s="2" t="s">
        <v>9</v>
      </c>
      <c r="K4" s="2" t="s">
        <v>10</v>
      </c>
      <c r="L4" s="2" t="s">
        <v>11</v>
      </c>
      <c r="M4" s="2" t="s">
        <v>12</v>
      </c>
      <c r="O4" s="2" t="s">
        <v>13</v>
      </c>
      <c r="P4" s="2" t="s">
        <v>14</v>
      </c>
      <c r="Q4" s="2" t="s">
        <v>15</v>
      </c>
      <c r="R4" s="2" t="s">
        <v>16</v>
      </c>
    </row>
    <row r="5" customFormat="false" ht="12.75" hidden="false" customHeight="false" outlineLevel="0" collapsed="false">
      <c r="B5" s="4" t="n">
        <f aca="false">PI()</f>
        <v>3.14159265358979</v>
      </c>
      <c r="C5" s="5" t="n">
        <v>3.125</v>
      </c>
      <c r="D5" s="5" t="n">
        <v>5.5</v>
      </c>
      <c r="E5" s="5" t="n">
        <v>10</v>
      </c>
      <c r="F5" s="5" t="n">
        <v>2</v>
      </c>
      <c r="G5" s="0" t="n">
        <f aca="false">B5*C5^2</f>
        <v>30.6796157577128</v>
      </c>
      <c r="H5" s="0" t="n">
        <f aca="false">E5*D5-F5*C5</f>
        <v>48.75</v>
      </c>
      <c r="I5" s="0" t="n">
        <f aca="false">E5-F5</f>
        <v>8</v>
      </c>
      <c r="J5" s="0" t="n">
        <f aca="false">H5/(D5-C5)</f>
        <v>20.5263157894737</v>
      </c>
      <c r="K5" s="0" t="n">
        <f aca="false">I5/(D5-C5)</f>
        <v>3.36842105263158</v>
      </c>
      <c r="L5" s="0" t="n">
        <f aca="false">J5*(D5+C5)/2-K5*(D5^2+D5*C5+C5^2)/3</f>
        <v>24.2916666666667</v>
      </c>
      <c r="M5" s="0" t="n">
        <f aca="false">-J5*(D5^2+D5*C5+C5^2)/3+K5*(D5^3+D5^2*C5+D5*C5^2+C5^3)/4</f>
        <v>-100.75</v>
      </c>
      <c r="O5" s="5" t="n">
        <v>3.5</v>
      </c>
      <c r="P5" s="5" t="n">
        <v>4</v>
      </c>
      <c r="Q5" s="6" t="n">
        <f aca="false">O5*(D5-B5)*L5/(2+PI()*C5^3)</f>
        <v>2.04869699023045</v>
      </c>
      <c r="R5" s="6" t="n">
        <f aca="false">O5*(D5-C5)*P5*M5/(2*PI()*C5^4)</f>
        <v>-5.59057849206866</v>
      </c>
    </row>
    <row r="8" customFormat="false" ht="12.75" hidden="false" customHeight="false" outlineLevel="0" collapsed="false">
      <c r="A8" s="7" t="s">
        <v>17</v>
      </c>
      <c r="B8" s="2" t="s">
        <v>18</v>
      </c>
      <c r="C8" s="2" t="s">
        <v>19</v>
      </c>
      <c r="D8" s="2" t="s">
        <v>20</v>
      </c>
      <c r="E8" s="2" t="s">
        <v>21</v>
      </c>
      <c r="F8" s="2" t="s">
        <v>22</v>
      </c>
      <c r="G8" s="8" t="s">
        <v>23</v>
      </c>
      <c r="H8" s="8" t="s">
        <v>24</v>
      </c>
    </row>
    <row r="9" customFormat="false" ht="12.75" hidden="false" customHeight="false" outlineLevel="0" collapsed="false">
      <c r="B9" s="5" t="n">
        <v>1037.2</v>
      </c>
      <c r="C9" s="0" t="n">
        <f aca="false">12*B9</f>
        <v>12446.4</v>
      </c>
      <c r="D9" s="5" t="n">
        <v>1.24</v>
      </c>
      <c r="E9" s="0" t="n">
        <f aca="false">2*B5*D9</f>
        <v>7.79114978090269</v>
      </c>
      <c r="F9" s="0" t="n">
        <f aca="false">E9/C9</f>
        <v>0.000625976168281807</v>
      </c>
      <c r="G9" s="0" t="n">
        <f aca="false">-F9*M5/L5</f>
        <v>0.00259624421081545</v>
      </c>
      <c r="H9" s="6" t="n">
        <f aca="false">180*G9/B5</f>
        <v>0.148753835864999</v>
      </c>
      <c r="O9" s="9"/>
      <c r="P9" s="10"/>
      <c r="Q9" s="10"/>
      <c r="R9" s="10"/>
      <c r="S9" s="10"/>
      <c r="T9" s="10"/>
    </row>
    <row r="11" customFormat="false" ht="14.25" hidden="false" customHeight="false" outlineLevel="0" collapsed="false">
      <c r="A11" s="7" t="s">
        <v>25</v>
      </c>
      <c r="B11" s="2" t="s">
        <v>26</v>
      </c>
      <c r="C11" s="11" t="s">
        <v>27</v>
      </c>
      <c r="D11" s="2" t="s">
        <v>28</v>
      </c>
      <c r="E11" s="11" t="s">
        <v>29</v>
      </c>
      <c r="F11" s="2" t="s">
        <v>30</v>
      </c>
      <c r="G11" s="2" t="s">
        <v>31</v>
      </c>
      <c r="H11" s="2" t="s">
        <v>32</v>
      </c>
      <c r="I11" s="2" t="s">
        <v>33</v>
      </c>
      <c r="J11" s="2" t="s">
        <v>34</v>
      </c>
    </row>
    <row r="12" customFormat="false" ht="12.75" hidden="false" customHeight="false" outlineLevel="0" collapsed="false">
      <c r="B12" s="5" t="n">
        <v>0.22</v>
      </c>
      <c r="C12" s="5" t="n">
        <v>0.0023</v>
      </c>
      <c r="D12" s="5" t="n">
        <v>2000</v>
      </c>
      <c r="E12" s="5" t="n">
        <v>18</v>
      </c>
      <c r="F12" s="0" t="n">
        <f aca="false">B12/(2*PI()*C12*(C5/12)^4*R5)</f>
        <v>-592.083726416051</v>
      </c>
      <c r="G12" s="0" t="n">
        <f aca="false">D12-E12+F12*LN((D12-E12-F12)/(-F12))</f>
        <v>1111.87324603379</v>
      </c>
      <c r="H12" s="5" t="n">
        <v>4</v>
      </c>
      <c r="I12" s="0" t="n">
        <f aca="false">-2*PI()*H12*C5*R5/(12*P5*Q5*G12)</f>
        <v>0.00401580285014021</v>
      </c>
      <c r="J12" s="6" t="n">
        <f aca="false">180*I12/PI()</f>
        <v>0.230088554669641</v>
      </c>
    </row>
    <row r="14" customFormat="false" ht="12.75" hidden="false" customHeight="false" outlineLevel="0" collapsed="false">
      <c r="H14" s="5" t="s">
        <v>35</v>
      </c>
    </row>
    <row r="15" customFormat="false" ht="12.75" hidden="false" customHeight="false" outlineLevel="0" collapsed="false">
      <c r="H15" s="6" t="s">
        <v>36</v>
      </c>
    </row>
    <row r="17" customFormat="false" ht="12.75" hidden="false" customHeight="false" outlineLevel="0" collapsed="false">
      <c r="L17" s="12"/>
      <c r="M17" s="12"/>
    </row>
    <row r="18" customFormat="false" ht="12.75" hidden="false" customHeight="false" outlineLevel="0" collapsed="false">
      <c r="L18" s="12"/>
      <c r="M18" s="13"/>
    </row>
    <row r="19" customFormat="false" ht="12.75" hidden="false" customHeight="false" outlineLevel="0" collapsed="false">
      <c r="M19" s="12"/>
    </row>
  </sheetData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9.0546875" defaultRowHeight="12.75" customHeight="false" zeroHeight="false" outlineLevelRow="0" outlineLevelCol="0"/>
  <sheetData/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9.0546875" defaultRowHeight="12.75" customHeight="false" zeroHeight="false" outlineLevelRow="0" outlineLevelCol="0"/>
  <sheetData/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LibreOffice/25.8.7.3$Linux_X86_64 LibreOffice_project/580$Build-3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2006-08-21T15:10:44Z</dcterms:created>
  <dc:creator>Owner</dc:creator>
  <dc:description/>
  <dc:language>en-US</dc:language>
  <cp:lastModifiedBy>Owner</cp:lastModifiedBy>
  <dcterms:modified xsi:type="dcterms:W3CDTF">2014-05-23T12:52:37Z</dcterms:modified>
  <cp:revision>0</cp:revision>
  <dc:subject/>
  <dc:title/>
</cp:coreProperties>
</file>