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<sst xmlns="http://schemas.openxmlformats.org/spreadsheetml/2006/main" count="75" uniqueCount="66">
  <si>
    <t xml:space="preserve">Flight Condition</t>
  </si>
  <si>
    <t xml:space="preserve">Body Profile</t>
  </si>
  <si>
    <t xml:space="preserve">Profile Properties</t>
  </si>
  <si>
    <t xml:space="preserve">Offline Aerodynamic Data</t>
  </si>
  <si>
    <t xml:space="preserve">Free Stream Mach number</t>
  </si>
  <si>
    <t xml:space="preserve">Free Stream Reynolds number</t>
  </si>
  <si>
    <t xml:space="preserve">Body station of C.G., in aft of Nose Tip</t>
  </si>
  <si>
    <t xml:space="preserve">Body Element number</t>
  </si>
  <si>
    <t xml:space="preserve">Body station at the front of an element, in aft of Nose Tip</t>
  </si>
  <si>
    <t xml:space="preserve">Body Radius, in from centerline</t>
  </si>
  <si>
    <r>
      <rPr>
        <sz val="12"/>
        <rFont val="Arial"/>
        <family val="0"/>
      </rPr>
      <t xml:space="preserve">S</t>
    </r>
    <r>
      <rPr>
        <vertAlign val="subscript"/>
        <sz val="12"/>
        <rFont val="Arial"/>
        <family val="0"/>
      </rPr>
      <t xml:space="preserve">REF,</t>
    </r>
    <r>
      <rPr>
        <sz val="12"/>
        <rFont val="Arial"/>
        <family val="0"/>
      </rPr>
      <t xml:space="preserve"> ft</t>
    </r>
    <r>
      <rPr>
        <vertAlign val="superscript"/>
        <sz val="12"/>
        <rFont val="Arial"/>
        <family val="0"/>
      </rPr>
      <t xml:space="preserve">2</t>
    </r>
  </si>
  <si>
    <r>
      <rPr>
        <sz val="12"/>
        <rFont val="Arial"/>
        <family val="0"/>
      </rPr>
      <t xml:space="preserve">d</t>
    </r>
    <r>
      <rPr>
        <vertAlign val="subscript"/>
        <sz val="12"/>
        <rFont val="Arial"/>
        <family val="0"/>
      </rPr>
      <t xml:space="preserve">REF</t>
    </r>
    <r>
      <rPr>
        <sz val="12"/>
        <rFont val="Arial"/>
        <family val="0"/>
      </rPr>
      <t xml:space="preserve">, ft</t>
    </r>
  </si>
  <si>
    <t xml:space="preserve">Element length, ft</t>
  </si>
  <si>
    <r>
      <rPr>
        <sz val="12"/>
        <rFont val="Arial"/>
        <family val="0"/>
      </rPr>
      <t xml:space="preserve">Element slope, </t>
    </r>
    <r>
      <rPr>
        <sz val="12"/>
        <rFont val="Symbol"/>
        <family val="1"/>
        <charset val="2"/>
      </rPr>
      <t xml:space="preserve">d</t>
    </r>
    <r>
      <rPr>
        <sz val="12"/>
        <rFont val="Arial"/>
        <family val="0"/>
      </rPr>
      <t xml:space="preserve">, rad</t>
    </r>
  </si>
  <si>
    <r>
      <rPr>
        <sz val="12"/>
        <rFont val="Arial"/>
        <family val="0"/>
      </rPr>
      <t xml:space="preserve">A</t>
    </r>
    <r>
      <rPr>
        <vertAlign val="subscript"/>
        <sz val="12"/>
        <rFont val="Arial"/>
        <family val="0"/>
      </rPr>
      <t xml:space="preserve">BROAD, </t>
    </r>
    <r>
      <rPr>
        <sz val="12"/>
        <rFont val="Arial"/>
        <family val="0"/>
      </rPr>
      <t xml:space="preserve">ft</t>
    </r>
    <r>
      <rPr>
        <vertAlign val="superscript"/>
        <sz val="12"/>
        <rFont val="Arial"/>
        <family val="0"/>
      </rPr>
      <t xml:space="preserve">2</t>
    </r>
  </si>
  <si>
    <r>
      <rPr>
        <sz val="12"/>
        <rFont val="Arial"/>
        <family val="0"/>
      </rPr>
      <t xml:space="preserve">S</t>
    </r>
    <r>
      <rPr>
        <vertAlign val="subscript"/>
        <sz val="12"/>
        <rFont val="Arial"/>
        <family val="0"/>
      </rPr>
      <t xml:space="preserve">BROAD,</t>
    </r>
    <r>
      <rPr>
        <sz val="12"/>
        <rFont val="Arial"/>
        <family val="0"/>
      </rPr>
      <t xml:space="preserve"> ft</t>
    </r>
    <r>
      <rPr>
        <vertAlign val="superscript"/>
        <sz val="12"/>
        <rFont val="Arial"/>
        <family val="0"/>
      </rPr>
      <t xml:space="preserve">2</t>
    </r>
  </si>
  <si>
    <r>
      <rPr>
        <sz val="12"/>
        <rFont val="Arial"/>
        <family val="0"/>
      </rPr>
      <t xml:space="preserve">SumXS, ft</t>
    </r>
    <r>
      <rPr>
        <vertAlign val="superscript"/>
        <sz val="12"/>
        <rFont val="Arial"/>
        <family val="0"/>
      </rPr>
      <t xml:space="preserve">3</t>
    </r>
  </si>
  <si>
    <r>
      <rPr>
        <sz val="12"/>
        <rFont val="Arial"/>
        <family val="0"/>
      </rPr>
      <t xml:space="preserve">D</t>
    </r>
    <r>
      <rPr>
        <vertAlign val="subscript"/>
        <sz val="12"/>
        <rFont val="Arial"/>
        <family val="0"/>
      </rPr>
      <t xml:space="preserve">AVE,</t>
    </r>
    <r>
      <rPr>
        <sz val="12"/>
        <rFont val="Arial"/>
        <family val="0"/>
      </rPr>
      <t xml:space="preserve"> ft</t>
    </r>
  </si>
  <si>
    <t xml:space="preserve">Aspect Ratio</t>
  </si>
  <si>
    <r>
      <rPr>
        <sz val="12"/>
        <rFont val="Arial"/>
        <family val="0"/>
      </rPr>
      <t xml:space="preserve">X</t>
    </r>
    <r>
      <rPr>
        <vertAlign val="subscript"/>
        <sz val="12"/>
        <rFont val="Arial"/>
        <family val="0"/>
      </rPr>
      <t xml:space="preserve">CP90,</t>
    </r>
    <r>
      <rPr>
        <sz val="12"/>
        <rFont val="Arial"/>
        <family val="0"/>
      </rPr>
      <t xml:space="preserve"> ft aft of the Nose Tip</t>
    </r>
  </si>
  <si>
    <r>
      <rPr>
        <sz val="12"/>
        <rFont val="Arial"/>
        <family val="0"/>
      </rPr>
      <t xml:space="preserve">C</t>
    </r>
    <r>
      <rPr>
        <vertAlign val="subscript"/>
        <sz val="12"/>
        <rFont val="Arial"/>
        <family val="0"/>
      </rPr>
      <t xml:space="preserve">A0</t>
    </r>
  </si>
  <si>
    <r>
      <rPr>
        <sz val="12"/>
        <rFont val="Arial"/>
        <family val="0"/>
      </rPr>
      <t xml:space="preserve">C</t>
    </r>
    <r>
      <rPr>
        <vertAlign val="subscript"/>
        <sz val="12"/>
        <rFont val="Arial"/>
        <family val="0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vertAlign val="subscript"/>
        <sz val="12"/>
        <rFont val="Arial"/>
        <family val="0"/>
      </rPr>
      <t xml:space="preserve">0</t>
    </r>
    <r>
      <rPr>
        <sz val="12"/>
        <rFont val="Arial"/>
        <family val="2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</si>
  <si>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2"/>
        <rFont val="Arial"/>
        <family val="0"/>
      </rPr>
      <t xml:space="preserve">X</t>
    </r>
    <r>
      <rPr>
        <vertAlign val="subscript"/>
        <sz val="12"/>
        <rFont val="Arial"/>
        <family val="0"/>
      </rPr>
      <t xml:space="preserve">CP0,</t>
    </r>
    <r>
      <rPr>
        <sz val="12"/>
        <rFont val="Arial"/>
        <family val="0"/>
      </rPr>
      <t xml:space="preserve"> in aft of Nose Tip</t>
    </r>
  </si>
  <si>
    <r>
      <rPr>
        <sz val="12"/>
        <rFont val="Arial"/>
        <family val="0"/>
      </rPr>
      <t xml:space="preserve">X</t>
    </r>
    <r>
      <rPr>
        <vertAlign val="subscript"/>
        <sz val="12"/>
        <rFont val="Arial"/>
        <family val="0"/>
      </rPr>
      <t xml:space="preserve">CP0</t>
    </r>
    <r>
      <rPr>
        <sz val="12"/>
        <rFont val="Arial"/>
        <family val="0"/>
      </rPr>
      <t xml:space="preserve">, ft aft of Nose Tip</t>
    </r>
  </si>
  <si>
    <t xml:space="preserve">Crossflow Mach number</t>
  </si>
  <si>
    <r>
      <rPr>
        <sz val="12"/>
        <rFont val="Arial"/>
        <family val="0"/>
      </rPr>
      <t xml:space="preserve">Function f</t>
    </r>
    <r>
      <rPr>
        <sz val="12"/>
        <rFont val="Arial"/>
        <family val="2"/>
      </rPr>
      <t xml:space="preserve">1</t>
    </r>
  </si>
  <si>
    <t xml:space="preserve">Crossflow Reynolds number</t>
  </si>
  <si>
    <t xml:space="preserve">Function f2</t>
  </si>
  <si>
    <t xml:space="preserve">Body Aspect Ratio</t>
  </si>
  <si>
    <t xml:space="preserve">Function f3</t>
  </si>
  <si>
    <t xml:space="preserve">Function f4</t>
  </si>
  <si>
    <r>
      <rPr>
        <sz val="12"/>
        <rFont val="Symbol"/>
        <family val="1"/>
        <charset val="2"/>
      </rPr>
      <t xml:space="preserve">a</t>
    </r>
    <r>
      <rPr>
        <sz val="12"/>
        <rFont val="Arial"/>
        <family val="0"/>
      </rPr>
      <t xml:space="preserve">, degrees</t>
    </r>
  </si>
  <si>
    <r>
      <rPr>
        <sz val="12"/>
        <rFont val="Symbol"/>
        <family val="1"/>
        <charset val="2"/>
      </rPr>
      <t xml:space="preserve">a,</t>
    </r>
    <r>
      <rPr>
        <sz val="12"/>
        <rFont val="Arial"/>
        <family val="0"/>
      </rPr>
      <t xml:space="preserve"> radians</t>
    </r>
  </si>
  <si>
    <r>
      <rPr>
        <sz val="12"/>
        <rFont val="Arial"/>
        <family val="0"/>
      </rPr>
      <t xml:space="preserve">M</t>
    </r>
    <r>
      <rPr>
        <vertAlign val="subscript"/>
        <sz val="12"/>
        <rFont val="Arial"/>
        <family val="0"/>
      </rPr>
      <t xml:space="preserve">N</t>
    </r>
  </si>
  <si>
    <r>
      <rPr>
        <sz val="12"/>
        <rFont val="Arial"/>
        <family val="0"/>
      </rPr>
      <t xml:space="preserve">R</t>
    </r>
    <r>
      <rPr>
        <vertAlign val="subscript"/>
        <sz val="12"/>
        <rFont val="Arial"/>
        <family val="0"/>
      </rPr>
      <t xml:space="preserve">EN</t>
    </r>
  </si>
  <si>
    <t xml:space="preserve">f1</t>
  </si>
  <si>
    <t xml:space="preserve">f2</t>
  </si>
  <si>
    <t xml:space="preserve">f3</t>
  </si>
  <si>
    <t xml:space="preserve">f4</t>
  </si>
  <si>
    <r>
      <rPr>
        <sz val="12"/>
        <rFont val="Arial"/>
        <family val="0"/>
      </rPr>
      <t xml:space="preserve">C</t>
    </r>
    <r>
      <rPr>
        <vertAlign val="subscript"/>
        <sz val="12"/>
        <rFont val="Arial"/>
        <family val="0"/>
      </rPr>
      <t xml:space="preserve">DN</t>
    </r>
  </si>
  <si>
    <t xml:space="preserve">η</t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</si>
  <si>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A90</t>
    </r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</si>
  <si>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A</t>
    </r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</si>
  <si>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</si>
  <si>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N</t>
    </r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</si>
  <si>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M</t>
    </r>
    <r>
      <rPr>
        <vertAlign val="subscript"/>
        <sz val="12"/>
        <rFont val="Symbol"/>
        <family val="1"/>
        <charset val="2"/>
      </rPr>
      <t xml:space="preserve">a</t>
    </r>
  </si>
  <si>
    <r>
      <rPr>
        <sz val="12"/>
        <rFont val="Symbol"/>
        <family val="1"/>
        <charset val="2"/>
      </rPr>
      <t xml:space="preserve">a</t>
    </r>
    <r>
      <rPr>
        <sz val="12"/>
        <rFont val="Arial"/>
        <family val="2"/>
      </rPr>
      <t xml:space="preserve">, degrees</t>
    </r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</si>
  <si>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M</t>
    </r>
  </si>
  <si>
    <r>
      <rPr>
        <sz val="12"/>
        <rFont val="Arial"/>
        <family val="2"/>
      </rPr>
      <t xml:space="preserve">C</t>
    </r>
    <r>
      <rPr>
        <vertAlign val="subscript"/>
        <sz val="12"/>
        <rFont val="Arial"/>
        <family val="2"/>
      </rPr>
      <t xml:space="preserve">D</t>
    </r>
  </si>
  <si>
    <r>
      <rPr>
        <sz val="12"/>
        <rFont val="Arial"/>
        <family val="0"/>
      </rPr>
      <t xml:space="preserve">C</t>
    </r>
    <r>
      <rPr>
        <vertAlign val="subscript"/>
        <sz val="12"/>
        <rFont val="Arial"/>
        <family val="0"/>
      </rPr>
      <t xml:space="preserve">M</t>
    </r>
  </si>
  <si>
    <r>
      <rPr>
        <sz val="12"/>
        <rFont val="Arial"/>
        <family val="0"/>
      </rPr>
      <t xml:space="preserve">Trim </t>
    </r>
    <r>
      <rPr>
        <sz val="12"/>
        <rFont val="Symbol"/>
        <family val="1"/>
        <charset val="2"/>
      </rPr>
      <t xml:space="preserve">a</t>
    </r>
    <r>
      <rPr>
        <sz val="12"/>
        <rFont val="Arial"/>
        <family val="0"/>
      </rPr>
      <t xml:space="preserve">, degrees</t>
    </r>
  </si>
  <si>
    <r>
      <rPr>
        <sz val="12"/>
        <rFont val="Arial"/>
        <family val="0"/>
      </rPr>
      <t xml:space="preserve">Trim C</t>
    </r>
    <r>
      <rPr>
        <vertAlign val="subscript"/>
        <sz val="12"/>
        <rFont val="Arial"/>
        <family val="0"/>
      </rPr>
      <t xml:space="preserve">D</t>
    </r>
  </si>
  <si>
    <t xml:space="preserve">-</t>
  </si>
  <si>
    <t xml:space="preserve"> </t>
  </si>
  <si>
    <r>
      <rPr>
        <sz val="12"/>
        <rFont val="Arial"/>
        <family val="0"/>
      </rPr>
      <t xml:space="preserve">C</t>
    </r>
    <r>
      <rPr>
        <vertAlign val="subscript"/>
        <sz val="12"/>
        <rFont val="Arial"/>
        <family val="0"/>
      </rPr>
      <t xml:space="preserve">A180</t>
    </r>
  </si>
  <si>
    <r>
      <rPr>
        <sz val="12"/>
        <rFont val="Arial"/>
        <family val="0"/>
      </rPr>
      <t xml:space="preserve">C</t>
    </r>
    <r>
      <rPr>
        <vertAlign val="subscript"/>
        <sz val="12"/>
        <rFont val="Arial"/>
        <family val="0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vertAlign val="subscript"/>
        <sz val="12"/>
        <rFont val="Arial"/>
        <family val="0"/>
      </rPr>
      <t xml:space="preserve">180</t>
    </r>
    <r>
      <rPr>
        <sz val="12"/>
        <rFont val="Arial"/>
        <family val="0"/>
      </rPr>
      <t xml:space="preserve">, rad</t>
    </r>
    <r>
      <rPr>
        <vertAlign val="superscript"/>
        <sz val="12"/>
        <rFont val="Arial"/>
        <family val="2"/>
      </rPr>
      <t xml:space="preserve">-1</t>
    </r>
  </si>
  <si>
    <r>
      <rPr>
        <sz val="12"/>
        <rFont val="Arial"/>
        <family val="0"/>
      </rPr>
      <t xml:space="preserve">X</t>
    </r>
    <r>
      <rPr>
        <vertAlign val="subscript"/>
        <sz val="12"/>
        <rFont val="Arial"/>
        <family val="0"/>
      </rPr>
      <t xml:space="preserve">CP180,</t>
    </r>
    <r>
      <rPr>
        <sz val="12"/>
        <rFont val="Arial"/>
        <family val="0"/>
      </rPr>
      <t xml:space="preserve"> in aft of Tail Tip</t>
    </r>
  </si>
  <si>
    <r>
      <rPr>
        <sz val="12"/>
        <rFont val="Arial"/>
        <family val="0"/>
      </rPr>
      <t xml:space="preserve">X</t>
    </r>
    <r>
      <rPr>
        <vertAlign val="subscript"/>
        <sz val="12"/>
        <rFont val="Arial"/>
        <family val="0"/>
      </rPr>
      <t xml:space="preserve">CP180</t>
    </r>
    <r>
      <rPr>
        <sz val="12"/>
        <rFont val="Arial"/>
        <family val="0"/>
      </rPr>
      <t xml:space="preserve">, ft aft of Nose Tip</t>
    </r>
  </si>
  <si>
    <r>
      <rPr>
        <sz val="10"/>
        <rFont val="Arial"/>
        <family val="0"/>
      </rPr>
      <t xml:space="preserve">Aerodynamic data near </t>
    </r>
    <r>
      <rPr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 = 0</t>
    </r>
    <r>
      <rPr>
        <sz val="10"/>
        <rFont val="Arial"/>
        <family val="2"/>
      </rPr>
      <t xml:space="preserve">°</t>
    </r>
    <r>
      <rPr>
        <sz val="10"/>
        <rFont val="Arial"/>
        <family val="0"/>
      </rPr>
      <t xml:space="preserve"> and 180</t>
    </r>
    <r>
      <rPr>
        <sz val="10"/>
        <rFont val="Arial"/>
        <family val="2"/>
      </rPr>
      <t xml:space="preserve">°</t>
    </r>
  </si>
  <si>
    <t xml:space="preserve">are found from the appropriate Barrowman</t>
  </si>
  <si>
    <t xml:space="preserve">Equations and Drag Coefficient tools.  For</t>
  </si>
  <si>
    <r>
      <rPr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 =180</t>
    </r>
    <r>
      <rPr>
        <sz val="10"/>
        <rFont val="Arial"/>
        <family val="2"/>
      </rPr>
      <t xml:space="preserve">°</t>
    </r>
    <r>
      <rPr>
        <sz val="10"/>
        <rFont val="Arial"/>
        <family val="0"/>
      </rPr>
      <t xml:space="preserve"> reverse the body so that the aft </t>
    </r>
  </si>
  <si>
    <r>
      <rPr>
        <sz val="10"/>
        <rFont val="Arial"/>
        <family val="0"/>
      </rPr>
      <t xml:space="preserve">faces forward.  The resulting X</t>
    </r>
    <r>
      <rPr>
        <vertAlign val="subscript"/>
        <sz val="10"/>
        <rFont val="Arial"/>
        <family val="2"/>
      </rPr>
      <t xml:space="preserve">CP</t>
    </r>
    <r>
      <rPr>
        <sz val="10"/>
        <rFont val="Arial"/>
        <family val="0"/>
      </rPr>
      <t xml:space="preserve"> must be </t>
    </r>
  </si>
  <si>
    <r>
      <rPr>
        <sz val="10"/>
        <rFont val="Arial"/>
        <family val="0"/>
      </rPr>
      <t xml:space="preserve">corrected for orientation &amp; the sign of C</t>
    </r>
    <r>
      <rPr>
        <vertAlign val="subscript"/>
        <sz val="10"/>
        <rFont val="Arial"/>
        <family val="0"/>
      </rPr>
      <t xml:space="preserve">N</t>
    </r>
    <r>
      <rPr>
        <vertAlign val="subscript"/>
        <sz val="10"/>
        <rFont val="Symbol"/>
        <family val="1"/>
        <charset val="2"/>
      </rPr>
      <t xml:space="preserve">a</t>
    </r>
  </si>
  <si>
    <r>
      <rPr>
        <sz val="10"/>
        <rFont val="Arial"/>
        <family val="0"/>
      </rPr>
      <t xml:space="preserve">must be changed.  The </t>
    </r>
    <r>
      <rPr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 = 0</t>
    </r>
    <r>
      <rPr>
        <sz val="10"/>
        <rFont val="Arial"/>
        <family val="2"/>
      </rPr>
      <t xml:space="preserve">°</t>
    </r>
    <r>
      <rPr>
        <sz val="10"/>
        <rFont val="Arial"/>
        <family val="0"/>
      </rPr>
      <t xml:space="preserve"> and 180</t>
    </r>
    <r>
      <rPr>
        <sz val="10"/>
        <rFont val="Arial"/>
        <family val="2"/>
      </rPr>
      <t xml:space="preserve">°</t>
    </r>
    <r>
      <rPr>
        <sz val="10"/>
        <rFont val="Arial"/>
        <family val="0"/>
      </rPr>
      <t xml:space="preserve"> </t>
    </r>
  </si>
  <si>
    <r>
      <rPr>
        <sz val="10"/>
        <rFont val="Arial"/>
        <family val="0"/>
      </rPr>
      <t xml:space="preserve">results are assumed to be based on S</t>
    </r>
    <r>
      <rPr>
        <vertAlign val="subscript"/>
        <sz val="10"/>
        <rFont val="Arial"/>
        <family val="2"/>
      </rPr>
      <t xml:space="preserve">REF</t>
    </r>
    <r>
      <rPr>
        <sz val="10"/>
        <rFont val="Arial"/>
        <family val="0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</si>
</sst>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2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sz val="12"/>
      <name val="Arial"/>
      <family val="0"/>
    </font>
    <font>
      <vertAlign val="subscript"/>
      <sz val="12"/>
      <name val="Arial"/>
      <family val="0"/>
    </font>
    <font>
      <vertAlign val="superscript"/>
      <sz val="12"/>
      <name val="Arial"/>
      <family val="0"/>
    </font>
    <font>
      <sz val="12"/>
      <name val="Symbol"/>
      <family val="1"/>
      <charset val="2"/>
    </font>
    <font>
      <vertAlign val="subscript"/>
      <sz val="12"/>
      <name val="Symbol"/>
      <family val="1"/>
      <charset val="2"/>
    </font>
    <font>
      <sz val="12"/>
      <name val="Arial"/>
      <family val="2"/>
    </font>
    <font>
      <vertAlign val="superscript"/>
      <sz val="12"/>
      <name val="Arial"/>
      <family val="2"/>
    </font>
    <font>
      <vertAlign val="subscript"/>
      <sz val="12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vertAlign val="subscript"/>
      <sz val="10"/>
      <name val="Arial"/>
      <family val="2"/>
    </font>
    <font>
      <vertAlign val="subscript"/>
      <sz val="10"/>
      <name val="Arial"/>
      <family val="0"/>
    </font>
    <font>
      <vertAlign val="subscript"/>
      <sz val="10"/>
      <name val="Symbol"/>
      <family val="1"/>
      <charset val="2"/>
    </font>
    <font>
      <b val="true"/>
      <sz val="16"/>
      <color rgb="FF000000"/>
      <name val="Arial"/>
      <family val="2"/>
    </font>
    <font>
      <b val="true"/>
      <sz val="14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/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Crossflow function 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Sheet1!$Y$9:$Y$36</c:f>
              <c:numCache>
                <c:formatCode>General</c:formatCode>
                <c:ptCount val="2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0.95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2</c:v>
                </c:pt>
                <c:pt idx="19">
                  <c:v>2.4</c:v>
                </c:pt>
                <c:pt idx="20">
                  <c:v>2.8</c:v>
                </c:pt>
                <c:pt idx="21">
                  <c:v>3.2</c:v>
                </c:pt>
                <c:pt idx="22">
                  <c:v>3.6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</c:numCache>
            </c:numRef>
          </c:xVal>
          <c:yVal>
            <c:numRef>
              <c:f>Sheet1!$Z$9:$Z$36</c:f>
              <c:numCache>
                <c:formatCode>General</c:formatCode>
                <c:ptCount val="28"/>
                <c:pt idx="0">
                  <c:v>1.2</c:v>
                </c:pt>
                <c:pt idx="1">
                  <c:v>1.2</c:v>
                </c:pt>
                <c:pt idx="2">
                  <c:v>1.21</c:v>
                </c:pt>
                <c:pt idx="3">
                  <c:v>1.23</c:v>
                </c:pt>
                <c:pt idx="4">
                  <c:v>1.27</c:v>
                </c:pt>
                <c:pt idx="5">
                  <c:v>1.36</c:v>
                </c:pt>
                <c:pt idx="6">
                  <c:v>1.47</c:v>
                </c:pt>
                <c:pt idx="7">
                  <c:v>1.59</c:v>
                </c:pt>
                <c:pt idx="8">
                  <c:v>1.53</c:v>
                </c:pt>
                <c:pt idx="9">
                  <c:v>1.56</c:v>
                </c:pt>
                <c:pt idx="10">
                  <c:v>1.88</c:v>
                </c:pt>
                <c:pt idx="11">
                  <c:v>1.97</c:v>
                </c:pt>
                <c:pt idx="12">
                  <c:v>1.78</c:v>
                </c:pt>
                <c:pt idx="13">
                  <c:v>1.67</c:v>
                </c:pt>
                <c:pt idx="14">
                  <c:v>1.61</c:v>
                </c:pt>
                <c:pt idx="15">
                  <c:v>1.55</c:v>
                </c:pt>
                <c:pt idx="16">
                  <c:v>1.5</c:v>
                </c:pt>
                <c:pt idx="17">
                  <c:v>1.45</c:v>
                </c:pt>
                <c:pt idx="18">
                  <c:v>1.41</c:v>
                </c:pt>
                <c:pt idx="19">
                  <c:v>1.37</c:v>
                </c:pt>
                <c:pt idx="20">
                  <c:v>1.34</c:v>
                </c:pt>
                <c:pt idx="21">
                  <c:v>1.32</c:v>
                </c:pt>
                <c:pt idx="22">
                  <c:v>1.3</c:v>
                </c:pt>
                <c:pt idx="23">
                  <c:v>1.29</c:v>
                </c:pt>
                <c:pt idx="24">
                  <c:v>1.27</c:v>
                </c:pt>
                <c:pt idx="25">
                  <c:v>1.26</c:v>
                </c:pt>
                <c:pt idx="26">
                  <c:v>1.25</c:v>
                </c:pt>
                <c:pt idx="27">
                  <c:v>1.25</c:v>
                </c:pt>
              </c:numCache>
            </c:numRef>
          </c:yVal>
          <c:smooth val="1"/>
        </c:ser>
        <c:axId val="74573205"/>
        <c:axId val="97986019"/>
      </c:scatterChart>
      <c:valAx>
        <c:axId val="74573205"/>
        <c:scaling>
          <c:orientation val="minMax"/>
          <c:max val="8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Crossflow 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986019"/>
        <c:crossesAt val="0"/>
        <c:crossBetween val="midCat"/>
        <c:majorUnit val="1"/>
      </c:valAx>
      <c:valAx>
        <c:axId val="97986019"/>
        <c:scaling>
          <c:orientation val="minMax"/>
          <c:max val="2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Function f1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4573205"/>
        <c:crossesAt val="0"/>
        <c:crossBetween val="midCat"/>
        <c:majorUnit val="0.5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Crossflow Function 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31645052588584"/>
          <c:y val="0.173166202414113"/>
          <c:w val="0.912948024098846"/>
          <c:h val="0.723862581244197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Sheet1!$AA$9:$AA$26</c:f>
              <c:numCache>
                <c:formatCode>0.00E+00</c:formatCode>
                <c:ptCount val="18"/>
                <c:pt idx="0">
                  <c:v>0</c:v>
                </c:pt>
                <c:pt idx="1">
                  <c:v>80000</c:v>
                </c:pt>
                <c:pt idx="2">
                  <c:v>100000</c:v>
                </c:pt>
                <c:pt idx="3">
                  <c:v>150000</c:v>
                </c:pt>
                <c:pt idx="4">
                  <c:v>200000</c:v>
                </c:pt>
                <c:pt idx="5">
                  <c:v>300000</c:v>
                </c:pt>
                <c:pt idx="6">
                  <c:v>400000</c:v>
                </c:pt>
                <c:pt idx="7">
                  <c:v>500000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1500000</c:v>
                </c:pt>
                <c:pt idx="12">
                  <c:v>2000000</c:v>
                </c:pt>
                <c:pt idx="13">
                  <c:v>3000000</c:v>
                </c:pt>
                <c:pt idx="14">
                  <c:v>4000000</c:v>
                </c:pt>
                <c:pt idx="15">
                  <c:v>5000000</c:v>
                </c:pt>
                <c:pt idx="16">
                  <c:v>6000000</c:v>
                </c:pt>
                <c:pt idx="17">
                  <c:v>8000000</c:v>
                </c:pt>
              </c:numCache>
            </c:numRef>
          </c:xVal>
          <c:yVal>
            <c:numRef>
              <c:f>Sheet1!$AB$9:$AB$26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0.992</c:v>
                </c:pt>
                <c:pt idx="4">
                  <c:v>0.95</c:v>
                </c:pt>
                <c:pt idx="5">
                  <c:v>0.767</c:v>
                </c:pt>
                <c:pt idx="6">
                  <c:v>0.442</c:v>
                </c:pt>
                <c:pt idx="7">
                  <c:v>0.192</c:v>
                </c:pt>
                <c:pt idx="8">
                  <c:v>0.2</c:v>
                </c:pt>
                <c:pt idx="9">
                  <c:v>0.217</c:v>
                </c:pt>
                <c:pt idx="10">
                  <c:v>0.246</c:v>
                </c:pt>
                <c:pt idx="11">
                  <c:v>0.333</c:v>
                </c:pt>
                <c:pt idx="12">
                  <c:v>0.377</c:v>
                </c:pt>
                <c:pt idx="13">
                  <c:v>0.442</c:v>
                </c:pt>
                <c:pt idx="14">
                  <c:v>0.475</c:v>
                </c:pt>
                <c:pt idx="15">
                  <c:v>0.508</c:v>
                </c:pt>
                <c:pt idx="16">
                  <c:v>0.525</c:v>
                </c:pt>
                <c:pt idx="17">
                  <c:v>0.542</c:v>
                </c:pt>
              </c:numCache>
            </c:numRef>
          </c:yVal>
          <c:smooth val="1"/>
        </c:ser>
        <c:axId val="66593042"/>
        <c:axId val="2264823"/>
      </c:scatterChart>
      <c:valAx>
        <c:axId val="66593042"/>
        <c:scaling>
          <c:logBase val="10"/>
          <c:orientation val="minMax"/>
          <c:max val="10000000"/>
          <c:min val="1000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Crossflow Reynolds number</a:t>
                </a:r>
              </a:p>
            </c:rich>
          </c:tx>
          <c:layout>
            <c:manualLayout>
              <c:xMode val="edge"/>
              <c:yMode val="edge"/>
              <c:x val="0.331920759726335"/>
              <c:y val="0.873816155988858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64823"/>
        <c:crossesAt val="0"/>
        <c:crossBetween val="midCat"/>
      </c:valAx>
      <c:valAx>
        <c:axId val="226482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Function f2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593042"/>
        <c:crossesAt val="1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Crossflow Function f3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Sheet1!$AC$9:$AC$24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28</c:v>
                </c:pt>
                <c:pt idx="13">
                  <c:v>32</c:v>
                </c:pt>
                <c:pt idx="14">
                  <c:v>36</c:v>
                </c:pt>
                <c:pt idx="15">
                  <c:v>40</c:v>
                </c:pt>
              </c:numCache>
            </c:numRef>
          </c:xVal>
          <c:yVal>
            <c:numRef>
              <c:f>Sheet1!$AD$9:$AD$24</c:f>
              <c:numCache>
                <c:formatCode>General</c:formatCode>
                <c:ptCount val="16"/>
                <c:pt idx="0">
                  <c:v>0.53</c:v>
                </c:pt>
                <c:pt idx="1">
                  <c:v>0.56</c:v>
                </c:pt>
                <c:pt idx="2">
                  <c:v>0.58</c:v>
                </c:pt>
                <c:pt idx="3">
                  <c:v>0.6</c:v>
                </c:pt>
                <c:pt idx="4">
                  <c:v>0.62</c:v>
                </c:pt>
                <c:pt idx="5">
                  <c:v>0.635</c:v>
                </c:pt>
                <c:pt idx="6">
                  <c:v>0.66</c:v>
                </c:pt>
                <c:pt idx="7">
                  <c:v>0.68</c:v>
                </c:pt>
                <c:pt idx="8">
                  <c:v>0.695</c:v>
                </c:pt>
                <c:pt idx="9">
                  <c:v>0.725</c:v>
                </c:pt>
                <c:pt idx="10">
                  <c:v>0.75</c:v>
                </c:pt>
                <c:pt idx="11">
                  <c:v>0.77</c:v>
                </c:pt>
                <c:pt idx="12">
                  <c:v>0.785</c:v>
                </c:pt>
                <c:pt idx="13">
                  <c:v>0.795</c:v>
                </c:pt>
                <c:pt idx="14">
                  <c:v>0.805</c:v>
                </c:pt>
                <c:pt idx="15">
                  <c:v>0.815</c:v>
                </c:pt>
              </c:numCache>
            </c:numRef>
          </c:yVal>
          <c:smooth val="1"/>
        </c:ser>
        <c:axId val="62737472"/>
        <c:axId val="74687427"/>
      </c:scatterChart>
      <c:valAx>
        <c:axId val="62737472"/>
        <c:scaling>
          <c:orientation val="minMax"/>
          <c:max val="4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Profile Aspect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4687427"/>
        <c:crossesAt val="0"/>
        <c:crossBetween val="midCat"/>
        <c:majorUnit val="5"/>
      </c:valAx>
      <c:valAx>
        <c:axId val="7468742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Function f3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737472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Crossflow Function f4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Sheet1!$AE$9:$AE$22</c:f>
              <c:numCache>
                <c:formatCode>General</c:formatCode>
                <c:ptCount val="1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1.6</c:v>
                </c:pt>
              </c:numCache>
            </c:numRef>
          </c:xVal>
          <c:yVal>
            <c:numRef>
              <c:f>Sheet1!$AF$9:$AF$22</c:f>
              <c:numCache>
                <c:formatCode>General</c:formatCode>
                <c:ptCount val="14"/>
                <c:pt idx="0">
                  <c:v>0.69</c:v>
                </c:pt>
                <c:pt idx="1">
                  <c:v>0.7</c:v>
                </c:pt>
                <c:pt idx="2">
                  <c:v>0.73</c:v>
                </c:pt>
                <c:pt idx="3">
                  <c:v>0.76</c:v>
                </c:pt>
                <c:pt idx="4">
                  <c:v>0.82</c:v>
                </c:pt>
                <c:pt idx="5">
                  <c:v>0.9</c:v>
                </c:pt>
                <c:pt idx="6">
                  <c:v>0.99</c:v>
                </c:pt>
                <c:pt idx="7">
                  <c:v>0.98</c:v>
                </c:pt>
                <c:pt idx="8">
                  <c:v>0.8</c:v>
                </c:pt>
                <c:pt idx="9">
                  <c:v>0.9</c:v>
                </c:pt>
                <c:pt idx="10">
                  <c:v>0.96</c:v>
                </c:pt>
                <c:pt idx="11">
                  <c:v>0.99</c:v>
                </c:pt>
                <c:pt idx="12">
                  <c:v>1</c:v>
                </c:pt>
                <c:pt idx="13">
                  <c:v>1</c:v>
                </c:pt>
              </c:numCache>
            </c:numRef>
          </c:yVal>
          <c:smooth val="1"/>
        </c:ser>
        <c:axId val="76478629"/>
        <c:axId val="47980132"/>
      </c:scatterChart>
      <c:valAx>
        <c:axId val="76478629"/>
        <c:scaling>
          <c:orientation val="minMax"/>
          <c:max val="1.6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Crossflow 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980132"/>
        <c:crossesAt val="0"/>
        <c:crossBetween val="midCat"/>
        <c:majorUnit val="0.2"/>
      </c:valAx>
      <c:valAx>
        <c:axId val="4798013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Function f4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6478629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High Alpha Aerodynamics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Sheet1!$AX$8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Sheet1!$AW$9:$AW$189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xVal>
          <c:yVal>
            <c:numRef>
              <c:f>Sheet1!$AX$9:$AX$189</c:f>
              <c:numCache>
                <c:formatCode>General</c:formatCode>
                <c:ptCount val="181"/>
              </c:numCache>
            </c:numRef>
          </c:yVal>
          <c:smooth val="1"/>
        </c:ser>
        <c:ser>
          <c:idx val="1"/>
          <c:order val="1"/>
          <c:tx>
            <c:strRef>
              <c:f>Sheet1!$AY$8</c:f>
              <c:strCache>
                <c:ptCount val="1"/>
                <c:pt idx="0">
                  <c:v>CD</c:v>
                </c:pt>
              </c:strCache>
            </c:strRef>
          </c:tx>
          <c:spPr>
            <a:solidFill>
              <a:srgbClr val="ff00ff"/>
            </a:solidFill>
            <a:ln w="252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Sheet1!$AW$9:$AW$189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xVal>
          <c:yVal>
            <c:numRef>
              <c:f>Sheet1!$AY$9:$AY$189</c:f>
              <c:numCache>
                <c:formatCode>General</c:formatCode>
                <c:ptCount val="181"/>
              </c:numCache>
            </c:numRef>
          </c:yVal>
          <c:smooth val="1"/>
        </c:ser>
        <c:axId val="26284305"/>
        <c:axId val="55774084"/>
      </c:scatterChart>
      <c:valAx>
        <c:axId val="26284305"/>
        <c:scaling>
          <c:orientation val="minMax"/>
          <c:max val="18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Angle of Attack, degrees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5774084"/>
        <c:crossesAt val="0"/>
        <c:crossBetween val="midCat"/>
        <c:majorUnit val="30"/>
      </c:valAx>
      <c:valAx>
        <c:axId val="5577408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284305"/>
        <c:crossesAt val="0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rgbClr val="000000"/>
                </a:solidFill>
                <a:uFillTx/>
                <a:latin typeface="Arial"/>
              </a:rPr>
              <a:t>Body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Sheet1!$D$11:$D$14</c:f>
              <c:numCache>
                <c:formatCode>General</c:formatCode>
                <c:ptCount val="4"/>
                <c:pt idx="0">
                  <c:v>0</c:v>
                </c:pt>
                <c:pt idx="1">
                  <c:v>14</c:v>
                </c:pt>
                <c:pt idx="2">
                  <c:v>32</c:v>
                </c:pt>
                <c:pt idx="3">
                  <c:v>108</c:v>
                </c:pt>
              </c:numCache>
            </c:numRef>
          </c:xVal>
          <c:yVal>
            <c:numRef>
              <c:f>Sheet1!$E$11:$E$14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Sheet1!$D$11:$D$14</c:f>
              <c:numCache>
                <c:formatCode>General</c:formatCode>
                <c:ptCount val="4"/>
                <c:pt idx="0">
                  <c:v>0</c:v>
                </c:pt>
                <c:pt idx="1">
                  <c:v>14</c:v>
                </c:pt>
                <c:pt idx="2">
                  <c:v>32</c:v>
                </c:pt>
                <c:pt idx="3">
                  <c:v>108</c:v>
                </c:pt>
              </c:numCache>
            </c:numRef>
          </c:xVal>
          <c:yVal>
            <c:numRef>
              <c:f>Sheet1!$F$11:$F$14</c:f>
              <c:numCache>
                <c:formatCode>General</c:formatCode>
                <c:ptCount val="4"/>
                <c:pt idx="0">
                  <c:v>-0</c:v>
                </c:pt>
                <c:pt idx="1">
                  <c:v>-2</c:v>
                </c:pt>
                <c:pt idx="2">
                  <c:v>-3</c:v>
                </c:pt>
                <c:pt idx="3">
                  <c:v>-3</c:v>
                </c:pt>
              </c:numCache>
            </c:numRef>
          </c:yVal>
          <c:smooth val="0"/>
        </c:ser>
        <c:axId val="66879347"/>
        <c:axId val="7277363"/>
      </c:scatterChart>
      <c:valAx>
        <c:axId val="66879347"/>
        <c:scaling>
          <c:orientation val="minMax"/>
          <c:max val="11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 Aft of Nose Tip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77363"/>
        <c:crossesAt val="0"/>
        <c:crossBetween val="midCat"/>
        <c:majorUnit val="10"/>
      </c:valAx>
      <c:valAx>
        <c:axId val="727736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Diameter, 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879347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10440</xdr:colOff>
      <xdr:row>37</xdr:row>
      <xdr:rowOff>9360</xdr:rowOff>
    </xdr:from>
    <xdr:to>
      <xdr:col>12</xdr:col>
      <xdr:colOff>262440</xdr:colOff>
      <xdr:row>60</xdr:row>
      <xdr:rowOff>162000</xdr:rowOff>
    </xdr:to>
    <xdr:graphicFrame>
      <xdr:nvGraphicFramePr>
        <xdr:cNvPr id="1" name="Chart 1"/>
        <xdr:cNvGraphicFramePr/>
      </xdr:nvGraphicFramePr>
      <xdr:xfrm>
        <a:off x="5829480" y="6762600"/>
        <a:ext cx="6934320" cy="387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37</xdr:row>
      <xdr:rowOff>0</xdr:rowOff>
    </xdr:from>
    <xdr:to>
      <xdr:col>22</xdr:col>
      <xdr:colOff>694800</xdr:colOff>
      <xdr:row>60</xdr:row>
      <xdr:rowOff>152640</xdr:rowOff>
    </xdr:to>
    <xdr:graphicFrame>
      <xdr:nvGraphicFramePr>
        <xdr:cNvPr id="2" name="Chart 2"/>
        <xdr:cNvGraphicFramePr/>
      </xdr:nvGraphicFramePr>
      <xdr:xfrm>
        <a:off x="13527360" y="6753240"/>
        <a:ext cx="7050600" cy="387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62</xdr:row>
      <xdr:rowOff>142920</xdr:rowOff>
    </xdr:from>
    <xdr:to>
      <xdr:col>12</xdr:col>
      <xdr:colOff>282600</xdr:colOff>
      <xdr:row>86</xdr:row>
      <xdr:rowOff>133200</xdr:rowOff>
    </xdr:to>
    <xdr:graphicFrame>
      <xdr:nvGraphicFramePr>
        <xdr:cNvPr id="3" name="Chart 3"/>
        <xdr:cNvGraphicFramePr/>
      </xdr:nvGraphicFramePr>
      <xdr:xfrm>
        <a:off x="5819040" y="10944360"/>
        <a:ext cx="696492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63</xdr:row>
      <xdr:rowOff>0</xdr:rowOff>
    </xdr:from>
    <xdr:to>
      <xdr:col>22</xdr:col>
      <xdr:colOff>734760</xdr:colOff>
      <xdr:row>86</xdr:row>
      <xdr:rowOff>152280</xdr:rowOff>
    </xdr:to>
    <xdr:graphicFrame>
      <xdr:nvGraphicFramePr>
        <xdr:cNvPr id="4" name="Chart 4"/>
        <xdr:cNvGraphicFramePr/>
      </xdr:nvGraphicFramePr>
      <xdr:xfrm>
        <a:off x="13527360" y="10963440"/>
        <a:ext cx="709056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60480</xdr:colOff>
      <xdr:row>37</xdr:row>
      <xdr:rowOff>0</xdr:rowOff>
    </xdr:from>
    <xdr:to>
      <xdr:col>32</xdr:col>
      <xdr:colOff>720</xdr:colOff>
      <xdr:row>60</xdr:row>
      <xdr:rowOff>152640</xdr:rowOff>
    </xdr:to>
    <xdr:graphicFrame>
      <xdr:nvGraphicFramePr>
        <xdr:cNvPr id="5" name="Chart 5"/>
        <xdr:cNvGraphicFramePr/>
      </xdr:nvGraphicFramePr>
      <xdr:xfrm>
        <a:off x="20828880" y="6753240"/>
        <a:ext cx="8099280" cy="387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60480</xdr:colOff>
      <xdr:row>63</xdr:row>
      <xdr:rowOff>0</xdr:rowOff>
    </xdr:from>
    <xdr:to>
      <xdr:col>32</xdr:col>
      <xdr:colOff>720</xdr:colOff>
      <xdr:row>86</xdr:row>
      <xdr:rowOff>152280</xdr:rowOff>
    </xdr:to>
    <xdr:graphicFrame>
      <xdr:nvGraphicFramePr>
        <xdr:cNvPr id="6" name="Chart 6"/>
        <xdr:cNvGraphicFramePr/>
      </xdr:nvGraphicFramePr>
      <xdr:xfrm>
        <a:off x="20828880" y="10963440"/>
        <a:ext cx="809928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6:BE18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15.56"/>
    <col collapsed="false" customWidth="true" hidden="false" outlineLevel="0" max="5" min="5" style="0" width="18.28"/>
    <col collapsed="false" customWidth="true" hidden="false" outlineLevel="0" max="6" min="6" style="0" width="21.56"/>
    <col collapsed="false" customWidth="true" hidden="false" outlineLevel="0" max="7" min="7" style="0" width="15.28"/>
    <col collapsed="false" customWidth="true" hidden="false" outlineLevel="0" max="8" min="8" style="0" width="30.28"/>
    <col collapsed="false" customWidth="true" hidden="false" outlineLevel="0" max="9" min="9" style="0" width="16.7"/>
    <col collapsed="false" customWidth="true" hidden="false" outlineLevel="0" max="10" min="10" style="0" width="10.85"/>
    <col collapsed="false" customWidth="true" hidden="false" outlineLevel="0" max="11" min="11" style="0" width="9.85"/>
    <col collapsed="false" customWidth="true" hidden="false" outlineLevel="0" max="12" min="12" style="0" width="11.85"/>
    <col collapsed="false" customWidth="true" hidden="false" outlineLevel="0" max="13" min="13" style="0" width="14.56"/>
    <col collapsed="false" customWidth="true" hidden="false" outlineLevel="0" max="15" min="15" style="0" width="8.56"/>
    <col collapsed="false" customWidth="true" hidden="false" outlineLevel="0" max="16" min="16" style="0" width="9.56"/>
    <col collapsed="false" customWidth="true" hidden="false" outlineLevel="0" max="17" min="17" style="0" width="8.85"/>
    <col collapsed="false" customWidth="true" hidden="false" outlineLevel="0" max="19" min="19" style="0" width="14.41"/>
    <col collapsed="false" customWidth="true" hidden="false" outlineLevel="0" max="20" min="20" style="0" width="8.85"/>
    <col collapsed="false" customWidth="true" hidden="false" outlineLevel="0" max="21" min="21" style="0" width="8.14"/>
    <col collapsed="false" customWidth="true" hidden="false" outlineLevel="0" max="22" min="22" style="0" width="13.7"/>
    <col collapsed="false" customWidth="true" hidden="false" outlineLevel="0" max="23" min="23" style="0" width="12.56"/>
    <col collapsed="false" customWidth="true" hidden="false" outlineLevel="0" max="24" min="24" style="0" width="13.14"/>
    <col collapsed="false" customWidth="true" hidden="false" outlineLevel="0" max="25" min="25" style="0" width="14.99"/>
    <col collapsed="false" customWidth="true" hidden="false" outlineLevel="0" max="26" min="26" style="0" width="10.56"/>
    <col collapsed="false" customWidth="true" hidden="false" outlineLevel="0" max="27" min="27" style="0" width="18.56"/>
    <col collapsed="false" customWidth="true" hidden="false" outlineLevel="0" max="28" min="28" style="0" width="10.41"/>
    <col collapsed="false" customWidth="true" hidden="false" outlineLevel="0" max="29" min="29" style="0" width="13.85"/>
    <col collapsed="false" customWidth="true" hidden="false" outlineLevel="0" max="30" min="30" style="0" width="9.41"/>
    <col collapsed="false" customWidth="true" hidden="false" outlineLevel="0" max="31" min="31" style="0" width="14.99"/>
    <col collapsed="false" customWidth="true" hidden="false" outlineLevel="0" max="32" min="32" style="0" width="9.85"/>
    <col collapsed="false" customWidth="true" hidden="false" outlineLevel="0" max="34" min="34" style="0" width="8.56"/>
    <col collapsed="false" customWidth="true" hidden="false" outlineLevel="0" max="56" min="56" style="0" width="9.85"/>
  </cols>
  <sheetData>
    <row r="6" customFormat="false" ht="18" hidden="false" customHeight="false" outlineLevel="0" collapsed="false">
      <c r="D6" s="1" t="s">
        <v>0</v>
      </c>
      <c r="G6" s="1" t="s">
        <v>1</v>
      </c>
      <c r="H6" s="1"/>
      <c r="N6" s="1" t="s">
        <v>2</v>
      </c>
      <c r="T6" s="1" t="s">
        <v>3</v>
      </c>
    </row>
    <row r="8" customFormat="false" ht="37.5" hidden="false" customHeight="true" outlineLevel="0" collapsed="false"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3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19</v>
      </c>
      <c r="T8" s="2" t="s">
        <v>20</v>
      </c>
      <c r="U8" s="2" t="s">
        <v>21</v>
      </c>
      <c r="V8" s="2" t="s">
        <v>22</v>
      </c>
      <c r="W8" s="2" t="s">
        <v>23</v>
      </c>
      <c r="Y8" s="2" t="s">
        <v>24</v>
      </c>
      <c r="Z8" s="2" t="s">
        <v>25</v>
      </c>
      <c r="AA8" s="2" t="s">
        <v>26</v>
      </c>
      <c r="AB8" s="2" t="s">
        <v>27</v>
      </c>
      <c r="AC8" s="2" t="s">
        <v>28</v>
      </c>
      <c r="AD8" s="2" t="s">
        <v>29</v>
      </c>
      <c r="AE8" s="2" t="s">
        <v>24</v>
      </c>
      <c r="AF8" s="2" t="s">
        <v>30</v>
      </c>
      <c r="AG8" s="4" t="s">
        <v>31</v>
      </c>
      <c r="AH8" s="4" t="s">
        <v>32</v>
      </c>
      <c r="AI8" s="2" t="s">
        <v>33</v>
      </c>
      <c r="AJ8" s="2" t="s">
        <v>34</v>
      </c>
      <c r="AK8" s="2" t="s">
        <v>35</v>
      </c>
      <c r="AL8" s="2" t="s">
        <v>36</v>
      </c>
      <c r="AM8" s="2" t="s">
        <v>36</v>
      </c>
      <c r="AN8" s="2" t="s">
        <v>37</v>
      </c>
      <c r="AO8" s="2" t="s">
        <v>38</v>
      </c>
      <c r="AP8" s="2" t="s">
        <v>39</v>
      </c>
      <c r="AQ8" s="5" t="s">
        <v>40</v>
      </c>
      <c r="AR8" s="5" t="s">
        <v>41</v>
      </c>
      <c r="AS8" s="5" t="s">
        <v>42</v>
      </c>
      <c r="AT8" s="5" t="s">
        <v>43</v>
      </c>
      <c r="AU8" s="5" t="s">
        <v>44</v>
      </c>
      <c r="AV8" s="5" t="s">
        <v>45</v>
      </c>
      <c r="AW8" s="4" t="s">
        <v>46</v>
      </c>
      <c r="AX8" s="5" t="s">
        <v>47</v>
      </c>
      <c r="AY8" s="5" t="s">
        <v>48</v>
      </c>
      <c r="AZ8" s="2" t="s">
        <v>49</v>
      </c>
      <c r="BA8" s="4" t="s">
        <v>31</v>
      </c>
      <c r="BB8" s="6"/>
      <c r="BC8" s="7"/>
      <c r="BD8" s="2" t="s">
        <v>50</v>
      </c>
      <c r="BE8" s="2" t="s">
        <v>51</v>
      </c>
    </row>
    <row r="9" customFormat="false" ht="12.75" hidden="false" customHeight="false" outlineLevel="0" collapsed="false">
      <c r="D9" s="8" t="n">
        <v>2</v>
      </c>
      <c r="E9" s="9" t="n">
        <v>2000000</v>
      </c>
      <c r="F9" s="8" t="n">
        <v>59</v>
      </c>
      <c r="G9" s="8" t="n">
        <v>0</v>
      </c>
      <c r="H9" s="8" t="n">
        <v>0</v>
      </c>
      <c r="I9" s="8" t="n">
        <v>0</v>
      </c>
      <c r="J9" s="10" t="n">
        <f aca="false">PI()*K9^2/4</f>
        <v>0.196349540849362</v>
      </c>
      <c r="K9" s="10" t="n">
        <f aca="false">2*MAX(I9:I28)/12</f>
        <v>0.5</v>
      </c>
      <c r="L9" s="11" t="s">
        <v>52</v>
      </c>
      <c r="M9" s="12" t="s">
        <v>52</v>
      </c>
      <c r="N9" s="13" t="s">
        <v>53</v>
      </c>
      <c r="O9" s="14" t="s">
        <v>53</v>
      </c>
      <c r="P9" s="14" t="s">
        <v>53</v>
      </c>
      <c r="Q9" s="15" t="s">
        <v>53</v>
      </c>
      <c r="R9" s="16" t="s">
        <v>53</v>
      </c>
      <c r="S9" s="17"/>
      <c r="T9" s="8" t="n">
        <v>0.45</v>
      </c>
      <c r="U9" s="8" t="n">
        <v>2.2</v>
      </c>
      <c r="V9" s="8" t="n">
        <v>38</v>
      </c>
      <c r="W9" s="18" t="n">
        <f aca="false">V9/12</f>
        <v>3.16666666666667</v>
      </c>
      <c r="Y9" s="14" t="n">
        <v>0</v>
      </c>
      <c r="Z9" s="0" t="n">
        <v>1.2</v>
      </c>
      <c r="AA9" s="19" t="n">
        <v>0</v>
      </c>
      <c r="AB9" s="0" t="n">
        <v>1</v>
      </c>
      <c r="AC9" s="0" t="n">
        <v>1</v>
      </c>
      <c r="AD9" s="0" t="n">
        <v>0.53</v>
      </c>
      <c r="AE9" s="0" t="n">
        <v>0</v>
      </c>
      <c r="AF9" s="0" t="n">
        <v>0.69</v>
      </c>
      <c r="AG9" s="0" t="n">
        <v>0</v>
      </c>
      <c r="AH9" s="0" t="n">
        <f aca="false">AG9*PI()/180</f>
        <v>0</v>
      </c>
      <c r="AI9" s="0" t="n">
        <f aca="false">$D$9*SIN(AH9)</f>
        <v>0</v>
      </c>
      <c r="AJ9" s="19" t="n">
        <f aca="false">$E$9*$Q$10*SIN(AH9)/$K$9</f>
        <v>0</v>
      </c>
      <c r="AK9" s="0" t="e">
        <f aca="false">interpfn($Y$9:$Z$36,AI9,2)</f>
        <v>#VALUE!</v>
      </c>
      <c r="AL9" s="0" t="e">
        <f aca="false">interpfn($AA$9:$AB$27,AJ9,2)</f>
        <v>#VALUE!</v>
      </c>
      <c r="AM9" s="0" t="e">
        <f aca="false">IF(AI9&gt;0.45,1,AL9)</f>
        <v>#VALUE!</v>
      </c>
      <c r="AN9" s="0" t="e">
        <f aca="false">interpfn(AC9:AD24,R10,2)</f>
        <v>#VALUE!</v>
      </c>
      <c r="AO9" s="0" t="e">
        <f aca="false">interpfn($AE$9:$AF$22,AI9,2)</f>
        <v>#VALUE!</v>
      </c>
      <c r="AP9" s="0" t="e">
        <f aca="false">AK9*AM9</f>
        <v>#VALUE!</v>
      </c>
      <c r="AQ9" s="0" t="e">
        <f aca="false">$AN$9*AO9</f>
        <v>#VALUE!</v>
      </c>
      <c r="AR9" s="18" t="e">
        <f aca="false">3*PI()*AQ9*AP9*O29/(8*$J$9)</f>
        <v>#VALUE!</v>
      </c>
      <c r="AS9" s="0" t="e">
        <f aca="false">$T$9*(COS(AH9))^2+$AR$9*(SIN(AH9))^2</f>
        <v>#VALUE!</v>
      </c>
      <c r="AT9" s="0" t="e">
        <f aca="false">($U$9/2)*(2*COS(2*AH9)*COS(AH9/2)-SIN(2*AH9)*SIN(AH9/2)/2)+2*AQ9*AP9*$N$29*SIN(AH9)*COS(AH9)/$J$9</f>
        <v>#VALUE!</v>
      </c>
      <c r="AU9" s="0" t="e">
        <f aca="false">($U$9/2)*(SIN(2*AH9)*COS(AH9/2))+AQ9*AP9*$N$29*(SIN(AH9))^2/$J$9</f>
        <v>#VALUE!</v>
      </c>
      <c r="AV9" s="0" t="e">
        <f aca="false">($U$9*($F$9/12-$W$9)/(2*$K$9))*(2*COS(2*AH9)*COS(AH9/2)-SIN(2*AH9)*SIN(AH9/2)/2)+2*AP9*AQ9*$N$29*($F$9/12-$S$10)*SIN(AH9)*COS(AH9)/($J$9*$K$9)</f>
        <v>#VALUE!</v>
      </c>
      <c r="AW9" s="0" t="n">
        <f aca="false">AG9</f>
        <v>0</v>
      </c>
      <c r="AX9" s="0" t="e">
        <f aca="false">$U$9*($F$9/12-$W$9)/(2*$K$9)*SIN(2*AH9)*COS(AH9/2)+AP9*AQ9*$N$29*($F$9/12-$S$10)*(SIN(AH9))^2/($J$9*$K$9)</f>
        <v>#VALUE!</v>
      </c>
      <c r="AY9" s="0" t="e">
        <f aca="false">AS9*COS(AH9)+AU9*SIN(AH9)</f>
        <v>#VALUE!</v>
      </c>
      <c r="AZ9" s="0" t="e">
        <f aca="false">AX9</f>
        <v>#VALUE!</v>
      </c>
      <c r="BA9" s="0" t="n">
        <f aca="false">AW9</f>
        <v>0</v>
      </c>
      <c r="BB9" s="0" t="e">
        <f aca="false">IF(AND(AV9&lt;0,AZ9*AZ10&lt;0),BA9+(BA10-BA9)*AZ9/(AZ10-AZ9),"")</f>
        <v>#VALUE!</v>
      </c>
      <c r="BC9" s="0" t="e">
        <f aca="false">IF(AND(AV9&lt;0,AZ9*AZ10&lt;0),AY9+(AY10-AY9)*AZ9/(AZ10-AZ9),"")</f>
        <v>#VALUE!</v>
      </c>
      <c r="BD9" s="18" t="e">
        <f aca="false">SUM(BB9:BB189)</f>
        <v>#VALUE!</v>
      </c>
      <c r="BE9" s="18" t="e">
        <f aca="false">SUM(BC9:BC1899)</f>
        <v>#VALUE!</v>
      </c>
    </row>
    <row r="10" customFormat="false" ht="12.75" hidden="false" customHeight="false" outlineLevel="0" collapsed="false">
      <c r="G10" s="8" t="n">
        <v>1</v>
      </c>
      <c r="H10" s="8" t="n">
        <v>14</v>
      </c>
      <c r="I10" s="8" t="n">
        <v>2</v>
      </c>
      <c r="J10" s="20"/>
      <c r="K10" s="20"/>
      <c r="L10" s="21" t="n">
        <f aca="false">(H10-H9)/12</f>
        <v>1.16666666666667</v>
      </c>
      <c r="M10" s="22" t="n">
        <f aca="false">ATAN((I10-I9)/(12*L10))</f>
        <v>0.141897054604164</v>
      </c>
      <c r="N10" s="22" t="n">
        <f aca="false">(I9+I10)*L10*(COS(M10)^2)/12</f>
        <v>0.190555555555556</v>
      </c>
      <c r="O10" s="22" t="n">
        <f aca="false">(I9+I10)*L10*COS(M10)*SIN(M10)/12</f>
        <v>0.0272222222222222</v>
      </c>
      <c r="P10" s="0" t="n">
        <f aca="false">L10^2*(I9+2*I10)*(COS(M10))^2/36+H9*(I9+I10)*L10*(COS(M10)^2)/144</f>
        <v>0.14820987654321</v>
      </c>
      <c r="Q10" s="18" t="n">
        <f aca="false">12*N29/L29</f>
        <v>0.442255460588794</v>
      </c>
      <c r="R10" s="18" t="n">
        <f aca="false">L29^2/(144*N29)</f>
        <v>20.350229227284</v>
      </c>
      <c r="S10" s="18" t="n">
        <f aca="false">P29/N29</f>
        <v>4.98601134982243</v>
      </c>
      <c r="Y10" s="0" t="n">
        <v>0.1</v>
      </c>
      <c r="Z10" s="0" t="n">
        <v>1.2</v>
      </c>
      <c r="AA10" s="19" t="n">
        <v>80000</v>
      </c>
      <c r="AB10" s="0" t="n">
        <v>1</v>
      </c>
      <c r="AC10" s="0" t="n">
        <v>2</v>
      </c>
      <c r="AD10" s="0" t="n">
        <v>0.56</v>
      </c>
      <c r="AE10" s="0" t="n">
        <v>0.2</v>
      </c>
      <c r="AF10" s="0" t="n">
        <v>0.7</v>
      </c>
      <c r="AG10" s="0" t="n">
        <f aca="false">AG9+1</f>
        <v>1</v>
      </c>
      <c r="AH10" s="0" t="n">
        <f aca="false">AG10*PI()/180</f>
        <v>0.0174532925199433</v>
      </c>
      <c r="AI10" s="0" t="n">
        <f aca="false">$D$9*SIN(AH10)</f>
        <v>0.034904812874567</v>
      </c>
      <c r="AJ10" s="19" t="n">
        <f aca="false">$E$9*$Q$10*SIN(AH10)/$K$9</f>
        <v>30873.6881892146</v>
      </c>
      <c r="AK10" s="0" t="e">
        <f aca="false">interpfn($Y$9:$Z$36,AI10,2)</f>
        <v>#VALUE!</v>
      </c>
      <c r="AL10" s="0" t="e">
        <f aca="false">interpfn($AA$9:$AB$27,AJ10,2)</f>
        <v>#VALUE!</v>
      </c>
      <c r="AM10" s="0" t="e">
        <f aca="false">IF(AI10&gt;0.45,1,AL10)</f>
        <v>#VALUE!</v>
      </c>
      <c r="AO10" s="0" t="e">
        <f aca="false">interpfn($AE$9:$AF$22,AI10,2)</f>
        <v>#VALUE!</v>
      </c>
      <c r="AP10" s="0" t="e">
        <f aca="false">AK10*AM10</f>
        <v>#VALUE!</v>
      </c>
      <c r="AQ10" s="0" t="e">
        <f aca="false">$AN$9*AO10</f>
        <v>#VALUE!</v>
      </c>
      <c r="AS10" s="0" t="e">
        <f aca="false">$T$9*(COS(AH10))^2+$AR$9*(SIN(AH10))^2</f>
        <v>#VALUE!</v>
      </c>
      <c r="AT10" s="0" t="e">
        <f aca="false">($U$9/2)*(2*COS(2*AH10)*COS(AH10/2)-SIN(2*AH10)*SIN(AH10/2)/2)+2*AQ10*AP10*$N$29*SIN(AH10)*COS(AH10)/$J$9</f>
        <v>#VALUE!</v>
      </c>
      <c r="AU10" s="0" t="e">
        <f aca="false">($U$9/2)*(SIN(2*AH10)*COS(AH10/2))+AQ10*AP10*$N$29*(SIN(AH10))^2/$J$9</f>
        <v>#VALUE!</v>
      </c>
      <c r="AV10" s="0" t="e">
        <f aca="false">($U$9*($F$9/12-$W$9)/(2*$K$9))*(2*COS(2*AH10)*COS(AH10/2)-SIN(2*AH10)*SIN(AH10/2)/2)+2*AP10*AQ10*$N$29*($F$9/12-$S$10)*SIN(AH10)*COS(AH10)/($J$9*$K$9)</f>
        <v>#VALUE!</v>
      </c>
      <c r="AW10" s="0" t="n">
        <f aca="false">AG10</f>
        <v>1</v>
      </c>
      <c r="AX10" s="0" t="e">
        <f aca="false">$U$9*($F$9/12-$W$9)/(2*$K$9)*SIN(2*AH10)*COS(AH10/2)+AP10*AQ10*$N$29*($F$9/12-$S$10)*(SIN(AH10))^2/($J$9*$K$9)</f>
        <v>#VALUE!</v>
      </c>
      <c r="AY10" s="0" t="e">
        <f aca="false">AS10*COS(AH10)+AU10*SIN(AH10)</f>
        <v>#VALUE!</v>
      </c>
      <c r="AZ10" s="0" t="e">
        <f aca="false">AX10</f>
        <v>#VALUE!</v>
      </c>
      <c r="BA10" s="0" t="n">
        <f aca="false">AW10</f>
        <v>1</v>
      </c>
      <c r="BB10" s="0" t="e">
        <f aca="false">IF(AND(AV10&lt;0,AZ10*AZ11&lt;0),BA10+(BA11-BA10)*AZ10/(AZ11-AZ10),"")</f>
        <v>#VALUE!</v>
      </c>
      <c r="BC10" s="0" t="e">
        <f aca="false">IF(AND(AV10&lt;0,AZ10*AZ11&lt;0),AY10+(AY11-AY10)*AZ10/(AZ11-AZ10),"")</f>
        <v>#VALUE!</v>
      </c>
    </row>
    <row r="11" customFormat="false" ht="12.75" hidden="false" customHeight="false" outlineLevel="0" collapsed="false">
      <c r="D11" s="0" t="n">
        <f aca="false">H9</f>
        <v>0</v>
      </c>
      <c r="E11" s="0" t="n">
        <f aca="false">I9</f>
        <v>0</v>
      </c>
      <c r="F11" s="0" t="n">
        <f aca="false">-I9</f>
        <v>-0</v>
      </c>
      <c r="G11" s="8" t="n">
        <v>2</v>
      </c>
      <c r="H11" s="8" t="n">
        <v>32</v>
      </c>
      <c r="I11" s="8" t="n">
        <v>3</v>
      </c>
      <c r="J11" s="23"/>
      <c r="K11" s="23"/>
      <c r="L11" s="21" t="n">
        <f aca="false">(H11-H10)/12</f>
        <v>1.5</v>
      </c>
      <c r="M11" s="22" t="n">
        <f aca="false">ATAN((I11-I10)/(12*L11))</f>
        <v>0.0554985052457168</v>
      </c>
      <c r="N11" s="22" t="n">
        <f aca="false">(I10+I11)*L11*(COS(M11)^2)/12</f>
        <v>0.623076923076923</v>
      </c>
      <c r="O11" s="22" t="n">
        <f aca="false">(I10+I11)*L11*COS(M11)*SIN(M11)/12</f>
        <v>0.0346153846153846</v>
      </c>
      <c r="P11" s="0" t="n">
        <f aca="false">L11^2*(I10+2*I11)*(COS(M11))^2/36+H10*(I10+I11)*L11*(COS(M11)^2)/144</f>
        <v>1.22538461538462</v>
      </c>
      <c r="Y11" s="0" t="n">
        <v>0.2</v>
      </c>
      <c r="Z11" s="0" t="n">
        <v>1.21</v>
      </c>
      <c r="AA11" s="19" t="n">
        <v>100000</v>
      </c>
      <c r="AB11" s="0" t="n">
        <v>1</v>
      </c>
      <c r="AC11" s="0" t="n">
        <v>3</v>
      </c>
      <c r="AD11" s="0" t="n">
        <v>0.58</v>
      </c>
      <c r="AE11" s="0" t="n">
        <v>0.4</v>
      </c>
      <c r="AF11" s="0" t="n">
        <v>0.73</v>
      </c>
      <c r="AG11" s="0" t="n">
        <f aca="false">AG10+1</f>
        <v>2</v>
      </c>
      <c r="AH11" s="0" t="n">
        <f aca="false">AG11*PI()/180</f>
        <v>0.0349065850398866</v>
      </c>
      <c r="AI11" s="0" t="n">
        <f aca="false">$D$9*SIN(AH11)</f>
        <v>0.0697989934050019</v>
      </c>
      <c r="AJ11" s="19" t="n">
        <f aca="false">$E$9*$Q$10*SIN(AH11)/$K$9</f>
        <v>61737.9719539266</v>
      </c>
      <c r="AK11" s="0" t="e">
        <f aca="false">interpfn($Y$9:$Z$36,AI11,2)</f>
        <v>#VALUE!</v>
      </c>
      <c r="AL11" s="0" t="e">
        <f aca="false">interpfn($AA$9:$AB$27,AJ11,2)</f>
        <v>#VALUE!</v>
      </c>
      <c r="AM11" s="0" t="e">
        <f aca="false">IF(AI11&gt;0.45,1,AL11)</f>
        <v>#VALUE!</v>
      </c>
      <c r="AO11" s="0" t="e">
        <f aca="false">interpfn($AE$9:$AF$22,AI11,2)</f>
        <v>#VALUE!</v>
      </c>
      <c r="AP11" s="0" t="e">
        <f aca="false">AK11*AM11</f>
        <v>#VALUE!</v>
      </c>
      <c r="AQ11" s="0" t="e">
        <f aca="false">$AN$9*AO11</f>
        <v>#VALUE!</v>
      </c>
      <c r="AS11" s="0" t="e">
        <f aca="false">$T$9*(COS(AH11))^2+$AR$9*(SIN(AH11))^2</f>
        <v>#VALUE!</v>
      </c>
      <c r="AT11" s="0" t="e">
        <f aca="false">($U$9/2)*(2*COS(2*AH11)*COS(AH11/2)-SIN(2*AH11)*SIN(AH11/2)/2)+2*AQ11*AP11*$N$29*SIN(AH11)*COS(AH11)/$J$9</f>
        <v>#VALUE!</v>
      </c>
      <c r="AU11" s="0" t="e">
        <f aca="false">($U$9/2)*(SIN(2*AH11)*COS(AH11/2))+AQ11*AP11*$N$29*(SIN(AH11))^2/$J$9</f>
        <v>#VALUE!</v>
      </c>
      <c r="AV11" s="0" t="e">
        <f aca="false">($U$9*($F$9/12-$W$9)/(2*$K$9))*(2*COS(2*AH11)*COS(AH11/2)-SIN(2*AH11)*SIN(AH11/2)/2)+2*AP11*AQ11*$N$29*($F$9/12-$S$10)*SIN(AH11)*COS(AH11)/($J$9*$K$9)</f>
        <v>#VALUE!</v>
      </c>
      <c r="AW11" s="0" t="n">
        <f aca="false">AG11</f>
        <v>2</v>
      </c>
      <c r="AX11" s="0" t="e">
        <f aca="false">$U$9*($F$9/12-$W$9)/(2*$K$9)*SIN(2*AH11)*COS(AH11/2)+AP11*AQ11*$N$29*($F$9/12-$S$10)*(SIN(AH11))^2/($J$9*$K$9)</f>
        <v>#VALUE!</v>
      </c>
      <c r="AY11" s="0" t="e">
        <f aca="false">AS11*COS(AH11)+AU11*SIN(AH11)</f>
        <v>#VALUE!</v>
      </c>
      <c r="AZ11" s="0" t="e">
        <f aca="false">AX11</f>
        <v>#VALUE!</v>
      </c>
      <c r="BA11" s="0" t="n">
        <f aca="false">AW11</f>
        <v>2</v>
      </c>
      <c r="BB11" s="0" t="e">
        <f aca="false">IF(AND(AV11&lt;0,AZ11*AZ12&lt;0),BA11+(BA12-BA11)*AZ11/(AZ12-AZ11),"")</f>
        <v>#VALUE!</v>
      </c>
      <c r="BC11" s="0" t="e">
        <f aca="false">IF(AND(AV11&lt;0,AZ11*AZ12&lt;0),AY11+(AY12-AY11)*AZ11/(AZ12-AZ11),"")</f>
        <v>#VALUE!</v>
      </c>
    </row>
    <row r="12" customFormat="false" ht="12.75" hidden="false" customHeight="false" outlineLevel="0" collapsed="false">
      <c r="D12" s="0" t="n">
        <f aca="false">H10</f>
        <v>14</v>
      </c>
      <c r="E12" s="0" t="n">
        <f aca="false">I10</f>
        <v>2</v>
      </c>
      <c r="F12" s="0" t="n">
        <f aca="false">-I10</f>
        <v>-2</v>
      </c>
      <c r="G12" s="8" t="n">
        <v>3</v>
      </c>
      <c r="H12" s="8" t="n">
        <v>108</v>
      </c>
      <c r="I12" s="8" t="n">
        <v>3</v>
      </c>
      <c r="J12" s="23"/>
      <c r="K12" s="23"/>
      <c r="L12" s="21" t="n">
        <f aca="false">(H12-H11)/12</f>
        <v>6.33333333333333</v>
      </c>
      <c r="M12" s="22" t="n">
        <f aca="false">ATAN((I12-I11)/(12*L12))</f>
        <v>0</v>
      </c>
      <c r="N12" s="22" t="n">
        <f aca="false">(I11+I12)*L12*(COS(M12)^2)/12</f>
        <v>3.16666666666667</v>
      </c>
      <c r="O12" s="22" t="n">
        <f aca="false">(I11+I12)*L12*COS(M12)*SIN(M12)/12</f>
        <v>0</v>
      </c>
      <c r="P12" s="0" t="n">
        <f aca="false">L12^2*(I11+2*I12)*(COS(M12))^2/36+H11*(I11+I12)*L12*(COS(M12)^2)/144</f>
        <v>18.4722222222222</v>
      </c>
      <c r="Y12" s="0" t="n">
        <v>0.3</v>
      </c>
      <c r="Z12" s="0" t="n">
        <v>1.23</v>
      </c>
      <c r="AA12" s="19" t="n">
        <v>150000</v>
      </c>
      <c r="AB12" s="0" t="n">
        <v>0.992</v>
      </c>
      <c r="AC12" s="0" t="n">
        <v>4</v>
      </c>
      <c r="AD12" s="0" t="n">
        <v>0.6</v>
      </c>
      <c r="AE12" s="0" t="n">
        <v>0.5</v>
      </c>
      <c r="AF12" s="0" t="n">
        <v>0.76</v>
      </c>
      <c r="AG12" s="0" t="n">
        <f aca="false">AG11+1</f>
        <v>3</v>
      </c>
      <c r="AH12" s="0" t="n">
        <f aca="false">AG12*PI()/180</f>
        <v>0.0523598775598299</v>
      </c>
      <c r="AI12" s="0" t="n">
        <f aca="false">$D$9*SIN(AH12)</f>
        <v>0.104671912485888</v>
      </c>
      <c r="AJ12" s="19" t="n">
        <f aca="false">$E$9*$Q$10*SIN(AH12)/$K$9</f>
        <v>92583.4497343124</v>
      </c>
      <c r="AK12" s="0" t="e">
        <f aca="false">interpfn($Y$9:$Z$36,AI12,2)</f>
        <v>#VALUE!</v>
      </c>
      <c r="AL12" s="0" t="e">
        <f aca="false">interpfn($AA$9:$AB$27,AJ12,2)</f>
        <v>#VALUE!</v>
      </c>
      <c r="AM12" s="0" t="e">
        <f aca="false">IF(AI12&gt;0.45,1,AL12)</f>
        <v>#VALUE!</v>
      </c>
      <c r="AO12" s="0" t="e">
        <f aca="false">interpfn($AE$9:$AF$22,AI12,2)</f>
        <v>#VALUE!</v>
      </c>
      <c r="AP12" s="0" t="e">
        <f aca="false">AK12*AM12</f>
        <v>#VALUE!</v>
      </c>
      <c r="AQ12" s="0" t="e">
        <f aca="false">$AN$9*AO12</f>
        <v>#VALUE!</v>
      </c>
      <c r="AS12" s="0" t="e">
        <f aca="false">$T$9*(COS(AH12))^2+$AR$9*(SIN(AH12))^2</f>
        <v>#VALUE!</v>
      </c>
      <c r="AT12" s="0" t="e">
        <f aca="false">($U$9/2)*(2*COS(2*AH12)*COS(AH12/2)-SIN(2*AH12)*SIN(AH12/2)/2)+2*AQ12*AP12*$N$29*SIN(AH12)*COS(AH12)/$J$9</f>
        <v>#VALUE!</v>
      </c>
      <c r="AU12" s="0" t="e">
        <f aca="false">($U$9/2)*(SIN(2*AH12)*COS(AH12/2))+AQ12*AP12*$N$29*(SIN(AH12))^2/$J$9</f>
        <v>#VALUE!</v>
      </c>
      <c r="AV12" s="0" t="e">
        <f aca="false">($U$9*($F$9/12-$W$9)/(2*$K$9))*(2*COS(2*AH12)*COS(AH12/2)-SIN(2*AH12)*SIN(AH12/2)/2)+2*AP12*AQ12*$N$29*($F$9/12-$S$10)*SIN(AH12)*COS(AH12)/($J$9*$K$9)</f>
        <v>#VALUE!</v>
      </c>
      <c r="AW12" s="0" t="n">
        <f aca="false">AG12</f>
        <v>3</v>
      </c>
      <c r="AX12" s="0" t="e">
        <f aca="false">$U$9*($F$9/12-$W$9)/(2*$K$9)*SIN(2*AH12)*COS(AH12/2)+AP12*AQ12*$N$29*($F$9/12-$S$10)*(SIN(AH12))^2/($J$9*$K$9)</f>
        <v>#VALUE!</v>
      </c>
      <c r="AY12" s="0" t="e">
        <f aca="false">AS12*COS(AH12)+AU12*SIN(AH12)</f>
        <v>#VALUE!</v>
      </c>
      <c r="AZ12" s="0" t="e">
        <f aca="false">AX12</f>
        <v>#VALUE!</v>
      </c>
      <c r="BA12" s="0" t="n">
        <f aca="false">AW12</f>
        <v>3</v>
      </c>
      <c r="BB12" s="0" t="e">
        <f aca="false">IF(AND(AV12&lt;0,AZ12*AZ13&lt;0),BA12+(BA13-BA12)*AZ12/(AZ13-AZ12),"")</f>
        <v>#VALUE!</v>
      </c>
      <c r="BC12" s="0" t="e">
        <f aca="false">IF(AND(AV12&lt;0,AZ12*AZ13&lt;0),AY12+(AY13-AY12)*AZ12/(AZ13-AZ12),"")</f>
        <v>#VALUE!</v>
      </c>
    </row>
    <row r="13" customFormat="false" ht="36" hidden="false" customHeight="true" outlineLevel="0" collapsed="false">
      <c r="D13" s="0" t="n">
        <f aca="false">H11</f>
        <v>32</v>
      </c>
      <c r="E13" s="0" t="n">
        <f aca="false">I11</f>
        <v>3</v>
      </c>
      <c r="F13" s="0" t="n">
        <f aca="false">-I11</f>
        <v>-3</v>
      </c>
      <c r="G13" s="8"/>
      <c r="H13" s="8"/>
      <c r="I13" s="8"/>
      <c r="J13" s="23"/>
      <c r="K13" s="23"/>
      <c r="L13" s="21" t="n">
        <v>0</v>
      </c>
      <c r="M13" s="22" t="n">
        <v>0</v>
      </c>
      <c r="N13" s="22" t="n">
        <f aca="false">(I12+I13)*L13*(COS(M13)^2)/12</f>
        <v>0</v>
      </c>
      <c r="O13" s="22" t="n">
        <f aca="false">(I12+I13)*L13*COS(M13)*SIN(M13)/12</f>
        <v>0</v>
      </c>
      <c r="P13" s="0" t="n">
        <f aca="false">L13^2*(I12+2*I13)*(COS(M13))^2/36+H12*(I12+I13)*L13*(COS(M13)^2)/144</f>
        <v>0</v>
      </c>
      <c r="T13" s="2" t="s">
        <v>54</v>
      </c>
      <c r="U13" s="2" t="s">
        <v>55</v>
      </c>
      <c r="V13" s="2" t="s">
        <v>56</v>
      </c>
      <c r="W13" s="2" t="s">
        <v>57</v>
      </c>
      <c r="X13" s="2" t="s">
        <v>55</v>
      </c>
      <c r="Y13" s="0" t="n">
        <v>0.4</v>
      </c>
      <c r="Z13" s="0" t="n">
        <v>1.27</v>
      </c>
      <c r="AA13" s="19" t="n">
        <v>200000</v>
      </c>
      <c r="AB13" s="0" t="n">
        <v>0.95</v>
      </c>
      <c r="AC13" s="0" t="n">
        <v>5</v>
      </c>
      <c r="AD13" s="0" t="n">
        <v>0.62</v>
      </c>
      <c r="AE13" s="0" t="n">
        <v>0.6</v>
      </c>
      <c r="AF13" s="0" t="n">
        <v>0.82</v>
      </c>
      <c r="AG13" s="0" t="n">
        <f aca="false">AG12+1</f>
        <v>4</v>
      </c>
      <c r="AH13" s="0" t="n">
        <f aca="false">AG13*PI()/180</f>
        <v>0.0698131700797732</v>
      </c>
      <c r="AI13" s="0" t="n">
        <f aca="false">$D$9*SIN(AH13)</f>
        <v>0.139512947488251</v>
      </c>
      <c r="AJ13" s="19" t="n">
        <f aca="false">$E$9*$Q$10*SIN(AH13)/$K$9</f>
        <v>123400.725699033</v>
      </c>
      <c r="AK13" s="0" t="e">
        <f aca="false">interpfn($Y$9:$Z$36,AI13,2)</f>
        <v>#VALUE!</v>
      </c>
      <c r="AL13" s="0" t="e">
        <f aca="false">interpfn($AA$9:$AB$27,AJ13,2)</f>
        <v>#VALUE!</v>
      </c>
      <c r="AM13" s="0" t="e">
        <f aca="false">IF(AI13&gt;0.45,1,AL13)</f>
        <v>#VALUE!</v>
      </c>
      <c r="AO13" s="0" t="e">
        <f aca="false">interpfn($AE$9:$AF$22,AI13,2)</f>
        <v>#VALUE!</v>
      </c>
      <c r="AP13" s="0" t="e">
        <f aca="false">AK13*AM13</f>
        <v>#VALUE!</v>
      </c>
      <c r="AQ13" s="0" t="e">
        <f aca="false">$AN$9*AO13</f>
        <v>#VALUE!</v>
      </c>
      <c r="AS13" s="0" t="e">
        <f aca="false">$T$9*(COS(AH13))^2+$AR$9*(SIN(AH13))^2</f>
        <v>#VALUE!</v>
      </c>
      <c r="AT13" s="0" t="e">
        <f aca="false">($U$9/2)*(2*COS(2*AH13)*COS(AH13/2)-SIN(2*AH13)*SIN(AH13/2)/2)+2*AQ13*AP13*$N$29*SIN(AH13)*COS(AH13)/$J$9</f>
        <v>#VALUE!</v>
      </c>
      <c r="AU13" s="0" t="e">
        <f aca="false">($U$9/2)*(SIN(2*AH13)*COS(AH13/2))+AQ13*AP13*$N$29*(SIN(AH13))^2/$J$9</f>
        <v>#VALUE!</v>
      </c>
      <c r="AV13" s="0" t="e">
        <f aca="false">($U$9*($F$9/12-$W$9)/(2*$K$9))*(2*COS(2*AH13)*COS(AH13/2)-SIN(2*AH13)*SIN(AH13/2)/2)+2*AP13*AQ13*$N$29*($F$9/12-$S$10)*SIN(AH13)*COS(AH13)/($J$9*$K$9)</f>
        <v>#VALUE!</v>
      </c>
      <c r="AW13" s="0" t="n">
        <f aca="false">AG13</f>
        <v>4</v>
      </c>
      <c r="AX13" s="0" t="e">
        <f aca="false">$U$9*($F$9/12-$W$9)/(2*$K$9)*SIN(2*AH13)*COS(AH13/2)+AP13*AQ13*$N$29*($F$9/12-$S$10)*(SIN(AH13))^2/($J$9*$K$9)</f>
        <v>#VALUE!</v>
      </c>
      <c r="AY13" s="0" t="e">
        <f aca="false">AS13*COS(AH13)+AU13*SIN(AH13)</f>
        <v>#VALUE!</v>
      </c>
      <c r="AZ13" s="0" t="e">
        <f aca="false">AX13</f>
        <v>#VALUE!</v>
      </c>
      <c r="BA13" s="0" t="n">
        <f aca="false">AW13</f>
        <v>4</v>
      </c>
      <c r="BB13" s="0" t="e">
        <f aca="false">IF(AND(AV13&lt;0,AZ13*AZ14&lt;0),BA13+(BA14-BA13)*AZ13/(AZ14-AZ13),"")</f>
        <v>#VALUE!</v>
      </c>
      <c r="BC13" s="0" t="e">
        <f aca="false">IF(AND(AV13&lt;0,AZ13*AZ14&lt;0),AY13+(AY14-AY13)*AZ13/(AZ14-AZ13),"")</f>
        <v>#VALUE!</v>
      </c>
    </row>
    <row r="14" customFormat="false" ht="12.75" hidden="false" customHeight="false" outlineLevel="0" collapsed="false">
      <c r="D14" s="0" t="n">
        <f aca="false">H12</f>
        <v>108</v>
      </c>
      <c r="E14" s="0" t="n">
        <f aca="false">I12</f>
        <v>3</v>
      </c>
      <c r="F14" s="0" t="n">
        <f aca="false">-I12</f>
        <v>-3</v>
      </c>
      <c r="G14" s="8"/>
      <c r="H14" s="8"/>
      <c r="I14" s="8"/>
      <c r="J14" s="23"/>
      <c r="K14" s="23"/>
      <c r="L14" s="21" t="n">
        <f aca="false">(H14-H13)/12</f>
        <v>0</v>
      </c>
      <c r="M14" s="22" t="n">
        <v>0</v>
      </c>
      <c r="N14" s="22" t="n">
        <f aca="false">(I13+I14)*L14*(COS(M14)^2)/12</f>
        <v>0</v>
      </c>
      <c r="O14" s="22" t="n">
        <f aca="false">(I13+I14)*L14*COS(M14)*SIN(M14)/12</f>
        <v>0</v>
      </c>
      <c r="P14" s="0" t="n">
        <f aca="false">L14^2*(I13+2*I14)*(COS(M14))^2/36+H13*(I13+I14)*L14*(COS(M14)^2)/144</f>
        <v>0</v>
      </c>
      <c r="T14" s="8" t="n">
        <v>1.68</v>
      </c>
      <c r="U14" s="8" t="n">
        <v>2</v>
      </c>
      <c r="V14" s="8" t="n">
        <v>14</v>
      </c>
      <c r="W14" s="18" t="n">
        <f aca="false">(L29-V14)/12</f>
        <v>7.83333333333333</v>
      </c>
      <c r="X14" s="18" t="n">
        <f aca="false">-U14</f>
        <v>-2</v>
      </c>
      <c r="Y14" s="21" t="n">
        <v>0.5</v>
      </c>
      <c r="Z14" s="0" t="n">
        <v>1.36</v>
      </c>
      <c r="AA14" s="19" t="n">
        <v>300000</v>
      </c>
      <c r="AB14" s="0" t="n">
        <v>0.767</v>
      </c>
      <c r="AC14" s="0" t="n">
        <v>6</v>
      </c>
      <c r="AD14" s="0" t="n">
        <v>0.635</v>
      </c>
      <c r="AE14" s="0" t="n">
        <v>0.7</v>
      </c>
      <c r="AF14" s="0" t="n">
        <v>0.9</v>
      </c>
      <c r="AG14" s="0" t="n">
        <f aca="false">AG13+1</f>
        <v>5</v>
      </c>
      <c r="AH14" s="0" t="n">
        <f aca="false">AG14*PI()/180</f>
        <v>0.0872664625997165</v>
      </c>
      <c r="AI14" s="0" t="n">
        <f aca="false">$D$9*SIN(AH14)</f>
        <v>0.174311485495316</v>
      </c>
      <c r="AJ14" s="19" t="n">
        <f aca="false">$E$9*$Q$10*SIN(AH14)/$K$9</f>
        <v>154180.412607296</v>
      </c>
      <c r="AK14" s="0" t="e">
        <f aca="false">interpfn($Y$9:$Z$36,AI14,2)</f>
        <v>#VALUE!</v>
      </c>
      <c r="AL14" s="0" t="e">
        <f aca="false">interpfn($AA$9:$AB$27,AJ14,2)</f>
        <v>#VALUE!</v>
      </c>
      <c r="AM14" s="0" t="e">
        <f aca="false">IF(AI14&gt;0.45,1,AL14)</f>
        <v>#VALUE!</v>
      </c>
      <c r="AO14" s="0" t="e">
        <f aca="false">interpfn($AE$9:$AF$22,AI14,2)</f>
        <v>#VALUE!</v>
      </c>
      <c r="AP14" s="0" t="e">
        <f aca="false">AK14*AM14</f>
        <v>#VALUE!</v>
      </c>
      <c r="AQ14" s="0" t="e">
        <f aca="false">$AN$9*AO14</f>
        <v>#VALUE!</v>
      </c>
      <c r="AS14" s="0" t="e">
        <f aca="false">$T$9*(COS(AH14))^2+$AR$9*(SIN(AH14))^2</f>
        <v>#VALUE!</v>
      </c>
      <c r="AT14" s="0" t="e">
        <f aca="false">($U$9/2)*(2*COS(2*AH14)*COS(AH14/2)-SIN(2*AH14)*SIN(AH14/2)/2)+2*AQ14*AP14*$N$29*SIN(AH14)*COS(AH14)/$J$9</f>
        <v>#VALUE!</v>
      </c>
      <c r="AU14" s="0" t="e">
        <f aca="false">($U$9/2)*(SIN(2*AH14)*COS(AH14/2))+AQ14*AP14*$N$29*(SIN(AH14))^2/$J$9</f>
        <v>#VALUE!</v>
      </c>
      <c r="AV14" s="0" t="e">
        <f aca="false">($U$9*($F$9/12-$W$9)/(2*$K$9))*(2*COS(2*AH14)*COS(AH14/2)-SIN(2*AH14)*SIN(AH14/2)/2)+2*AP14*AQ14*$N$29*($F$9/12-$S$10)*SIN(AH14)*COS(AH14)/($J$9*$K$9)</f>
        <v>#VALUE!</v>
      </c>
      <c r="AW14" s="0" t="n">
        <f aca="false">AG14</f>
        <v>5</v>
      </c>
      <c r="AX14" s="0" t="e">
        <f aca="false">$U$9*($F$9/12-$W$9)/(2*$K$9)*SIN(2*AH14)*COS(AH14/2)+AP14*AQ14*$N$29*($F$9/12-$S$10)*(SIN(AH14))^2/($J$9*$K$9)</f>
        <v>#VALUE!</v>
      </c>
      <c r="AY14" s="0" t="e">
        <f aca="false">AS14*COS(AH14)+AU14*SIN(AH14)</f>
        <v>#VALUE!</v>
      </c>
      <c r="AZ14" s="0" t="e">
        <f aca="false">AX14</f>
        <v>#VALUE!</v>
      </c>
      <c r="BA14" s="0" t="n">
        <f aca="false">AW14</f>
        <v>5</v>
      </c>
      <c r="BB14" s="0" t="e">
        <f aca="false">IF(AND(AV14&lt;0,AZ14*AZ15&lt;0),BA14+(BA15-BA14)*AZ14/(AZ15-AZ14),"")</f>
        <v>#VALUE!</v>
      </c>
      <c r="BC14" s="0" t="e">
        <f aca="false">IF(AND(AV14&lt;0,AZ14*AZ15&lt;0),AY14+(AY15-AY14)*AZ14/(AZ15-AZ14),"")</f>
        <v>#VALUE!</v>
      </c>
    </row>
    <row r="15" customFormat="false" ht="12.75" hidden="false" customHeight="false" outlineLevel="0" collapsed="false">
      <c r="D15" s="0" t="n">
        <f aca="false">H13</f>
        <v>0</v>
      </c>
      <c r="E15" s="0" t="n">
        <f aca="false">I13</f>
        <v>0</v>
      </c>
      <c r="F15" s="0" t="n">
        <f aca="false">-I13</f>
        <v>-0</v>
      </c>
      <c r="G15" s="8"/>
      <c r="H15" s="8"/>
      <c r="I15" s="8"/>
      <c r="J15" s="23"/>
      <c r="K15" s="23"/>
      <c r="L15" s="21" t="n">
        <f aca="false">(H15-H14)/12</f>
        <v>0</v>
      </c>
      <c r="M15" s="22" t="n">
        <v>0</v>
      </c>
      <c r="N15" s="22" t="n">
        <f aca="false">(I14+I15)*L15*(COS(M15)^2)/12</f>
        <v>0</v>
      </c>
      <c r="O15" s="22" t="n">
        <f aca="false">(I14+I15)*L15*COS(M15)*SIN(M15)/12</f>
        <v>0</v>
      </c>
      <c r="P15" s="0" t="n">
        <f aca="false">L15^2*(I14+2*I15)*(COS(M15))^2/36+H14*(I14+I15)*L15*(COS(M15)^2)/144</f>
        <v>0</v>
      </c>
      <c r="Y15" s="0" t="n">
        <v>0.6</v>
      </c>
      <c r="Z15" s="0" t="n">
        <v>1.47</v>
      </c>
      <c r="AA15" s="19" t="n">
        <v>400000</v>
      </c>
      <c r="AB15" s="0" t="n">
        <v>0.442</v>
      </c>
      <c r="AC15" s="0" t="n">
        <v>8</v>
      </c>
      <c r="AD15" s="0" t="n">
        <v>0.66</v>
      </c>
      <c r="AE15" s="0" t="n">
        <v>0.8</v>
      </c>
      <c r="AF15" s="0" t="n">
        <v>0.99</v>
      </c>
      <c r="AG15" s="0" t="n">
        <f aca="false">AG14+1</f>
        <v>6</v>
      </c>
      <c r="AH15" s="0" t="n">
        <f aca="false">AG15*PI()/180</f>
        <v>0.10471975511966</v>
      </c>
      <c r="AI15" s="0" t="n">
        <f aca="false">$D$9*SIN(AH15)</f>
        <v>0.209056926535307</v>
      </c>
      <c r="AJ15" s="19" t="n">
        <f aca="false">$E$9*$Q$10*SIN(AH15)/$K$9</f>
        <v>184913.1346683</v>
      </c>
      <c r="AK15" s="0" t="e">
        <f aca="false">interpfn($Y$9:$Z$36,AI15,2)</f>
        <v>#VALUE!</v>
      </c>
      <c r="AL15" s="0" t="e">
        <f aca="false">interpfn($AA$9:$AB$27,AJ15,2)</f>
        <v>#VALUE!</v>
      </c>
      <c r="AM15" s="0" t="e">
        <f aca="false">IF(AI15&gt;0.45,1,AL15)</f>
        <v>#VALUE!</v>
      </c>
      <c r="AO15" s="0" t="e">
        <f aca="false">interpfn($AE$9:$AF$22,AI15,2)</f>
        <v>#VALUE!</v>
      </c>
      <c r="AP15" s="0" t="e">
        <f aca="false">AK15*AM15</f>
        <v>#VALUE!</v>
      </c>
      <c r="AQ15" s="0" t="e">
        <f aca="false">$AN$9*AO15</f>
        <v>#VALUE!</v>
      </c>
      <c r="AS15" s="0" t="e">
        <f aca="false">$T$9*(COS(AH15))^2+$AR$9*(SIN(AH15))^2</f>
        <v>#VALUE!</v>
      </c>
      <c r="AT15" s="0" t="e">
        <f aca="false">($U$9/2)*(2*COS(2*AH15)*COS(AH15/2)-SIN(2*AH15)*SIN(AH15/2)/2)+2*AQ15*AP15*$N$29*SIN(AH15)*COS(AH15)/$J$9</f>
        <v>#VALUE!</v>
      </c>
      <c r="AU15" s="0" t="e">
        <f aca="false">($U$9/2)*(SIN(2*AH15)*COS(AH15/2))+AQ15*AP15*$N$29*(SIN(AH15))^2/$J$9</f>
        <v>#VALUE!</v>
      </c>
      <c r="AV15" s="0" t="e">
        <f aca="false">($U$9*($F$9/12-$W$9)/(2*$K$9))*(2*COS(2*AH15)*COS(AH15/2)-SIN(2*AH15)*SIN(AH15/2)/2)+2*AP15*AQ15*$N$29*($F$9/12-$S$10)*SIN(AH15)*COS(AH15)/($J$9*$K$9)</f>
        <v>#VALUE!</v>
      </c>
      <c r="AW15" s="0" t="n">
        <f aca="false">AG15</f>
        <v>6</v>
      </c>
      <c r="AX15" s="0" t="e">
        <f aca="false">$U$9*($F$9/12-$W$9)/(2*$K$9)*SIN(2*AH15)*COS(AH15/2)+AP15*AQ15*$N$29*($F$9/12-$S$10)*(SIN(AH15))^2/($J$9*$K$9)</f>
        <v>#VALUE!</v>
      </c>
      <c r="AY15" s="0" t="e">
        <f aca="false">AS15*COS(AH15)+AU15*SIN(AH15)</f>
        <v>#VALUE!</v>
      </c>
      <c r="AZ15" s="0" t="e">
        <f aca="false">AX15</f>
        <v>#VALUE!</v>
      </c>
      <c r="BA15" s="0" t="n">
        <f aca="false">AW15</f>
        <v>6</v>
      </c>
      <c r="BB15" s="0" t="e">
        <f aca="false">IF(AND(AV15&lt;0,AZ15*AZ16&lt;0),BA15+(BA16-BA15)*AZ15/(AZ16-AZ15),"")</f>
        <v>#VALUE!</v>
      </c>
      <c r="BC15" s="0" t="e">
        <f aca="false">IF(AND(AV15&lt;0,AZ15*AZ16&lt;0),AY15+(AY16-AY15)*AZ15/(AZ16-AZ15),"")</f>
        <v>#VALUE!</v>
      </c>
    </row>
    <row r="16" customFormat="false" ht="12.75" hidden="false" customHeight="false" outlineLevel="0" collapsed="false">
      <c r="D16" s="0" t="n">
        <f aca="false">G14</f>
        <v>0</v>
      </c>
      <c r="E16" s="0" t="n">
        <f aca="false">I14</f>
        <v>0</v>
      </c>
      <c r="F16" s="0" t="n">
        <f aca="false">-I14</f>
        <v>-0</v>
      </c>
      <c r="G16" s="8"/>
      <c r="H16" s="8"/>
      <c r="I16" s="8"/>
      <c r="J16" s="23"/>
      <c r="K16" s="23"/>
      <c r="L16" s="21" t="n">
        <f aca="false">(H16-H15)/12</f>
        <v>0</v>
      </c>
      <c r="M16" s="22" t="n">
        <v>0</v>
      </c>
      <c r="N16" s="22" t="n">
        <f aca="false">(I15+I16)*L16*(COS(M16)^2)/12</f>
        <v>0</v>
      </c>
      <c r="O16" s="22" t="n">
        <f aca="false">(I15+I16)*L16*COS(M16)*SIN(M16)/12</f>
        <v>0</v>
      </c>
      <c r="P16" s="0" t="n">
        <f aca="false">L16^2*(I15+2*I16)*(COS(M16))^2/36+H15*(I15+I16)*L16*(COS(M16)^2)/144</f>
        <v>0</v>
      </c>
      <c r="Y16" s="0" t="n">
        <v>0.7</v>
      </c>
      <c r="Z16" s="0" t="n">
        <v>1.59</v>
      </c>
      <c r="AA16" s="19" t="n">
        <v>500000</v>
      </c>
      <c r="AB16" s="0" t="n">
        <v>0.192</v>
      </c>
      <c r="AC16" s="0" t="n">
        <v>10</v>
      </c>
      <c r="AD16" s="0" t="n">
        <v>0.68</v>
      </c>
      <c r="AE16" s="0" t="n">
        <v>0.9</v>
      </c>
      <c r="AF16" s="0" t="n">
        <v>0.98</v>
      </c>
      <c r="AG16" s="0" t="n">
        <f aca="false">AG15+1</f>
        <v>7</v>
      </c>
      <c r="AH16" s="0" t="n">
        <f aca="false">AG16*PI()/180</f>
        <v>0.122173047639603</v>
      </c>
      <c r="AI16" s="0" t="n">
        <f aca="false">$D$9*SIN(AH16)</f>
        <v>0.243738686810295</v>
      </c>
      <c r="AJ16" s="19" t="n">
        <f aca="false">$E$9*$Q$10*SIN(AH16)/$K$9</f>
        <v>215589.53039719</v>
      </c>
      <c r="AK16" s="0" t="e">
        <f aca="false">interpfn($Y$9:$Z$36,AI16,2)</f>
        <v>#VALUE!</v>
      </c>
      <c r="AL16" s="0" t="e">
        <f aca="false">interpfn($AA$9:$AB$27,AJ16,2)</f>
        <v>#VALUE!</v>
      </c>
      <c r="AM16" s="0" t="e">
        <f aca="false">IF(AI16&gt;0.45,1,AL16)</f>
        <v>#VALUE!</v>
      </c>
      <c r="AO16" s="0" t="e">
        <f aca="false">interpfn($AE$9:$AF$22,AI16,2)</f>
        <v>#VALUE!</v>
      </c>
      <c r="AP16" s="0" t="e">
        <f aca="false">AK16*AM16</f>
        <v>#VALUE!</v>
      </c>
      <c r="AQ16" s="0" t="e">
        <f aca="false">$AN$9*AO16</f>
        <v>#VALUE!</v>
      </c>
      <c r="AS16" s="0" t="e">
        <f aca="false">$T$9*(COS(AH16))^2+$AR$9*(SIN(AH16))^2</f>
        <v>#VALUE!</v>
      </c>
      <c r="AT16" s="0" t="e">
        <f aca="false">($U$9/2)*(2*COS(2*AH16)*COS(AH16/2)-SIN(2*AH16)*SIN(AH16/2)/2)+2*AQ16*AP16*$N$29*SIN(AH16)*COS(AH16)/$J$9</f>
        <v>#VALUE!</v>
      </c>
      <c r="AU16" s="0" t="e">
        <f aca="false">($U$9/2)*(SIN(2*AH16)*COS(AH16/2))+AQ16*AP16*$N$29*(SIN(AH16))^2/$J$9</f>
        <v>#VALUE!</v>
      </c>
      <c r="AV16" s="0" t="e">
        <f aca="false">($U$9*($F$9/12-$W$9)/(2*$K$9))*(2*COS(2*AH16)*COS(AH16/2)-SIN(2*AH16)*SIN(AH16/2)/2)+2*AP16*AQ16*$N$29*($F$9/12-$S$10)*SIN(AH16)*COS(AH16)/($J$9*$K$9)</f>
        <v>#VALUE!</v>
      </c>
      <c r="AW16" s="0" t="n">
        <f aca="false">AG16</f>
        <v>7</v>
      </c>
      <c r="AX16" s="0" t="e">
        <f aca="false">$U$9*($F$9/12-$W$9)/(2*$K$9)*SIN(2*AH16)*COS(AH16/2)+AP16*AQ16*$N$29*($F$9/12-$S$10)*(SIN(AH16))^2/($J$9*$K$9)</f>
        <v>#VALUE!</v>
      </c>
      <c r="AY16" s="0" t="e">
        <f aca="false">AS16*COS(AH16)+AU16*SIN(AH16)</f>
        <v>#VALUE!</v>
      </c>
      <c r="AZ16" s="0" t="e">
        <f aca="false">AX16</f>
        <v>#VALUE!</v>
      </c>
      <c r="BA16" s="0" t="n">
        <f aca="false">AW16</f>
        <v>7</v>
      </c>
      <c r="BB16" s="0" t="e">
        <f aca="false">IF(AND(AV16&lt;0,AZ16*AZ17&lt;0),BA16+(BA17-BA16)*AZ16/(AZ17-AZ16),"")</f>
        <v>#VALUE!</v>
      </c>
      <c r="BC16" s="0" t="e">
        <f aca="false">IF(AND(AV16&lt;0,AZ16*AZ17&lt;0),AY16+(AY17-AY16)*AZ16/(AZ17-AZ16),"")</f>
        <v>#VALUE!</v>
      </c>
    </row>
    <row r="17" customFormat="false" ht="14.25" hidden="false" customHeight="true" outlineLevel="0" collapsed="false">
      <c r="D17" s="0" t="n">
        <f aca="false">G15</f>
        <v>0</v>
      </c>
      <c r="E17" s="0" t="n">
        <f aca="false">I15</f>
        <v>0</v>
      </c>
      <c r="F17" s="0" t="n">
        <f aca="false">-I15</f>
        <v>-0</v>
      </c>
      <c r="G17" s="8"/>
      <c r="H17" s="8"/>
      <c r="I17" s="8"/>
      <c r="J17" s="23"/>
      <c r="K17" s="23"/>
      <c r="L17" s="21" t="n">
        <f aca="false">(H17-H16)/12</f>
        <v>0</v>
      </c>
      <c r="M17" s="22" t="n">
        <v>0</v>
      </c>
      <c r="N17" s="22" t="n">
        <f aca="false">(I16+I17)*L17*(COS(M17)^2)/12</f>
        <v>0</v>
      </c>
      <c r="O17" s="22" t="n">
        <f aca="false">(I16+I17)*L17*COS(M17)*SIN(M17)/12</f>
        <v>0</v>
      </c>
      <c r="P17" s="0" t="n">
        <f aca="false">L17^2*(I16+2*I17)*(COS(M17))^2/36+H16*(I16+I17)*L17*(COS(M17)^2)/144</f>
        <v>0</v>
      </c>
      <c r="T17" s="23"/>
      <c r="W17" s="23"/>
      <c r="Y17" s="0" t="n">
        <v>0.8</v>
      </c>
      <c r="Z17" s="0" t="n">
        <v>1.53</v>
      </c>
      <c r="AA17" s="19" t="n">
        <v>600000</v>
      </c>
      <c r="AB17" s="0" t="n">
        <v>0.2</v>
      </c>
      <c r="AC17" s="0" t="n">
        <v>12</v>
      </c>
      <c r="AD17" s="0" t="n">
        <v>0.695</v>
      </c>
      <c r="AE17" s="0" t="n">
        <v>1</v>
      </c>
      <c r="AF17" s="0" t="n">
        <v>0.8</v>
      </c>
      <c r="AG17" s="0" t="n">
        <f aca="false">AG16+1</f>
        <v>8</v>
      </c>
      <c r="AH17" s="0" t="n">
        <f aca="false">AG17*PI()/180</f>
        <v>0.139626340159546</v>
      </c>
      <c r="AI17" s="0" t="n">
        <f aca="false">$D$9*SIN(AH17)</f>
        <v>0.278346201920131</v>
      </c>
      <c r="AJ17" s="19" t="n">
        <f aca="false">$E$9*$Q$10*SIN(AH17)/$K$9</f>
        <v>246200.255466658</v>
      </c>
      <c r="AK17" s="0" t="e">
        <f aca="false">interpfn($Y$9:$Z$36,AI17,2)</f>
        <v>#VALUE!</v>
      </c>
      <c r="AL17" s="0" t="e">
        <f aca="false">interpfn($AA$9:$AB$27,AJ17,2)</f>
        <v>#VALUE!</v>
      </c>
      <c r="AM17" s="0" t="e">
        <f aca="false">IF(AI17&gt;0.45,1,AL17)</f>
        <v>#VALUE!</v>
      </c>
      <c r="AO17" s="0" t="e">
        <f aca="false">interpfn($AE$9:$AF$22,AI17,2)</f>
        <v>#VALUE!</v>
      </c>
      <c r="AP17" s="0" t="e">
        <f aca="false">AK17*AM17</f>
        <v>#VALUE!</v>
      </c>
      <c r="AQ17" s="0" t="e">
        <f aca="false">$AN$9*AO17</f>
        <v>#VALUE!</v>
      </c>
      <c r="AS17" s="0" t="e">
        <f aca="false">$T$9*(COS(AH17))^2+$AR$9*(SIN(AH17))^2</f>
        <v>#VALUE!</v>
      </c>
      <c r="AT17" s="0" t="e">
        <f aca="false">($U$9/2)*(2*COS(2*AH17)*COS(AH17/2)-SIN(2*AH17)*SIN(AH17/2)/2)+2*AQ17*AP17*$N$29*SIN(AH17)*COS(AH17)/$J$9</f>
        <v>#VALUE!</v>
      </c>
      <c r="AU17" s="0" t="e">
        <f aca="false">($U$9/2)*(SIN(2*AH17)*COS(AH17/2))+AQ17*AP17*$N$29*(SIN(AH17))^2/$J$9</f>
        <v>#VALUE!</v>
      </c>
      <c r="AV17" s="0" t="e">
        <f aca="false">($U$9*($F$9/12-$W$9)/(2*$K$9))*(2*COS(2*AH17)*COS(AH17/2)-SIN(2*AH17)*SIN(AH17/2)/2)+2*AP17*AQ17*$N$29*($F$9/12-$S$10)*SIN(AH17)*COS(AH17)/($J$9*$K$9)</f>
        <v>#VALUE!</v>
      </c>
      <c r="AW17" s="0" t="n">
        <f aca="false">AG17</f>
        <v>8</v>
      </c>
      <c r="AX17" s="0" t="e">
        <f aca="false">$U$9*($F$9/12-$W$9)/(2*$K$9)*SIN(2*AH17)*COS(AH17/2)+AP17*AQ17*$N$29*($F$9/12-$S$10)*(SIN(AH17))^2/($J$9*$K$9)</f>
        <v>#VALUE!</v>
      </c>
      <c r="AY17" s="0" t="e">
        <f aca="false">AS17*COS(AH17)+AU17*SIN(AH17)</f>
        <v>#VALUE!</v>
      </c>
      <c r="AZ17" s="0" t="e">
        <f aca="false">AX17</f>
        <v>#VALUE!</v>
      </c>
      <c r="BA17" s="0" t="n">
        <f aca="false">AW17</f>
        <v>8</v>
      </c>
      <c r="BB17" s="0" t="e">
        <f aca="false">IF(AND(AV17&lt;0,AZ17*AZ18&lt;0),BA17+(BA18-BA17)*AZ17/(AZ18-AZ17),"")</f>
        <v>#VALUE!</v>
      </c>
      <c r="BC17" s="0" t="e">
        <f aca="false">IF(AND(AV17&lt;0,AZ17*AZ18&lt;0),AY17+(AY18-AY17)*AZ17/(AZ18-AZ17),"")</f>
        <v>#VALUE!</v>
      </c>
    </row>
    <row r="18" customFormat="false" ht="12.75" hidden="false" customHeight="false" outlineLevel="0" collapsed="false">
      <c r="D18" s="0" t="n">
        <f aca="false">G16</f>
        <v>0</v>
      </c>
      <c r="E18" s="0" t="n">
        <f aca="false">I16</f>
        <v>0</v>
      </c>
      <c r="F18" s="0" t="n">
        <f aca="false">-I16</f>
        <v>-0</v>
      </c>
      <c r="G18" s="8"/>
      <c r="H18" s="8"/>
      <c r="I18" s="8"/>
      <c r="J18" s="23"/>
      <c r="K18" s="23"/>
      <c r="L18" s="21" t="n">
        <f aca="false">(H18-H17)/12</f>
        <v>0</v>
      </c>
      <c r="M18" s="22" t="n">
        <v>0</v>
      </c>
      <c r="N18" s="22" t="n">
        <f aca="false">(I17+I18)*L18*(COS(M18)^2)/12</f>
        <v>0</v>
      </c>
      <c r="O18" s="22" t="n">
        <f aca="false">(I17+I18)*L18*COS(M18)*SIN(M18)/12</f>
        <v>0</v>
      </c>
      <c r="P18" s="0" t="n">
        <f aca="false">L18^2*(I17+2*I18)*(COS(M18))^2/36+H17*(I17+I18)*L18*(COS(M18)^2)/144</f>
        <v>0</v>
      </c>
      <c r="Y18" s="0" t="n">
        <v>0.9</v>
      </c>
      <c r="Z18" s="0" t="n">
        <v>1.56</v>
      </c>
      <c r="AA18" s="19" t="n">
        <v>800000</v>
      </c>
      <c r="AB18" s="0" t="n">
        <v>0.217</v>
      </c>
      <c r="AC18" s="0" t="n">
        <v>16</v>
      </c>
      <c r="AD18" s="0" t="n">
        <v>0.725</v>
      </c>
      <c r="AE18" s="0" t="n">
        <v>1.1</v>
      </c>
      <c r="AF18" s="0" t="n">
        <v>0.9</v>
      </c>
      <c r="AG18" s="0" t="n">
        <f aca="false">AG17+1</f>
        <v>9</v>
      </c>
      <c r="AH18" s="0" t="n">
        <f aca="false">AG18*PI()/180</f>
        <v>0.15707963267949</v>
      </c>
      <c r="AI18" s="0" t="n">
        <f aca="false">$D$9*SIN(AH18)</f>
        <v>0.312868930080462</v>
      </c>
      <c r="AJ18" s="19" t="n">
        <f aca="false">$E$9*$Q$10*SIN(AH18)/$K$9</f>
        <v>276735.985553316</v>
      </c>
      <c r="AK18" s="0" t="e">
        <f aca="false">interpfn($Y$9:$Z$36,AI18,2)</f>
        <v>#VALUE!</v>
      </c>
      <c r="AL18" s="0" t="e">
        <f aca="false">interpfn($AA$9:$AB$27,AJ18,2)</f>
        <v>#VALUE!</v>
      </c>
      <c r="AM18" s="0" t="e">
        <f aca="false">IF(AI18&gt;0.45,1,AL18)</f>
        <v>#VALUE!</v>
      </c>
      <c r="AO18" s="0" t="e">
        <f aca="false">interpfn($AE$9:$AF$22,AI18,2)</f>
        <v>#VALUE!</v>
      </c>
      <c r="AP18" s="0" t="e">
        <f aca="false">AK18*AM18</f>
        <v>#VALUE!</v>
      </c>
      <c r="AQ18" s="0" t="e">
        <f aca="false">$AN$9*AO18</f>
        <v>#VALUE!</v>
      </c>
      <c r="AS18" s="0" t="e">
        <f aca="false">$T$9*(COS(AH18))^2+$AR$9*(SIN(AH18))^2</f>
        <v>#VALUE!</v>
      </c>
      <c r="AT18" s="0" t="e">
        <f aca="false">($U$9/2)*(2*COS(2*AH18)*COS(AH18/2)-SIN(2*AH18)*SIN(AH18/2)/2)+2*AQ18*AP18*$N$29*SIN(AH18)*COS(AH18)/$J$9</f>
        <v>#VALUE!</v>
      </c>
      <c r="AU18" s="0" t="e">
        <f aca="false">($U$9/2)*(SIN(2*AH18)*COS(AH18/2))+AQ18*AP18*$N$29*(SIN(AH18))^2/$J$9</f>
        <v>#VALUE!</v>
      </c>
      <c r="AV18" s="0" t="e">
        <f aca="false">($U$9*($F$9/12-$W$9)/(2*$K$9))*(2*COS(2*AH18)*COS(AH18/2)-SIN(2*AH18)*SIN(AH18/2)/2)+2*AP18*AQ18*$N$29*($F$9/12-$S$10)*SIN(AH18)*COS(AH18)/($J$9*$K$9)</f>
        <v>#VALUE!</v>
      </c>
      <c r="AW18" s="0" t="n">
        <f aca="false">AG18</f>
        <v>9</v>
      </c>
      <c r="AX18" s="0" t="e">
        <f aca="false">$U$9*($F$9/12-$W$9)/(2*$K$9)*SIN(2*AH18)*COS(AH18/2)+AP18*AQ18*$N$29*($F$9/12-$S$10)*(SIN(AH18))^2/($J$9*$K$9)</f>
        <v>#VALUE!</v>
      </c>
      <c r="AY18" s="0" t="e">
        <f aca="false">AS18*COS(AH18)+AU18*SIN(AH18)</f>
        <v>#VALUE!</v>
      </c>
      <c r="AZ18" s="0" t="e">
        <f aca="false">AX18</f>
        <v>#VALUE!</v>
      </c>
      <c r="BA18" s="0" t="n">
        <f aca="false">AW18</f>
        <v>9</v>
      </c>
      <c r="BB18" s="0" t="e">
        <f aca="false">IF(AND(AV18&lt;0,AZ18*AZ19&lt;0),BA18+(BA19-BA18)*AZ18/(AZ19-AZ18),"")</f>
        <v>#VALUE!</v>
      </c>
      <c r="BC18" s="0" t="e">
        <f aca="false">IF(AND(AV18&lt;0,AZ18*AZ19&lt;0),AY18+(AY19-AY18)*AZ18/(AZ19-AZ18),"")</f>
        <v>#VALUE!</v>
      </c>
    </row>
    <row r="19" customFormat="false" ht="12.75" hidden="false" customHeight="false" outlineLevel="0" collapsed="false">
      <c r="G19" s="8"/>
      <c r="H19" s="8"/>
      <c r="I19" s="8"/>
      <c r="J19" s="23"/>
      <c r="K19" s="23"/>
      <c r="L19" s="21" t="n">
        <f aca="false">(H19-H18)/12</f>
        <v>0</v>
      </c>
      <c r="M19" s="22" t="n">
        <v>0</v>
      </c>
      <c r="N19" s="22" t="n">
        <f aca="false">(I18+I19)*L19*(COS(M19)^2)/12</f>
        <v>0</v>
      </c>
      <c r="O19" s="22" t="n">
        <f aca="false">(I18+I19)*L19*COS(M19)*SIN(M19)/12</f>
        <v>0</v>
      </c>
      <c r="P19" s="0" t="n">
        <f aca="false">L19^2*(I18+2*I19)*(COS(M19))^2/36+H18*(I18+I19)*L19*(COS(M19)^2)/144</f>
        <v>0</v>
      </c>
      <c r="U19" s="0" t="s">
        <v>58</v>
      </c>
      <c r="Y19" s="0" t="n">
        <v>0.95</v>
      </c>
      <c r="Z19" s="0" t="n">
        <v>1.88</v>
      </c>
      <c r="AA19" s="19" t="n">
        <v>1000000</v>
      </c>
      <c r="AB19" s="0" t="n">
        <v>0.246</v>
      </c>
      <c r="AC19" s="0" t="n">
        <v>20</v>
      </c>
      <c r="AD19" s="0" t="n">
        <v>0.75</v>
      </c>
      <c r="AE19" s="0" t="n">
        <v>1.2</v>
      </c>
      <c r="AF19" s="0" t="n">
        <v>0.96</v>
      </c>
      <c r="AG19" s="0" t="n">
        <f aca="false">AG18+1</f>
        <v>10</v>
      </c>
      <c r="AH19" s="0" t="n">
        <f aca="false">AG19*PI()/180</f>
        <v>0.174532925199433</v>
      </c>
      <c r="AI19" s="0" t="n">
        <f aca="false">$D$9*SIN(AH19)</f>
        <v>0.347296355333861</v>
      </c>
      <c r="AJ19" s="19" t="n">
        <f aca="false">$E$9*$Q$10*SIN(AH19)/$K$9</f>
        <v>307187.419177972</v>
      </c>
      <c r="AK19" s="0" t="e">
        <f aca="false">interpfn($Y$9:$Z$36,AI19,2)</f>
        <v>#VALUE!</v>
      </c>
      <c r="AL19" s="0" t="e">
        <f aca="false">interpfn($AA$9:$AB$27,AJ19,2)</f>
        <v>#VALUE!</v>
      </c>
      <c r="AM19" s="0" t="e">
        <f aca="false">IF(AI19&gt;0.45,1,AL19)</f>
        <v>#VALUE!</v>
      </c>
      <c r="AO19" s="0" t="e">
        <f aca="false">interpfn($AE$9:$AF$22,AI19,2)</f>
        <v>#VALUE!</v>
      </c>
      <c r="AP19" s="0" t="e">
        <f aca="false">AK19*AM19</f>
        <v>#VALUE!</v>
      </c>
      <c r="AQ19" s="0" t="e">
        <f aca="false">$AN$9*AO19</f>
        <v>#VALUE!</v>
      </c>
      <c r="AS19" s="0" t="e">
        <f aca="false">$T$9*(COS(AH19))^2+$AR$9*(SIN(AH19))^2</f>
        <v>#VALUE!</v>
      </c>
      <c r="AT19" s="0" t="e">
        <f aca="false">($U$9/2)*(2*COS(2*AH19)*COS(AH19/2)-SIN(2*AH19)*SIN(AH19/2)/2)+2*AQ19*AP19*$N$29*SIN(AH19)*COS(AH19)/$J$9</f>
        <v>#VALUE!</v>
      </c>
      <c r="AU19" s="0" t="e">
        <f aca="false">($U$9/2)*(SIN(2*AH19)*COS(AH19/2))+AQ19*AP19*$N$29*(SIN(AH19))^2/$J$9</f>
        <v>#VALUE!</v>
      </c>
      <c r="AV19" s="0" t="e">
        <f aca="false">($U$9*($F$9/12-$W$9)/(2*$K$9))*(2*COS(2*AH19)*COS(AH19/2)-SIN(2*AH19)*SIN(AH19/2)/2)+2*AP19*AQ19*$N$29*($F$9/12-$S$10)*SIN(AH19)*COS(AH19)/($J$9*$K$9)</f>
        <v>#VALUE!</v>
      </c>
      <c r="AW19" s="0" t="n">
        <f aca="false">AG19</f>
        <v>10</v>
      </c>
      <c r="AX19" s="0" t="e">
        <f aca="false">$U$9*($F$9/12-$W$9)/(2*$K$9)*SIN(2*AH19)*COS(AH19/2)+AP19*AQ19*$N$29*($F$9/12-$S$10)*(SIN(AH19))^2/($J$9*$K$9)</f>
        <v>#VALUE!</v>
      </c>
      <c r="AY19" s="0" t="e">
        <f aca="false">AS19*COS(AH19)+AU19*SIN(AH19)</f>
        <v>#VALUE!</v>
      </c>
      <c r="AZ19" s="0" t="e">
        <f aca="false">AX19</f>
        <v>#VALUE!</v>
      </c>
      <c r="BA19" s="0" t="n">
        <f aca="false">AW19</f>
        <v>10</v>
      </c>
      <c r="BB19" s="0" t="e">
        <f aca="false">IF(AND(AV19&lt;0,AZ19*AZ20&lt;0),BA19+(BA20-BA19)*AZ19/(AZ20-AZ19),"")</f>
        <v>#VALUE!</v>
      </c>
      <c r="BC19" s="0" t="e">
        <f aca="false">IF(AND(AV19&lt;0,AZ19*AZ20&lt;0),AY19+(AY20-AY19)*AZ19/(AZ20-AZ19),"")</f>
        <v>#VALUE!</v>
      </c>
    </row>
    <row r="20" customFormat="false" ht="12.75" hidden="false" customHeight="false" outlineLevel="0" collapsed="false">
      <c r="G20" s="8"/>
      <c r="H20" s="8"/>
      <c r="I20" s="8"/>
      <c r="J20" s="23"/>
      <c r="K20" s="23"/>
      <c r="L20" s="21" t="n">
        <f aca="false">(H20-H19)/12</f>
        <v>0</v>
      </c>
      <c r="M20" s="22" t="n">
        <v>0</v>
      </c>
      <c r="N20" s="22" t="n">
        <f aca="false">(I19+I20)*L20*(COS(M20)^2)/12</f>
        <v>0</v>
      </c>
      <c r="O20" s="22" t="n">
        <f aca="false">(I19+I20)*L20*COS(M20)*SIN(M20)/12</f>
        <v>0</v>
      </c>
      <c r="P20" s="0" t="n">
        <f aca="false">L20^2*(I19+2*I20)*(COS(M20))^2/36+H19*(I19+I20)*L20*(COS(M20)^2)/144</f>
        <v>0</v>
      </c>
      <c r="U20" s="0" t="s">
        <v>59</v>
      </c>
      <c r="Y20" s="0" t="n">
        <v>1</v>
      </c>
      <c r="Z20" s="0" t="n">
        <v>1.97</v>
      </c>
      <c r="AA20" s="19" t="n">
        <v>1500000</v>
      </c>
      <c r="AB20" s="0" t="n">
        <v>0.333</v>
      </c>
      <c r="AC20" s="0" t="n">
        <v>24</v>
      </c>
      <c r="AD20" s="0" t="n">
        <v>0.77</v>
      </c>
      <c r="AE20" s="0" t="n">
        <v>1.3</v>
      </c>
      <c r="AF20" s="0" t="n">
        <v>0.99</v>
      </c>
      <c r="AG20" s="0" t="n">
        <f aca="false">AG19+1</f>
        <v>11</v>
      </c>
      <c r="AH20" s="0" t="n">
        <f aca="false">AG20*PI()/180</f>
        <v>0.191986217719376</v>
      </c>
      <c r="AI20" s="0" t="n">
        <f aca="false">$D$9*SIN(AH20)</f>
        <v>0.38161799075309</v>
      </c>
      <c r="AJ20" s="19" t="n">
        <f aca="false">$E$9*$Q$10*SIN(AH20)/$K$9</f>
        <v>337545.280538955</v>
      </c>
      <c r="AK20" s="0" t="e">
        <f aca="false">interpfn($Y$9:$Z$36,AI20,2)</f>
        <v>#VALUE!</v>
      </c>
      <c r="AL20" s="0" t="e">
        <f aca="false">interpfn($AA$9:$AB$27,AJ20,2)</f>
        <v>#VALUE!</v>
      </c>
      <c r="AM20" s="0" t="e">
        <f aca="false">IF(AI20&gt;0.45,1,AL20)</f>
        <v>#VALUE!</v>
      </c>
      <c r="AO20" s="0" t="e">
        <f aca="false">interpfn($AE$9:$AF$22,AI20,2)</f>
        <v>#VALUE!</v>
      </c>
      <c r="AP20" s="0" t="e">
        <f aca="false">AK20*AM20</f>
        <v>#VALUE!</v>
      </c>
      <c r="AQ20" s="0" t="e">
        <f aca="false">$AN$9*AO20</f>
        <v>#VALUE!</v>
      </c>
      <c r="AS20" s="0" t="e">
        <f aca="false">$T$9*(COS(AH20))^2+$AR$9*(SIN(AH20))^2</f>
        <v>#VALUE!</v>
      </c>
      <c r="AT20" s="0" t="e">
        <f aca="false">($U$9/2)*(2*COS(2*AH20)*COS(AH20/2)-SIN(2*AH20)*SIN(AH20/2)/2)+2*AQ20*AP20*$N$29*SIN(AH20)*COS(AH20)/$J$9</f>
        <v>#VALUE!</v>
      </c>
      <c r="AU20" s="0" t="e">
        <f aca="false">($U$9/2)*(SIN(2*AH20)*COS(AH20/2))+AQ20*AP20*$N$29*(SIN(AH20))^2/$J$9</f>
        <v>#VALUE!</v>
      </c>
      <c r="AV20" s="0" t="e">
        <f aca="false">($U$9*($F$9/12-$W$9)/(2*$K$9))*(2*COS(2*AH20)*COS(AH20/2)-SIN(2*AH20)*SIN(AH20/2)/2)+2*AP20*AQ20*$N$29*($F$9/12-$S$10)*SIN(AH20)*COS(AH20)/($J$9*$K$9)</f>
        <v>#VALUE!</v>
      </c>
      <c r="AW20" s="0" t="n">
        <f aca="false">AG20</f>
        <v>11</v>
      </c>
      <c r="AX20" s="0" t="e">
        <f aca="false">$U$9*($F$9/12-$W$9)/(2*$K$9)*SIN(2*AH20)*COS(AH20/2)+AP20*AQ20*$N$29*($F$9/12-$S$10)*(SIN(AH20))^2/($J$9*$K$9)</f>
        <v>#VALUE!</v>
      </c>
      <c r="AY20" s="0" t="e">
        <f aca="false">AS20*COS(AH20)+AU20*SIN(AH20)</f>
        <v>#VALUE!</v>
      </c>
      <c r="AZ20" s="0" t="e">
        <f aca="false">AX20</f>
        <v>#VALUE!</v>
      </c>
      <c r="BA20" s="0" t="n">
        <f aca="false">AW20</f>
        <v>11</v>
      </c>
      <c r="BB20" s="0" t="e">
        <f aca="false">IF(AND(AV20&lt;0,AZ20*AZ21&lt;0),BA20+(BA21-BA20)*AZ20/(AZ21-AZ20),"")</f>
        <v>#VALUE!</v>
      </c>
      <c r="BC20" s="0" t="e">
        <f aca="false">IF(AND(AV20&lt;0,AZ20*AZ21&lt;0),AY20+(AY21-AY20)*AZ20/(AZ21-AZ20),"")</f>
        <v>#VALUE!</v>
      </c>
    </row>
    <row r="21" customFormat="false" ht="12.75" hidden="false" customHeight="false" outlineLevel="0" collapsed="false">
      <c r="G21" s="8"/>
      <c r="H21" s="8"/>
      <c r="I21" s="8"/>
      <c r="J21" s="23"/>
      <c r="K21" s="23"/>
      <c r="L21" s="21" t="n">
        <f aca="false">(H21-H20)/12</f>
        <v>0</v>
      </c>
      <c r="M21" s="22" t="n">
        <v>0</v>
      </c>
      <c r="N21" s="22" t="n">
        <f aca="false">(I20+I21)*L21*(COS(M21)^2)/12</f>
        <v>0</v>
      </c>
      <c r="O21" s="22" t="n">
        <f aca="false">(I20+I21)*L21*COS(M21)*SIN(M21)/12</f>
        <v>0</v>
      </c>
      <c r="P21" s="0" t="n">
        <f aca="false">L21^2*(I20+2*I21)*(COS(M21))^2/36+H20*(I20+I21)*L21*(COS(M21)^2)/144</f>
        <v>0</v>
      </c>
      <c r="U21" s="0" t="s">
        <v>60</v>
      </c>
      <c r="Y21" s="0" t="n">
        <v>1.1</v>
      </c>
      <c r="Z21" s="0" t="n">
        <v>1.78</v>
      </c>
      <c r="AA21" s="19" t="n">
        <v>2000000</v>
      </c>
      <c r="AB21" s="0" t="n">
        <v>0.377</v>
      </c>
      <c r="AC21" s="0" t="n">
        <v>28</v>
      </c>
      <c r="AD21" s="0" t="n">
        <v>0.785</v>
      </c>
      <c r="AE21" s="0" t="n">
        <v>1.4</v>
      </c>
      <c r="AF21" s="0" t="n">
        <v>1</v>
      </c>
      <c r="AG21" s="0" t="n">
        <f aca="false">AG20+1</f>
        <v>12</v>
      </c>
      <c r="AH21" s="0" t="n">
        <f aca="false">AG21*PI()/180</f>
        <v>0.20943951023932</v>
      </c>
      <c r="AI21" s="0" t="n">
        <f aca="false">$D$9*SIN(AH21)</f>
        <v>0.415823381635519</v>
      </c>
      <c r="AJ21" s="19" t="n">
        <f aca="false">$E$9*$Q$10*SIN(AH21)/$K$9</f>
        <v>367800.322337612</v>
      </c>
      <c r="AK21" s="0" t="e">
        <f aca="false">interpfn($Y$9:$Z$36,AI21,2)</f>
        <v>#VALUE!</v>
      </c>
      <c r="AL21" s="0" t="e">
        <f aca="false">interpfn($AA$9:$AB$27,AJ21,2)</f>
        <v>#VALUE!</v>
      </c>
      <c r="AM21" s="0" t="e">
        <f aca="false">IF(AI21&gt;0.45,1,AL21)</f>
        <v>#VALUE!</v>
      </c>
      <c r="AO21" s="0" t="e">
        <f aca="false">interpfn($AE$9:$AF$22,AI21,2)</f>
        <v>#VALUE!</v>
      </c>
      <c r="AP21" s="0" t="e">
        <f aca="false">AK21*AM21</f>
        <v>#VALUE!</v>
      </c>
      <c r="AQ21" s="0" t="e">
        <f aca="false">$AN$9*AO21</f>
        <v>#VALUE!</v>
      </c>
      <c r="AS21" s="0" t="e">
        <f aca="false">$T$9*(COS(AH21))^2+$AR$9*(SIN(AH21))^2</f>
        <v>#VALUE!</v>
      </c>
      <c r="AT21" s="0" t="e">
        <f aca="false">($U$9/2)*(2*COS(2*AH21)*COS(AH21/2)-SIN(2*AH21)*SIN(AH21/2)/2)+2*AQ21*AP21*$N$29*SIN(AH21)*COS(AH21)/$J$9</f>
        <v>#VALUE!</v>
      </c>
      <c r="AU21" s="0" t="e">
        <f aca="false">($U$9/2)*(SIN(2*AH21)*COS(AH21/2))+AQ21*AP21*$N$29*(SIN(AH21))^2/$J$9</f>
        <v>#VALUE!</v>
      </c>
      <c r="AV21" s="0" t="e">
        <f aca="false">($U$9*($F$9/12-$W$9)/(2*$K$9))*(2*COS(2*AH21)*COS(AH21/2)-SIN(2*AH21)*SIN(AH21/2)/2)+2*AP21*AQ21*$N$29*($F$9/12-$S$10)*SIN(AH21)*COS(AH21)/($J$9*$K$9)</f>
        <v>#VALUE!</v>
      </c>
      <c r="AW21" s="0" t="n">
        <f aca="false">AG21</f>
        <v>12</v>
      </c>
      <c r="AX21" s="0" t="e">
        <f aca="false">$U$9*($F$9/12-$W$9)/(2*$K$9)*SIN(2*AH21)*COS(AH21/2)+AP21*AQ21*$N$29*($F$9/12-$S$10)*(SIN(AH21))^2/($J$9*$K$9)</f>
        <v>#VALUE!</v>
      </c>
      <c r="AY21" s="0" t="e">
        <f aca="false">AS21*COS(AH21)+AU21*SIN(AH21)</f>
        <v>#VALUE!</v>
      </c>
      <c r="AZ21" s="0" t="e">
        <f aca="false">AX21</f>
        <v>#VALUE!</v>
      </c>
      <c r="BA21" s="0" t="n">
        <f aca="false">AW21</f>
        <v>12</v>
      </c>
      <c r="BB21" s="0" t="e">
        <f aca="false">IF(AND(AV21&lt;0,AZ21*AZ22&lt;0),BA21+(BA22-BA21)*AZ21/(AZ22-AZ21),"")</f>
        <v>#VALUE!</v>
      </c>
      <c r="BC21" s="0" t="e">
        <f aca="false">IF(AND(AV21&lt;0,AZ21*AZ22&lt;0),AY21+(AY22-AY21)*AZ21/(AZ22-AZ21),"")</f>
        <v>#VALUE!</v>
      </c>
    </row>
    <row r="22" customFormat="false" ht="12.75" hidden="false" customHeight="false" outlineLevel="0" collapsed="false">
      <c r="G22" s="8"/>
      <c r="H22" s="8"/>
      <c r="I22" s="8"/>
      <c r="J22" s="23"/>
      <c r="K22" s="23"/>
      <c r="L22" s="21" t="n">
        <f aca="false">(H22-H21)/12</f>
        <v>0</v>
      </c>
      <c r="M22" s="22" t="n">
        <v>0</v>
      </c>
      <c r="N22" s="22" t="n">
        <f aca="false">(I21+I22)*L22*(COS(M22)^2)/12</f>
        <v>0</v>
      </c>
      <c r="O22" s="22" t="n">
        <f aca="false">(I21+I22)*L22*COS(M22)*SIN(M22)/12</f>
        <v>0</v>
      </c>
      <c r="P22" s="0" t="n">
        <f aca="false">L22^2*(I21+2*I22)*(COS(M22))^2/36+H21*(I21+I22)*L22*(COS(M22)^2)/144</f>
        <v>0</v>
      </c>
      <c r="U22" s="24" t="s">
        <v>61</v>
      </c>
      <c r="Y22" s="0" t="n">
        <v>1.2</v>
      </c>
      <c r="Z22" s="0" t="n">
        <v>1.67</v>
      </c>
      <c r="AA22" s="19" t="n">
        <v>3000000</v>
      </c>
      <c r="AB22" s="0" t="n">
        <v>0.442</v>
      </c>
      <c r="AC22" s="0" t="n">
        <v>32</v>
      </c>
      <c r="AD22" s="0" t="n">
        <v>0.795</v>
      </c>
      <c r="AE22" s="0" t="n">
        <v>1.6</v>
      </c>
      <c r="AF22" s="0" t="n">
        <v>1</v>
      </c>
      <c r="AG22" s="0" t="n">
        <f aca="false">AG21+1</f>
        <v>13</v>
      </c>
      <c r="AH22" s="0" t="n">
        <f aca="false">AG22*PI()/180</f>
        <v>0.226892802759263</v>
      </c>
      <c r="AI22" s="0" t="n">
        <f aca="false">$D$9*SIN(AH22)</f>
        <v>0.44990210868773</v>
      </c>
      <c r="AJ22" s="19" t="n">
        <f aca="false">$E$9*$Q$10*SIN(AH22)/$K$9</f>
        <v>397943.328595123</v>
      </c>
      <c r="AK22" s="0" t="e">
        <f aca="false">interpfn($Y$9:$Z$36,AI22,2)</f>
        <v>#VALUE!</v>
      </c>
      <c r="AL22" s="0" t="e">
        <f aca="false">interpfn($AA$9:$AB$27,AJ22,2)</f>
        <v>#VALUE!</v>
      </c>
      <c r="AM22" s="0" t="e">
        <f aca="false">IF(AI22&gt;0.45,1,AL22)</f>
        <v>#VALUE!</v>
      </c>
      <c r="AO22" s="0" t="e">
        <f aca="false">interpfn($AE$9:$AF$22,AI22,2)</f>
        <v>#VALUE!</v>
      </c>
      <c r="AP22" s="0" t="e">
        <f aca="false">AK22*AM22</f>
        <v>#VALUE!</v>
      </c>
      <c r="AQ22" s="0" t="e">
        <f aca="false">$AN$9*AO22</f>
        <v>#VALUE!</v>
      </c>
      <c r="AS22" s="0" t="e">
        <f aca="false">$T$9*(COS(AH22))^2+$AR$9*(SIN(AH22))^2</f>
        <v>#VALUE!</v>
      </c>
      <c r="AT22" s="0" t="e">
        <f aca="false">($U$9/2)*(2*COS(2*AH22)*COS(AH22/2)-SIN(2*AH22)*SIN(AH22/2)/2)+2*AQ22*AP22*$N$29*SIN(AH22)*COS(AH22)/$J$9</f>
        <v>#VALUE!</v>
      </c>
      <c r="AU22" s="0" t="e">
        <f aca="false">($U$9/2)*(SIN(2*AH22)*COS(AH22/2))+AQ22*AP22*$N$29*(SIN(AH22))^2/$J$9</f>
        <v>#VALUE!</v>
      </c>
      <c r="AV22" s="0" t="e">
        <f aca="false">($U$9*($F$9/12-$W$9)/(2*$K$9))*(2*COS(2*AH22)*COS(AH22/2)-SIN(2*AH22)*SIN(AH22/2)/2)+2*AP22*AQ22*$N$29*($F$9/12-$S$10)*SIN(AH22)*COS(AH22)/($J$9*$K$9)</f>
        <v>#VALUE!</v>
      </c>
      <c r="AW22" s="0" t="n">
        <f aca="false">AG22</f>
        <v>13</v>
      </c>
      <c r="AX22" s="0" t="e">
        <f aca="false">$U$9*($F$9/12-$W$9)/(2*$K$9)*SIN(2*AH22)*COS(AH22/2)+AP22*AQ22*$N$29*($F$9/12-$S$10)*(SIN(AH22))^2/($J$9*$K$9)</f>
        <v>#VALUE!</v>
      </c>
      <c r="AY22" s="0" t="e">
        <f aca="false">AS22*COS(AH22)+AU22*SIN(AH22)</f>
        <v>#VALUE!</v>
      </c>
      <c r="AZ22" s="0" t="e">
        <f aca="false">AX22</f>
        <v>#VALUE!</v>
      </c>
      <c r="BA22" s="0" t="n">
        <f aca="false">AW22</f>
        <v>13</v>
      </c>
      <c r="BB22" s="0" t="e">
        <f aca="false">IF(AND(AV22&lt;0,AZ22*AZ23&lt;0),BA22+(BA23-BA22)*AZ22/(AZ23-AZ22),"")</f>
        <v>#VALUE!</v>
      </c>
      <c r="BC22" s="0" t="e">
        <f aca="false">IF(AND(AV22&lt;0,AZ22*AZ23&lt;0),AY22+(AY23-AY22)*AZ22/(AZ23-AZ22),"")</f>
        <v>#VALUE!</v>
      </c>
    </row>
    <row r="23" customFormat="false" ht="13.5" hidden="false" customHeight="true" outlineLevel="0" collapsed="false">
      <c r="G23" s="8"/>
      <c r="H23" s="8"/>
      <c r="I23" s="8"/>
      <c r="J23" s="23"/>
      <c r="K23" s="23"/>
      <c r="L23" s="21" t="n">
        <f aca="false">(H23-H22)/12</f>
        <v>0</v>
      </c>
      <c r="M23" s="22" t="n">
        <v>0</v>
      </c>
      <c r="N23" s="22" t="n">
        <f aca="false">(I22+I23)*L23*(COS(M23)^2)/12</f>
        <v>0</v>
      </c>
      <c r="O23" s="22" t="n">
        <f aca="false">(I22+I23)*L23*COS(M23)*SIN(M23)/12</f>
        <v>0</v>
      </c>
      <c r="P23" s="0" t="n">
        <f aca="false">L23^2*(I22+2*I23)*(COS(M23))^2/36+H22*(I22+I23)*L23*(COS(M23)^2)/144</f>
        <v>0</v>
      </c>
      <c r="U23" s="0" t="s">
        <v>62</v>
      </c>
      <c r="Y23" s="0" t="n">
        <v>1.3</v>
      </c>
      <c r="Z23" s="0" t="n">
        <v>1.61</v>
      </c>
      <c r="AA23" s="19" t="n">
        <v>4000000</v>
      </c>
      <c r="AB23" s="0" t="n">
        <v>0.475</v>
      </c>
      <c r="AC23" s="0" t="n">
        <v>36</v>
      </c>
      <c r="AD23" s="0" t="n">
        <v>0.805</v>
      </c>
      <c r="AG23" s="0" t="n">
        <f aca="false">AG22+1</f>
        <v>14</v>
      </c>
      <c r="AH23" s="0" t="n">
        <f aca="false">AG23*PI()/180</f>
        <v>0.244346095279206</v>
      </c>
      <c r="AI23" s="0" t="n">
        <f aca="false">$D$9*SIN(AH23)</f>
        <v>0.483843791199335</v>
      </c>
      <c r="AJ23" s="19" t="n">
        <f aca="false">$E$9*$Q$10*SIN(AH23)/$K$9</f>
        <v>427965.117459781</v>
      </c>
      <c r="AK23" s="0" t="e">
        <f aca="false">interpfn($Y$9:$Z$36,AI23,2)</f>
        <v>#VALUE!</v>
      </c>
      <c r="AL23" s="0" t="e">
        <f aca="false">interpfn($AA$9:$AB$27,AJ23,2)</f>
        <v>#VALUE!</v>
      </c>
      <c r="AM23" s="0" t="n">
        <f aca="false">IF(AI23&gt;0.45,1,AL23)</f>
        <v>1</v>
      </c>
      <c r="AO23" s="0" t="e">
        <f aca="false">interpfn($AE$9:$AF$22,AI23,2)</f>
        <v>#VALUE!</v>
      </c>
      <c r="AP23" s="0" t="e">
        <f aca="false">AK23*AM23</f>
        <v>#VALUE!</v>
      </c>
      <c r="AQ23" s="0" t="e">
        <f aca="false">$AN$9*AO23</f>
        <v>#VALUE!</v>
      </c>
      <c r="AS23" s="0" t="e">
        <f aca="false">$T$9*(COS(AH23))^2+$AR$9*(SIN(AH23))^2</f>
        <v>#VALUE!</v>
      </c>
      <c r="AT23" s="0" t="e">
        <f aca="false">($U$9/2)*(2*COS(2*AH23)*COS(AH23/2)-SIN(2*AH23)*SIN(AH23/2)/2)+2*AQ23*AP23*$N$29*SIN(AH23)*COS(AH23)/$J$9</f>
        <v>#VALUE!</v>
      </c>
      <c r="AU23" s="0" t="e">
        <f aca="false">($U$9/2)*(SIN(2*AH23)*COS(AH23/2))+AQ23*AP23*$N$29*(SIN(AH23))^2/$J$9</f>
        <v>#VALUE!</v>
      </c>
      <c r="AV23" s="0" t="e">
        <f aca="false">($U$9*($F$9/12-$W$9)/(2*$K$9))*(2*COS(2*AH23)*COS(AH23/2)-SIN(2*AH23)*SIN(AH23/2)/2)+2*AP23*AQ23*$N$29*($F$9/12-$S$10)*SIN(AH23)*COS(AH23)/($J$9*$K$9)</f>
        <v>#VALUE!</v>
      </c>
      <c r="AW23" s="0" t="n">
        <f aca="false">AG23</f>
        <v>14</v>
      </c>
      <c r="AX23" s="0" t="e">
        <f aca="false">$U$9*($F$9/12-$W$9)/(2*$K$9)*SIN(2*AH23)*COS(AH23/2)+AP23*AQ23*$N$29*($F$9/12-$S$10)*(SIN(AH23))^2/($J$9*$K$9)</f>
        <v>#VALUE!</v>
      </c>
      <c r="AY23" s="0" t="e">
        <f aca="false">AS23*COS(AH23)+AU23*SIN(AH23)</f>
        <v>#VALUE!</v>
      </c>
      <c r="AZ23" s="0" t="e">
        <f aca="false">AX23</f>
        <v>#VALUE!</v>
      </c>
      <c r="BA23" s="0" t="n">
        <f aca="false">AW23</f>
        <v>14</v>
      </c>
      <c r="BB23" s="0" t="e">
        <f aca="false">IF(AND(AV23&lt;0,AZ23*AZ24&lt;0),BA23+(BA24-BA23)*AZ23/(AZ24-AZ23),"")</f>
        <v>#VALUE!</v>
      </c>
      <c r="BC23" s="0" t="e">
        <f aca="false">IF(AND(AV23&lt;0,AZ23*AZ24&lt;0),AY23+(AY24-AY23)*AZ23/(AZ24-AZ23),"")</f>
        <v>#VALUE!</v>
      </c>
    </row>
    <row r="24" customFormat="false" ht="14.25" hidden="false" customHeight="true" outlineLevel="0" collapsed="false">
      <c r="G24" s="8"/>
      <c r="H24" s="8"/>
      <c r="I24" s="8"/>
      <c r="J24" s="23"/>
      <c r="K24" s="23"/>
      <c r="L24" s="21" t="n">
        <f aca="false">(H24-H23)/12</f>
        <v>0</v>
      </c>
      <c r="M24" s="22" t="n">
        <v>0</v>
      </c>
      <c r="N24" s="22" t="n">
        <f aca="false">(I23+I24)*L24*(COS(M24)^2)/12</f>
        <v>0</v>
      </c>
      <c r="O24" s="22" t="n">
        <f aca="false">(I23+I24)*L24*COS(M24)*SIN(M24)/12</f>
        <v>0</v>
      </c>
      <c r="P24" s="0" t="n">
        <f aca="false">L24^2*(I23+2*I24)*(COS(M24))^2/36+H23*(I23+I24)*L24*(COS(M24)^2)/144</f>
        <v>0</v>
      </c>
      <c r="U24" s="0" t="s">
        <v>63</v>
      </c>
      <c r="Y24" s="0" t="n">
        <v>1.4</v>
      </c>
      <c r="Z24" s="0" t="n">
        <v>1.55</v>
      </c>
      <c r="AA24" s="19" t="n">
        <v>5000000</v>
      </c>
      <c r="AB24" s="0" t="n">
        <v>0.508</v>
      </c>
      <c r="AC24" s="0" t="n">
        <v>40</v>
      </c>
      <c r="AD24" s="0" t="n">
        <v>0.815</v>
      </c>
      <c r="AG24" s="0" t="n">
        <f aca="false">AG23+1</f>
        <v>15</v>
      </c>
      <c r="AH24" s="0" t="n">
        <f aca="false">AG24*PI()/180</f>
        <v>0.261799387799149</v>
      </c>
      <c r="AI24" s="0" t="n">
        <f aca="false">$D$9*SIN(AH24)</f>
        <v>0.517638090205042</v>
      </c>
      <c r="AJ24" s="19" t="n">
        <f aca="false">$E$9*$Q$10*SIN(AH24)/$K$9</f>
        <v>457856.544003869</v>
      </c>
      <c r="AK24" s="0" t="e">
        <f aca="false">interpfn($Y$9:$Z$36,AI24,2)</f>
        <v>#VALUE!</v>
      </c>
      <c r="AL24" s="0" t="e">
        <f aca="false">interpfn($AA$9:$AB$27,AJ24,2)</f>
        <v>#VALUE!</v>
      </c>
      <c r="AM24" s="0" t="n">
        <f aca="false">IF(AI24&gt;0.45,1,AL24)</f>
        <v>1</v>
      </c>
      <c r="AO24" s="0" t="e">
        <f aca="false">interpfn($AE$9:$AF$22,AI24,2)</f>
        <v>#VALUE!</v>
      </c>
      <c r="AP24" s="0" t="e">
        <f aca="false">AK24*AM24</f>
        <v>#VALUE!</v>
      </c>
      <c r="AQ24" s="0" t="e">
        <f aca="false">$AN$9*AO24</f>
        <v>#VALUE!</v>
      </c>
      <c r="AS24" s="0" t="e">
        <f aca="false">$T$9*(COS(AH24))^2+$AR$9*(SIN(AH24))^2</f>
        <v>#VALUE!</v>
      </c>
      <c r="AT24" s="0" t="e">
        <f aca="false">($U$9/2)*(2*COS(2*AH24)*COS(AH24/2)-SIN(2*AH24)*SIN(AH24/2)/2)+2*AQ24*AP24*$N$29*SIN(AH24)*COS(AH24)/$J$9</f>
        <v>#VALUE!</v>
      </c>
      <c r="AU24" s="0" t="e">
        <f aca="false">($U$9/2)*(SIN(2*AH24)*COS(AH24/2))+AQ24*AP24*$N$29*(SIN(AH24))^2/$J$9</f>
        <v>#VALUE!</v>
      </c>
      <c r="AV24" s="0" t="e">
        <f aca="false">($U$9*($F$9/12-$W$9)/(2*$K$9))*(2*COS(2*AH24)*COS(AH24/2)-SIN(2*AH24)*SIN(AH24/2)/2)+2*AP24*AQ24*$N$29*($F$9/12-$S$10)*SIN(AH24)*COS(AH24)/($J$9*$K$9)</f>
        <v>#VALUE!</v>
      </c>
      <c r="AW24" s="0" t="n">
        <f aca="false">AG24</f>
        <v>15</v>
      </c>
      <c r="AX24" s="0" t="e">
        <f aca="false">$U$9*($F$9/12-$W$9)/(2*$K$9)*SIN(2*AH24)*COS(AH24/2)+AP24*AQ24*$N$29*($F$9/12-$S$10)*(SIN(AH24))^2/($J$9*$K$9)</f>
        <v>#VALUE!</v>
      </c>
      <c r="AY24" s="0" t="e">
        <f aca="false">AS24*COS(AH24)+AU24*SIN(AH24)</f>
        <v>#VALUE!</v>
      </c>
      <c r="AZ24" s="0" t="e">
        <f aca="false">AX24</f>
        <v>#VALUE!</v>
      </c>
      <c r="BA24" s="0" t="n">
        <f aca="false">AW24</f>
        <v>15</v>
      </c>
      <c r="BB24" s="0" t="e">
        <f aca="false">IF(AND(AV24&lt;0,AZ24*AZ25&lt;0),BA24+(BA25-BA24)*AZ24/(AZ25-AZ24),"")</f>
        <v>#VALUE!</v>
      </c>
      <c r="BC24" s="0" t="e">
        <f aca="false">IF(AND(AV24&lt;0,AZ24*AZ25&lt;0),AY24+(AY25-AY24)*AZ24/(AZ25-AZ24),"")</f>
        <v>#VALUE!</v>
      </c>
    </row>
    <row r="25" customFormat="false" ht="12.75" hidden="false" customHeight="false" outlineLevel="0" collapsed="false">
      <c r="G25" s="8"/>
      <c r="H25" s="8"/>
      <c r="I25" s="8"/>
      <c r="J25" s="23"/>
      <c r="K25" s="23"/>
      <c r="L25" s="21" t="n">
        <f aca="false">(H25-H24)/12</f>
        <v>0</v>
      </c>
      <c r="M25" s="22" t="n">
        <v>0</v>
      </c>
      <c r="N25" s="22" t="n">
        <f aca="false">(I24+I25)*L25*(COS(M25)^2)/12</f>
        <v>0</v>
      </c>
      <c r="O25" s="22" t="n">
        <f aca="false">(I24+I25)*L25*COS(M25)*SIN(M25)/12</f>
        <v>0</v>
      </c>
      <c r="P25" s="0" t="n">
        <f aca="false">L25^2*(I24+2*I25)*(COS(M25))^2/36+H24*(I24+I25)*L25*(COS(M25)^2)/144</f>
        <v>0</v>
      </c>
      <c r="U25" s="0" t="s">
        <v>64</v>
      </c>
      <c r="Y25" s="0" t="n">
        <v>1.6</v>
      </c>
      <c r="Z25" s="0" t="n">
        <v>1.5</v>
      </c>
      <c r="AA25" s="19" t="n">
        <v>6000000</v>
      </c>
      <c r="AB25" s="0" t="n">
        <v>0.525</v>
      </c>
      <c r="AG25" s="0" t="n">
        <f aca="false">AG24+1</f>
        <v>16</v>
      </c>
      <c r="AH25" s="0" t="n">
        <f aca="false">AG25*PI()/180</f>
        <v>0.279252680319093</v>
      </c>
      <c r="AI25" s="0" t="n">
        <f aca="false">$D$9*SIN(AH25)</f>
        <v>0.551274711633998</v>
      </c>
      <c r="AJ25" s="19" t="n">
        <f aca="false">$E$9*$Q$10*SIN(AH25)/$K$9</f>
        <v>487608.503009297</v>
      </c>
      <c r="AK25" s="0" t="e">
        <f aca="false">interpfn($Y$9:$Z$36,AI25,2)</f>
        <v>#VALUE!</v>
      </c>
      <c r="AL25" s="0" t="e">
        <f aca="false">interpfn($AA$9:$AB$27,AJ25,2)</f>
        <v>#VALUE!</v>
      </c>
      <c r="AM25" s="0" t="n">
        <f aca="false">IF(AI25&gt;0.45,1,AL25)</f>
        <v>1</v>
      </c>
      <c r="AO25" s="0" t="e">
        <f aca="false">interpfn($AE$9:$AF$22,AI25,2)</f>
        <v>#VALUE!</v>
      </c>
      <c r="AP25" s="0" t="e">
        <f aca="false">AK25*AM25</f>
        <v>#VALUE!</v>
      </c>
      <c r="AQ25" s="0" t="e">
        <f aca="false">$AN$9*AO25</f>
        <v>#VALUE!</v>
      </c>
      <c r="AS25" s="0" t="e">
        <f aca="false">$T$9*(COS(AH25))^2+$AR$9*(SIN(AH25))^2</f>
        <v>#VALUE!</v>
      </c>
      <c r="AT25" s="0" t="e">
        <f aca="false">($U$9/2)*(2*COS(2*AH25)*COS(AH25/2)-SIN(2*AH25)*SIN(AH25/2)/2)+2*AQ25*AP25*$N$29*SIN(AH25)*COS(AH25)/$J$9</f>
        <v>#VALUE!</v>
      </c>
      <c r="AU25" s="0" t="e">
        <f aca="false">($U$9/2)*(SIN(2*AH25)*COS(AH25/2))+AQ25*AP25*$N$29*(SIN(AH25))^2/$J$9</f>
        <v>#VALUE!</v>
      </c>
      <c r="AV25" s="0" t="e">
        <f aca="false">($U$9*($F$9/12-$W$9)/(2*$K$9))*(2*COS(2*AH25)*COS(AH25/2)-SIN(2*AH25)*SIN(AH25/2)/2)+2*AP25*AQ25*$N$29*($F$9/12-$S$10)*SIN(AH25)*COS(AH25)/($J$9*$K$9)</f>
        <v>#VALUE!</v>
      </c>
      <c r="AW25" s="0" t="n">
        <f aca="false">AG25</f>
        <v>16</v>
      </c>
      <c r="AX25" s="0" t="e">
        <f aca="false">$U$9*($F$9/12-$W$9)/(2*$K$9)*SIN(2*AH25)*COS(AH25/2)+AP25*AQ25*$N$29*($F$9/12-$S$10)*(SIN(AH25))^2/($J$9*$K$9)</f>
        <v>#VALUE!</v>
      </c>
      <c r="AY25" s="0" t="e">
        <f aca="false">AS25*COS(AH25)+AU25*SIN(AH25)</f>
        <v>#VALUE!</v>
      </c>
      <c r="AZ25" s="0" t="e">
        <f aca="false">AX25</f>
        <v>#VALUE!</v>
      </c>
      <c r="BA25" s="0" t="n">
        <f aca="false">AW25</f>
        <v>16</v>
      </c>
      <c r="BB25" s="0" t="e">
        <f aca="false">IF(AND(AV25&lt;0,AZ25*AZ26&lt;0),BA25+(BA26-BA25)*AZ25/(AZ26-AZ25),"")</f>
        <v>#VALUE!</v>
      </c>
      <c r="BC25" s="0" t="e">
        <f aca="false">IF(AND(AV25&lt;0,AZ25*AZ26&lt;0),AY25+(AY26-AY25)*AZ25/(AZ26-AZ25),"")</f>
        <v>#VALUE!</v>
      </c>
    </row>
    <row r="26" customFormat="false" ht="15.75" hidden="false" customHeight="false" outlineLevel="0" collapsed="false">
      <c r="G26" s="8"/>
      <c r="H26" s="8"/>
      <c r="I26" s="8"/>
      <c r="J26" s="23"/>
      <c r="K26" s="23"/>
      <c r="L26" s="21" t="n">
        <f aca="false">(H26-H25)/12</f>
        <v>0</v>
      </c>
      <c r="M26" s="22" t="n">
        <v>0</v>
      </c>
      <c r="N26" s="22" t="n">
        <f aca="false">(I25+I26)*L26*(COS(M26)^2)/12</f>
        <v>0</v>
      </c>
      <c r="O26" s="22" t="n">
        <f aca="false">(I25+I26)*L26*COS(M26)*SIN(M26)/12</f>
        <v>0</v>
      </c>
      <c r="P26" s="0" t="n">
        <f aca="false">L26^2*(I25+2*I26)*(COS(M26))^2/36+H25*(I25+I26)*L26*(COS(M26)^2)/144</f>
        <v>0</v>
      </c>
      <c r="R26" s="25"/>
      <c r="S26" s="26"/>
      <c r="U26" s="0" t="s">
        <v>65</v>
      </c>
      <c r="Y26" s="0" t="n">
        <v>1.8</v>
      </c>
      <c r="Z26" s="0" t="n">
        <v>1.45</v>
      </c>
      <c r="AA26" s="19" t="n">
        <v>8000000</v>
      </c>
      <c r="AB26" s="0" t="n">
        <v>0.542</v>
      </c>
      <c r="AG26" s="0" t="n">
        <f aca="false">AG25+1</f>
        <v>17</v>
      </c>
      <c r="AH26" s="0" t="n">
        <f aca="false">AG26*PI()/180</f>
        <v>0.296705972839036</v>
      </c>
      <c r="AI26" s="0" t="n">
        <f aca="false">$D$9*SIN(AH26)</f>
        <v>0.584743409445474</v>
      </c>
      <c r="AJ26" s="19" t="n">
        <f aca="false">$E$9*$Q$10*SIN(AH26)/$K$9</f>
        <v>517211.931741139</v>
      </c>
      <c r="AK26" s="0" t="e">
        <f aca="false">interpfn($Y$9:$Z$36,AI26,2)</f>
        <v>#VALUE!</v>
      </c>
      <c r="AL26" s="0" t="e">
        <f aca="false">interpfn($AA$9:$AB$27,AJ26,2)</f>
        <v>#VALUE!</v>
      </c>
      <c r="AM26" s="0" t="n">
        <f aca="false">IF(AI26&gt;0.45,1,AL26)</f>
        <v>1</v>
      </c>
      <c r="AO26" s="0" t="e">
        <f aca="false">interpfn($AE$9:$AF$22,AI26,2)</f>
        <v>#VALUE!</v>
      </c>
      <c r="AP26" s="0" t="e">
        <f aca="false">AK26*AM26</f>
        <v>#VALUE!</v>
      </c>
      <c r="AQ26" s="0" t="e">
        <f aca="false">$AN$9*AO26</f>
        <v>#VALUE!</v>
      </c>
      <c r="AS26" s="0" t="e">
        <f aca="false">$T$9*(COS(AH26))^2+$AR$9*(SIN(AH26))^2</f>
        <v>#VALUE!</v>
      </c>
      <c r="AT26" s="0" t="e">
        <f aca="false">($U$9/2)*(2*COS(2*AH26)*COS(AH26/2)-SIN(2*AH26)*SIN(AH26/2)/2)+2*AQ26*AP26*$N$29*SIN(AH26)*COS(AH26)/$J$9</f>
        <v>#VALUE!</v>
      </c>
      <c r="AU26" s="0" t="e">
        <f aca="false">($U$9/2)*(SIN(2*AH26)*COS(AH26/2))+AQ26*AP26*$N$29*(SIN(AH26))^2/$J$9</f>
        <v>#VALUE!</v>
      </c>
      <c r="AV26" s="0" t="e">
        <f aca="false">($U$9*($F$9/12-$W$9)/(2*$K$9))*(2*COS(2*AH26)*COS(AH26/2)-SIN(2*AH26)*SIN(AH26/2)/2)+2*AP26*AQ26*$N$29*($F$9/12-$S$10)*SIN(AH26)*COS(AH26)/($J$9*$K$9)</f>
        <v>#VALUE!</v>
      </c>
      <c r="AW26" s="0" t="n">
        <f aca="false">AG26</f>
        <v>17</v>
      </c>
      <c r="AX26" s="0" t="e">
        <f aca="false">$U$9*($F$9/12-$W$9)/(2*$K$9)*SIN(2*AH26)*COS(AH26/2)+AP26*AQ26*$N$29*($F$9/12-$S$10)*(SIN(AH26))^2/($J$9*$K$9)</f>
        <v>#VALUE!</v>
      </c>
      <c r="AY26" s="0" t="e">
        <f aca="false">AS26*COS(AH26)+AU26*SIN(AH26)</f>
        <v>#VALUE!</v>
      </c>
      <c r="AZ26" s="0" t="e">
        <f aca="false">AX26</f>
        <v>#VALUE!</v>
      </c>
      <c r="BA26" s="0" t="n">
        <f aca="false">AW26</f>
        <v>17</v>
      </c>
      <c r="BB26" s="0" t="e">
        <f aca="false">IF(AND(AV26&lt;0,AZ26*AZ27&lt;0),BA26+(BA27-BA26)*AZ26/(AZ27-AZ26),"")</f>
        <v>#VALUE!</v>
      </c>
      <c r="BC26" s="0" t="e">
        <f aca="false">IF(AND(AV26&lt;0,AZ26*AZ27&lt;0),AY26+(AY27-AY26)*AZ26/(AZ27-AZ26),"")</f>
        <v>#VALUE!</v>
      </c>
    </row>
    <row r="27" customFormat="false" ht="12.75" hidden="false" customHeight="false" outlineLevel="0" collapsed="false">
      <c r="G27" s="8"/>
      <c r="H27" s="8"/>
      <c r="I27" s="8"/>
      <c r="J27" s="23"/>
      <c r="K27" s="23"/>
      <c r="L27" s="21" t="n">
        <f aca="false">(H27-H26)/12</f>
        <v>0</v>
      </c>
      <c r="M27" s="22" t="n">
        <v>0</v>
      </c>
      <c r="N27" s="22" t="n">
        <f aca="false">(I26+I27)*L27*(COS(M27)^2)/12</f>
        <v>0</v>
      </c>
      <c r="O27" s="22" t="n">
        <f aca="false">(I26+I27)*L27*COS(M27)*SIN(M27)/12</f>
        <v>0</v>
      </c>
      <c r="P27" s="0" t="n">
        <f aca="false">L27^2*(I26+2*I27)*(COS(M27))^2/36+H26*(I26+I27)*L27*(COS(M27)^2)/144</f>
        <v>0</v>
      </c>
      <c r="Y27" s="0" t="n">
        <v>2</v>
      </c>
      <c r="Z27" s="0" t="n">
        <v>1.41</v>
      </c>
      <c r="AA27" s="19" t="n">
        <v>10000000</v>
      </c>
      <c r="AB27" s="0" t="n">
        <v>0.542</v>
      </c>
      <c r="AG27" s="0" t="n">
        <f aca="false">AG26+1</f>
        <v>18</v>
      </c>
      <c r="AH27" s="0" t="n">
        <f aca="false">AG27*PI()/180</f>
        <v>0.314159265358979</v>
      </c>
      <c r="AI27" s="0" t="n">
        <f aca="false">$D$9*SIN(AH27)</f>
        <v>0.618033988749895</v>
      </c>
      <c r="AJ27" s="19" t="n">
        <f aca="false">$E$9*$Q$10*SIN(AH27)/$K$9</f>
        <v>546657.812708228</v>
      </c>
      <c r="AK27" s="0" t="e">
        <f aca="false">interpfn($Y$9:$Z$36,AI27,2)</f>
        <v>#VALUE!</v>
      </c>
      <c r="AL27" s="0" t="e">
        <f aca="false">interpfn($AA$9:$AB$27,AJ27,2)</f>
        <v>#VALUE!</v>
      </c>
      <c r="AM27" s="0" t="n">
        <f aca="false">IF(AI27&gt;0.45,1,AL27)</f>
        <v>1</v>
      </c>
      <c r="AO27" s="0" t="e">
        <f aca="false">interpfn($AE$9:$AF$22,AI27,2)</f>
        <v>#VALUE!</v>
      </c>
      <c r="AP27" s="0" t="e">
        <f aca="false">AK27*AM27</f>
        <v>#VALUE!</v>
      </c>
      <c r="AQ27" s="0" t="e">
        <f aca="false">$AN$9*AO27</f>
        <v>#VALUE!</v>
      </c>
      <c r="AS27" s="0" t="e">
        <f aca="false">$T$9*(COS(AH27))^2+$AR$9*(SIN(AH27))^2</f>
        <v>#VALUE!</v>
      </c>
      <c r="AT27" s="0" t="e">
        <f aca="false">($U$9/2)*(2*COS(2*AH27)*COS(AH27/2)-SIN(2*AH27)*SIN(AH27/2)/2)+2*AQ27*AP27*$N$29*SIN(AH27)*COS(AH27)/$J$9</f>
        <v>#VALUE!</v>
      </c>
      <c r="AU27" s="0" t="e">
        <f aca="false">($U$9/2)*(SIN(2*AH27)*COS(AH27/2))+AQ27*AP27*$N$29*(SIN(AH27))^2/$J$9</f>
        <v>#VALUE!</v>
      </c>
      <c r="AV27" s="0" t="e">
        <f aca="false">($U$9*($F$9/12-$W$9)/(2*$K$9))*(2*COS(2*AH27)*COS(AH27/2)-SIN(2*AH27)*SIN(AH27/2)/2)+2*AP27*AQ27*$N$29*($F$9/12-$S$10)*SIN(AH27)*COS(AH27)/($J$9*$K$9)</f>
        <v>#VALUE!</v>
      </c>
      <c r="AW27" s="0" t="n">
        <f aca="false">AG27</f>
        <v>18</v>
      </c>
      <c r="AX27" s="0" t="e">
        <f aca="false">$U$9*($F$9/12-$W$9)/(2*$K$9)*SIN(2*AH27)*COS(AH27/2)+AP27*AQ27*$N$29*($F$9/12-$S$10)*(SIN(AH27))^2/($J$9*$K$9)</f>
        <v>#VALUE!</v>
      </c>
      <c r="AY27" s="0" t="e">
        <f aca="false">AS27*COS(AH27)+AU27*SIN(AH27)</f>
        <v>#VALUE!</v>
      </c>
      <c r="AZ27" s="0" t="e">
        <f aca="false">AX27</f>
        <v>#VALUE!</v>
      </c>
      <c r="BA27" s="0" t="n">
        <f aca="false">AW27</f>
        <v>18</v>
      </c>
      <c r="BB27" s="0" t="e">
        <f aca="false">IF(AND(AV27&lt;0,AZ27*AZ28&lt;0),BA27+(BA28-BA27)*AZ27/(AZ28-AZ27),"")</f>
        <v>#VALUE!</v>
      </c>
      <c r="BC27" s="0" t="e">
        <f aca="false">IF(AND(AV27&lt;0,AZ27*AZ28&lt;0),AY27+(AY28-AY27)*AZ27/(AZ28-AZ27),"")</f>
        <v>#VALUE!</v>
      </c>
    </row>
    <row r="28" customFormat="false" ht="12.75" hidden="false" customHeight="false" outlineLevel="0" collapsed="false">
      <c r="G28" s="8"/>
      <c r="H28" s="8"/>
      <c r="I28" s="8"/>
      <c r="J28" s="23"/>
      <c r="K28" s="23"/>
      <c r="L28" s="21" t="n">
        <f aca="false">(H28-H27)/12</f>
        <v>0</v>
      </c>
      <c r="M28" s="22" t="n">
        <v>0</v>
      </c>
      <c r="N28" s="22" t="n">
        <f aca="false">(I27+I28)*L28*(COS(M28)^2)/12</f>
        <v>0</v>
      </c>
      <c r="O28" s="22" t="n">
        <f aca="false">(I27+I28)*L28*COS(M28)*SIN(M28)/12</f>
        <v>0</v>
      </c>
      <c r="P28" s="0" t="n">
        <f aca="false">L28^2*(I27+2*I28)*(COS(M28))^2/36+H27*(I27+I28)*L28*(COS(M28)^2)/144</f>
        <v>0</v>
      </c>
      <c r="Y28" s="0" t="n">
        <v>2.4</v>
      </c>
      <c r="Z28" s="0" t="n">
        <v>1.37</v>
      </c>
      <c r="AG28" s="0" t="n">
        <f aca="false">AG27+1</f>
        <v>19</v>
      </c>
      <c r="AH28" s="0" t="n">
        <f aca="false">AG28*PI()/180</f>
        <v>0.331612557878923</v>
      </c>
      <c r="AI28" s="0" t="n">
        <f aca="false">$D$9*SIN(AH28)</f>
        <v>0.651136308914313</v>
      </c>
      <c r="AJ28" s="19" t="n">
        <f aca="false">$E$9*$Q$10*SIN(AH28)/$K$9</f>
        <v>575937.176409974</v>
      </c>
      <c r="AK28" s="0" t="e">
        <f aca="false">interpfn($Y$9:$Z$36,AI28,2)</f>
        <v>#VALUE!</v>
      </c>
      <c r="AL28" s="0" t="e">
        <f aca="false">interpfn($AA$9:$AB$27,AJ28,2)</f>
        <v>#VALUE!</v>
      </c>
      <c r="AM28" s="0" t="n">
        <f aca="false">IF(AI28&gt;0.45,1,AL28)</f>
        <v>1</v>
      </c>
      <c r="AO28" s="0" t="e">
        <f aca="false">interpfn($AE$9:$AF$22,AI28,2)</f>
        <v>#VALUE!</v>
      </c>
      <c r="AP28" s="0" t="e">
        <f aca="false">AK28*AM28</f>
        <v>#VALUE!</v>
      </c>
      <c r="AQ28" s="0" t="e">
        <f aca="false">$AN$9*AO28</f>
        <v>#VALUE!</v>
      </c>
      <c r="AS28" s="0" t="e">
        <f aca="false">$T$9*(COS(AH28))^2+$AR$9*(SIN(AH28))^2</f>
        <v>#VALUE!</v>
      </c>
      <c r="AT28" s="0" t="e">
        <f aca="false">($U$9/2)*(2*COS(2*AH28)*COS(AH28/2)-SIN(2*AH28)*SIN(AH28/2)/2)+2*AQ28*AP28*$N$29*SIN(AH28)*COS(AH28)/$J$9</f>
        <v>#VALUE!</v>
      </c>
      <c r="AU28" s="0" t="e">
        <f aca="false">($U$9/2)*(SIN(2*AH28)*COS(AH28/2))+AQ28*AP28*$N$29*(SIN(AH28))^2/$J$9</f>
        <v>#VALUE!</v>
      </c>
      <c r="AV28" s="0" t="e">
        <f aca="false">($U$9*($F$9/12-$W$9)/(2*$K$9))*(2*COS(2*AH28)*COS(AH28/2)-SIN(2*AH28)*SIN(AH28/2)/2)+2*AP28*AQ28*$N$29*($F$9/12-$S$10)*SIN(AH28)*COS(AH28)/($J$9*$K$9)</f>
        <v>#VALUE!</v>
      </c>
      <c r="AW28" s="0" t="n">
        <f aca="false">AG28</f>
        <v>19</v>
      </c>
      <c r="AX28" s="0" t="e">
        <f aca="false">$U$9*($F$9/12-$W$9)/(2*$K$9)*SIN(2*AH28)*COS(AH28/2)+AP28*AQ28*$N$29*($F$9/12-$S$10)*(SIN(AH28))^2/($J$9*$K$9)</f>
        <v>#VALUE!</v>
      </c>
      <c r="AY28" s="0" t="e">
        <f aca="false">AS28*COS(AH28)+AU28*SIN(AH28)</f>
        <v>#VALUE!</v>
      </c>
      <c r="AZ28" s="0" t="e">
        <f aca="false">AX28</f>
        <v>#VALUE!</v>
      </c>
      <c r="BA28" s="0" t="n">
        <f aca="false">AW28</f>
        <v>19</v>
      </c>
      <c r="BB28" s="0" t="e">
        <f aca="false">IF(AND(AV28&lt;0,AZ28*AZ29&lt;0),BA28+(BA29-BA28)*AZ28/(AZ29-AZ28),"")</f>
        <v>#VALUE!</v>
      </c>
      <c r="BC28" s="0" t="e">
        <f aca="false">IF(AND(AV28&lt;0,AZ28*AZ29&lt;0),AY28+(AY29-AY28)*AZ28/(AZ29-AZ28),"")</f>
        <v>#VALUE!</v>
      </c>
    </row>
    <row r="29" customFormat="false" ht="12.75" hidden="false" customHeight="false" outlineLevel="0" collapsed="false">
      <c r="G29" s="8"/>
      <c r="H29" s="8"/>
      <c r="I29" s="8"/>
      <c r="J29" s="23"/>
      <c r="K29" s="23"/>
      <c r="L29" s="18" t="n">
        <f aca="false">12*SUM(L10:L28)</f>
        <v>108</v>
      </c>
      <c r="M29" s="21"/>
      <c r="N29" s="18" t="n">
        <f aca="false">SUM(N10:N28)</f>
        <v>3.98029914529915</v>
      </c>
      <c r="O29" s="18" t="n">
        <f aca="false">SUM(O10:O28)</f>
        <v>0.0618376068376068</v>
      </c>
      <c r="P29" s="18" t="n">
        <f aca="false">SUM(P10:P28)</f>
        <v>19.84581671415</v>
      </c>
      <c r="Y29" s="0" t="n">
        <v>2.8</v>
      </c>
      <c r="Z29" s="0" t="n">
        <v>1.34</v>
      </c>
      <c r="AG29" s="0" t="n">
        <f aca="false">AG28+1</f>
        <v>20</v>
      </c>
      <c r="AH29" s="0" t="n">
        <f aca="false">AG29*PI()/180</f>
        <v>0.349065850398866</v>
      </c>
      <c r="AI29" s="0" t="n">
        <f aca="false">$D$9*SIN(AH29)</f>
        <v>0.684040286651337</v>
      </c>
      <c r="AJ29" s="19" t="n">
        <f aca="false">$E$9*$Q$10*SIN(AH29)/$K$9</f>
        <v>605041.104068556</v>
      </c>
      <c r="AK29" s="0" t="e">
        <f aca="false">interpfn($Y$9:$Z$36,AI29,2)</f>
        <v>#VALUE!</v>
      </c>
      <c r="AL29" s="0" t="e">
        <f aca="false">interpfn($AA$9:$AB$27,AJ29,2)</f>
        <v>#VALUE!</v>
      </c>
      <c r="AM29" s="0" t="n">
        <f aca="false">IF(AI29&gt;0.45,1,AL29)</f>
        <v>1</v>
      </c>
      <c r="AO29" s="0" t="e">
        <f aca="false">interpfn($AE$9:$AF$22,AI29,2)</f>
        <v>#VALUE!</v>
      </c>
      <c r="AP29" s="0" t="e">
        <f aca="false">AK29*AM29</f>
        <v>#VALUE!</v>
      </c>
      <c r="AQ29" s="0" t="e">
        <f aca="false">$AN$9*AO29</f>
        <v>#VALUE!</v>
      </c>
      <c r="AS29" s="0" t="e">
        <f aca="false">$T$9*(COS(AH29))^2+$AR$9*(SIN(AH29))^2</f>
        <v>#VALUE!</v>
      </c>
      <c r="AT29" s="0" t="e">
        <f aca="false">($U$9/2)*(2*COS(2*AH29)*COS(AH29/2)-SIN(2*AH29)*SIN(AH29/2)/2)+2*AQ29*AP29*$N$29*SIN(AH29)*COS(AH29)/$J$9</f>
        <v>#VALUE!</v>
      </c>
      <c r="AU29" s="0" t="e">
        <f aca="false">($U$9/2)*(SIN(2*AH29)*COS(AH29/2))+AQ29*AP29*$N$29*(SIN(AH29))^2/$J$9</f>
        <v>#VALUE!</v>
      </c>
      <c r="AV29" s="0" t="e">
        <f aca="false">($U$9*($F$9/12-$W$9)/(2*$K$9))*(2*COS(2*AH29)*COS(AH29/2)-SIN(2*AH29)*SIN(AH29/2)/2)+2*AP29*AQ29*$N$29*($F$9/12-$S$10)*SIN(AH29)*COS(AH29)/($J$9*$K$9)</f>
        <v>#VALUE!</v>
      </c>
      <c r="AW29" s="0" t="n">
        <f aca="false">AG29</f>
        <v>20</v>
      </c>
      <c r="AX29" s="0" t="e">
        <f aca="false">$U$9*($F$9/12-$W$9)/(2*$K$9)*SIN(2*AH29)*COS(AH29/2)+AP29*AQ29*$N$29*($F$9/12-$S$10)*(SIN(AH29))^2/($J$9*$K$9)</f>
        <v>#VALUE!</v>
      </c>
      <c r="AY29" s="0" t="e">
        <f aca="false">AS29*COS(AH29)+AU29*SIN(AH29)</f>
        <v>#VALUE!</v>
      </c>
      <c r="AZ29" s="0" t="e">
        <f aca="false">AX29</f>
        <v>#VALUE!</v>
      </c>
      <c r="BA29" s="0" t="n">
        <f aca="false">AW29</f>
        <v>20</v>
      </c>
      <c r="BB29" s="0" t="e">
        <f aca="false">IF(AND(AV29&lt;0,AZ29*AZ30&lt;0),BA29+(BA30-BA29)*AZ29/(AZ30-AZ29),"")</f>
        <v>#VALUE!</v>
      </c>
      <c r="BC29" s="0" t="e">
        <f aca="false">IF(AND(AV29&lt;0,AZ29*AZ30&lt;0),AY29+(AY30-AY29)*AZ29/(AZ30-AZ29),"")</f>
        <v>#VALUE!</v>
      </c>
    </row>
    <row r="30" customFormat="false" ht="12.75" hidden="false" customHeight="false" outlineLevel="0" collapsed="false">
      <c r="J30" s="23"/>
      <c r="L30" s="14"/>
      <c r="M30" s="22"/>
      <c r="Y30" s="0" t="n">
        <v>3.2</v>
      </c>
      <c r="Z30" s="0" t="n">
        <v>1.32</v>
      </c>
      <c r="AG30" s="0" t="n">
        <f aca="false">AG29+1</f>
        <v>21</v>
      </c>
      <c r="AH30" s="0" t="n">
        <f aca="false">AG30*PI()/180</f>
        <v>0.366519142918809</v>
      </c>
      <c r="AI30" s="0" t="n">
        <f aca="false">$D$9*SIN(AH30)</f>
        <v>0.716735899090601</v>
      </c>
      <c r="AJ30" s="19" t="n">
        <f aca="false">$E$9*$Q$10*SIN(AH30)/$K$9</f>
        <v>633960.730345674</v>
      </c>
      <c r="AK30" s="0" t="e">
        <f aca="false">interpfn($Y$9:$Z$36,AI30,2)</f>
        <v>#VALUE!</v>
      </c>
      <c r="AL30" s="0" t="e">
        <f aca="false">interpfn($AA$9:$AB$27,AJ30,2)</f>
        <v>#VALUE!</v>
      </c>
      <c r="AM30" s="0" t="n">
        <f aca="false">IF(AI30&gt;0.45,1,AL30)</f>
        <v>1</v>
      </c>
      <c r="AO30" s="0" t="e">
        <f aca="false">interpfn($AE$9:$AF$22,AI30,2)</f>
        <v>#VALUE!</v>
      </c>
      <c r="AP30" s="0" t="e">
        <f aca="false">AK30*AM30</f>
        <v>#VALUE!</v>
      </c>
      <c r="AQ30" s="0" t="e">
        <f aca="false">$AN$9*AO30</f>
        <v>#VALUE!</v>
      </c>
      <c r="AS30" s="0" t="e">
        <f aca="false">$T$9*(COS(AH30))^2+$AR$9*(SIN(AH30))^2</f>
        <v>#VALUE!</v>
      </c>
      <c r="AT30" s="0" t="e">
        <f aca="false">($U$9/2)*(2*COS(2*AH30)*COS(AH30/2)-SIN(2*AH30)*SIN(AH30/2)/2)+2*AQ30*AP30*$N$29*SIN(AH30)*COS(AH30)/$J$9</f>
        <v>#VALUE!</v>
      </c>
      <c r="AU30" s="0" t="e">
        <f aca="false">($U$9/2)*(SIN(2*AH30)*COS(AH30/2))+AQ30*AP30*$N$29*(SIN(AH30))^2/$J$9</f>
        <v>#VALUE!</v>
      </c>
      <c r="AV30" s="0" t="e">
        <f aca="false">($U$9*($F$9/12-$W$9)/(2*$K$9))*(2*COS(2*AH30)*COS(AH30/2)-SIN(2*AH30)*SIN(AH30/2)/2)+2*AP30*AQ30*$N$29*($F$9/12-$S$10)*SIN(AH30)*COS(AH30)/($J$9*$K$9)</f>
        <v>#VALUE!</v>
      </c>
      <c r="AW30" s="0" t="n">
        <f aca="false">AG30</f>
        <v>21</v>
      </c>
      <c r="AX30" s="0" t="e">
        <f aca="false">$U$9*($F$9/12-$W$9)/(2*$K$9)*SIN(2*AH30)*COS(AH30/2)+AP30*AQ30*$N$29*($F$9/12-$S$10)*(SIN(AH30))^2/($J$9*$K$9)</f>
        <v>#VALUE!</v>
      </c>
      <c r="AY30" s="0" t="e">
        <f aca="false">AS30*COS(AH30)+AU30*SIN(AH30)</f>
        <v>#VALUE!</v>
      </c>
      <c r="AZ30" s="0" t="e">
        <f aca="false">AX30</f>
        <v>#VALUE!</v>
      </c>
      <c r="BA30" s="0" t="n">
        <f aca="false">AW30</f>
        <v>21</v>
      </c>
      <c r="BB30" s="0" t="e">
        <f aca="false">IF(AND(AV30&lt;0,AZ30*AZ31&lt;0),BA30+(BA31-BA30)*AZ30/(AZ31-AZ30),"")</f>
        <v>#VALUE!</v>
      </c>
      <c r="BC30" s="0" t="e">
        <f aca="false">IF(AND(AV30&lt;0,AZ30*AZ31&lt;0),AY30+(AY31-AY30)*AZ30/(AZ31-AZ30),"")</f>
        <v>#VALUE!</v>
      </c>
    </row>
    <row r="31" customFormat="false" ht="12.75" hidden="false" customHeight="false" outlineLevel="0" collapsed="false">
      <c r="Y31" s="0" t="n">
        <v>3.6</v>
      </c>
      <c r="Z31" s="0" t="n">
        <v>1.3</v>
      </c>
      <c r="AG31" s="0" t="n">
        <f aca="false">AG30+1</f>
        <v>22</v>
      </c>
      <c r="AH31" s="0" t="n">
        <f aca="false">AG31*PI()/180</f>
        <v>0.383972435438753</v>
      </c>
      <c r="AI31" s="0" t="n">
        <f aca="false">$D$9*SIN(AH31)</f>
        <v>0.749213186831824</v>
      </c>
      <c r="AJ31" s="19" t="n">
        <f aca="false">$E$9*$Q$10*SIN(AH31)/$K$9</f>
        <v>662687.246043013</v>
      </c>
      <c r="AK31" s="0" t="e">
        <f aca="false">interpfn($Y$9:$Z$36,AI31,2)</f>
        <v>#VALUE!</v>
      </c>
      <c r="AL31" s="0" t="e">
        <f aca="false">interpfn($AA$9:$AB$27,AJ31,2)</f>
        <v>#VALUE!</v>
      </c>
      <c r="AM31" s="0" t="n">
        <f aca="false">IF(AI31&gt;0.45,1,AL31)</f>
        <v>1</v>
      </c>
      <c r="AO31" s="0" t="e">
        <f aca="false">interpfn($AE$9:$AF$22,AI31,2)</f>
        <v>#VALUE!</v>
      </c>
      <c r="AP31" s="0" t="e">
        <f aca="false">AK31*AM31</f>
        <v>#VALUE!</v>
      </c>
      <c r="AQ31" s="0" t="e">
        <f aca="false">$AN$9*AO31</f>
        <v>#VALUE!</v>
      </c>
      <c r="AS31" s="0" t="e">
        <f aca="false">$T$9*(COS(AH31))^2+$AR$9*(SIN(AH31))^2</f>
        <v>#VALUE!</v>
      </c>
      <c r="AT31" s="0" t="e">
        <f aca="false">($U$9/2)*(2*COS(2*AH31)*COS(AH31/2)-SIN(2*AH31)*SIN(AH31/2)/2)+2*AQ31*AP31*$N$29*SIN(AH31)*COS(AH31)/$J$9</f>
        <v>#VALUE!</v>
      </c>
      <c r="AU31" s="0" t="e">
        <f aca="false">($U$9/2)*(SIN(2*AH31)*COS(AH31/2))+AQ31*AP31*$N$29*(SIN(AH31))^2/$J$9</f>
        <v>#VALUE!</v>
      </c>
      <c r="AV31" s="0" t="e">
        <f aca="false">($U$9*($F$9/12-$W$9)/(2*$K$9))*(2*COS(2*AH31)*COS(AH31/2)-SIN(2*AH31)*SIN(AH31/2)/2)+2*AP31*AQ31*$N$29*($F$9/12-$S$10)*SIN(AH31)*COS(AH31)/($J$9*$K$9)</f>
        <v>#VALUE!</v>
      </c>
      <c r="AW31" s="0" t="n">
        <f aca="false">AG31</f>
        <v>22</v>
      </c>
      <c r="AX31" s="0" t="e">
        <f aca="false">$U$9*($F$9/12-$W$9)/(2*$K$9)*SIN(2*AH31)*COS(AH31/2)+AP31*AQ31*$N$29*($F$9/12-$S$10)*(SIN(AH31))^2/($J$9*$K$9)</f>
        <v>#VALUE!</v>
      </c>
      <c r="AY31" s="0" t="e">
        <f aca="false">AS31*COS(AH31)+AU31*SIN(AH31)</f>
        <v>#VALUE!</v>
      </c>
      <c r="AZ31" s="0" t="e">
        <f aca="false">AX31</f>
        <v>#VALUE!</v>
      </c>
      <c r="BA31" s="0" t="n">
        <f aca="false">AW31</f>
        <v>22</v>
      </c>
      <c r="BB31" s="0" t="e">
        <f aca="false">IF(AND(AV31&lt;0,AZ31*AZ32&lt;0),BA31+(BA32-BA31)*AZ31/(AZ32-AZ31),"")</f>
        <v>#VALUE!</v>
      </c>
      <c r="BC31" s="0" t="e">
        <f aca="false">IF(AND(AV31&lt;0,AZ31*AZ32&lt;0),AY31+(AY32-AY31)*AZ31/(AZ32-AZ31),"")</f>
        <v>#VALUE!</v>
      </c>
    </row>
    <row r="32" customFormat="false" ht="12.75" hidden="false" customHeight="false" outlineLevel="0" collapsed="false">
      <c r="Y32" s="0" t="n">
        <v>4</v>
      </c>
      <c r="Z32" s="0" t="n">
        <v>1.29</v>
      </c>
      <c r="AG32" s="0" t="n">
        <f aca="false">AG31+1</f>
        <v>23</v>
      </c>
      <c r="AH32" s="0" t="n">
        <f aca="false">AG32*PI()/180</f>
        <v>0.401425727958696</v>
      </c>
      <c r="AI32" s="0" t="n">
        <f aca="false">$D$9*SIN(AH32)</f>
        <v>0.781462256978547</v>
      </c>
      <c r="AJ32" s="19" t="n">
        <f aca="false">$E$9*$Q$10*SIN(AH32)/$K$9</f>
        <v>691211.900785612</v>
      </c>
      <c r="AK32" s="0" t="e">
        <f aca="false">interpfn($Y$9:$Z$36,AI32,2)</f>
        <v>#VALUE!</v>
      </c>
      <c r="AL32" s="0" t="e">
        <f aca="false">interpfn($AA$9:$AB$27,AJ32,2)</f>
        <v>#VALUE!</v>
      </c>
      <c r="AM32" s="0" t="n">
        <f aca="false">IF(AI32&gt;0.45,1,AL32)</f>
        <v>1</v>
      </c>
      <c r="AO32" s="0" t="e">
        <f aca="false">interpfn($AE$9:$AF$22,AI32,2)</f>
        <v>#VALUE!</v>
      </c>
      <c r="AP32" s="0" t="e">
        <f aca="false">AK32*AM32</f>
        <v>#VALUE!</v>
      </c>
      <c r="AQ32" s="0" t="e">
        <f aca="false">$AN$9*AO32</f>
        <v>#VALUE!</v>
      </c>
      <c r="AS32" s="0" t="e">
        <f aca="false">$T$9*(COS(AH32))^2+$AR$9*(SIN(AH32))^2</f>
        <v>#VALUE!</v>
      </c>
      <c r="AT32" s="0" t="e">
        <f aca="false">($U$9/2)*(2*COS(2*AH32)*COS(AH32/2)-SIN(2*AH32)*SIN(AH32/2)/2)+2*AQ32*AP32*$N$29*SIN(AH32)*COS(AH32)/$J$9</f>
        <v>#VALUE!</v>
      </c>
      <c r="AU32" s="0" t="e">
        <f aca="false">($U$9/2)*(SIN(2*AH32)*COS(AH32/2))+AQ32*AP32*$N$29*(SIN(AH32))^2/$J$9</f>
        <v>#VALUE!</v>
      </c>
      <c r="AV32" s="0" t="e">
        <f aca="false">($U$9*($F$9/12-$W$9)/(2*$K$9))*(2*COS(2*AH32)*COS(AH32/2)-SIN(2*AH32)*SIN(AH32/2)/2)+2*AP32*AQ32*$N$29*($F$9/12-$S$10)*SIN(AH32)*COS(AH32)/($J$9*$K$9)</f>
        <v>#VALUE!</v>
      </c>
      <c r="AW32" s="0" t="n">
        <f aca="false">AG32</f>
        <v>23</v>
      </c>
      <c r="AX32" s="0" t="e">
        <f aca="false">$U$9*($F$9/12-$W$9)/(2*$K$9)*SIN(2*AH32)*COS(AH32/2)+AP32*AQ32*$N$29*($F$9/12-$S$10)*(SIN(AH32))^2/($J$9*$K$9)</f>
        <v>#VALUE!</v>
      </c>
      <c r="AY32" s="0" t="e">
        <f aca="false">AS32*COS(AH32)+AU32*SIN(AH32)</f>
        <v>#VALUE!</v>
      </c>
      <c r="AZ32" s="0" t="e">
        <f aca="false">AX32</f>
        <v>#VALUE!</v>
      </c>
      <c r="BA32" s="0" t="n">
        <f aca="false">AW32</f>
        <v>23</v>
      </c>
      <c r="BB32" s="0" t="e">
        <f aca="false">IF(AND(AV32&lt;0,AZ32*AZ33&lt;0),BA32+(BA33-BA32)*AZ32/(AZ33-AZ32),"")</f>
        <v>#VALUE!</v>
      </c>
      <c r="BC32" s="0" t="e">
        <f aca="false">IF(AND(AV32&lt;0,AZ32*AZ33&lt;0),AY32+(AY33-AY32)*AZ32/(AZ33-AZ32),"")</f>
        <v>#VALUE!</v>
      </c>
    </row>
    <row r="33" customFormat="false" ht="12.75" hidden="false" customHeight="false" outlineLevel="0" collapsed="false">
      <c r="Y33" s="0" t="n">
        <v>5</v>
      </c>
      <c r="Z33" s="0" t="n">
        <v>1.27</v>
      </c>
      <c r="AG33" s="0" t="n">
        <f aca="false">AG32+1</f>
        <v>24</v>
      </c>
      <c r="AH33" s="0" t="n">
        <f aca="false">AG33*PI()/180</f>
        <v>0.418879020478639</v>
      </c>
      <c r="AI33" s="0" t="n">
        <f aca="false">$D$9*SIN(AH33)</f>
        <v>0.8134732861516</v>
      </c>
      <c r="AJ33" s="19" t="n">
        <f aca="false">$E$9*$Q$10*SIN(AH33)/$K$9</f>
        <v>719526.005687312</v>
      </c>
      <c r="AK33" s="0" t="e">
        <f aca="false">interpfn($Y$9:$Z$36,AI33,2)</f>
        <v>#VALUE!</v>
      </c>
      <c r="AL33" s="0" t="e">
        <f aca="false">interpfn($AA$9:$AB$27,AJ33,2)</f>
        <v>#VALUE!</v>
      </c>
      <c r="AM33" s="0" t="n">
        <f aca="false">IF(AI33&gt;0.45,1,AL33)</f>
        <v>1</v>
      </c>
      <c r="AO33" s="0" t="e">
        <f aca="false">interpfn($AE$9:$AF$22,AI33,2)</f>
        <v>#VALUE!</v>
      </c>
      <c r="AP33" s="0" t="e">
        <f aca="false">AK33*AM33</f>
        <v>#VALUE!</v>
      </c>
      <c r="AQ33" s="0" t="e">
        <f aca="false">$AN$9*AO33</f>
        <v>#VALUE!</v>
      </c>
      <c r="AS33" s="0" t="e">
        <f aca="false">$T$9*(COS(AH33))^2+$AR$9*(SIN(AH33))^2</f>
        <v>#VALUE!</v>
      </c>
      <c r="AT33" s="0" t="e">
        <f aca="false">($U$9/2)*(2*COS(2*AH33)*COS(AH33/2)-SIN(2*AH33)*SIN(AH33/2)/2)+2*AQ33*AP33*$N$29*SIN(AH33)*COS(AH33)/$J$9</f>
        <v>#VALUE!</v>
      </c>
      <c r="AU33" s="0" t="e">
        <f aca="false">($U$9/2)*(SIN(2*AH33)*COS(AH33/2))+AQ33*AP33*$N$29*(SIN(AH33))^2/$J$9</f>
        <v>#VALUE!</v>
      </c>
      <c r="AV33" s="0" t="e">
        <f aca="false">($U$9*($F$9/12-$W$9)/(2*$K$9))*(2*COS(2*AH33)*COS(AH33/2)-SIN(2*AH33)*SIN(AH33/2)/2)+2*AP33*AQ33*$N$29*($F$9/12-$S$10)*SIN(AH33)*COS(AH33)/($J$9*$K$9)</f>
        <v>#VALUE!</v>
      </c>
      <c r="AW33" s="0" t="n">
        <f aca="false">AG33</f>
        <v>24</v>
      </c>
      <c r="AX33" s="0" t="e">
        <f aca="false">$U$9*($F$9/12-$W$9)/(2*$K$9)*SIN(2*AH33)*COS(AH33/2)+AP33*AQ33*$N$29*($F$9/12-$S$10)*(SIN(AH33))^2/($J$9*$K$9)</f>
        <v>#VALUE!</v>
      </c>
      <c r="AY33" s="0" t="e">
        <f aca="false">AS33*COS(AH33)+AU33*SIN(AH33)</f>
        <v>#VALUE!</v>
      </c>
      <c r="AZ33" s="0" t="e">
        <f aca="false">AX33</f>
        <v>#VALUE!</v>
      </c>
      <c r="BA33" s="0" t="n">
        <f aca="false">AW33</f>
        <v>24</v>
      </c>
      <c r="BB33" s="0" t="e">
        <f aca="false">IF(AND(AV33&lt;0,AZ33*AZ34&lt;0),BA33+(BA34-BA33)*AZ33/(AZ34-AZ33),"")</f>
        <v>#VALUE!</v>
      </c>
      <c r="BC33" s="0" t="e">
        <f aca="false">IF(AND(AV33&lt;0,AZ33*AZ34&lt;0),AY33+(AY34-AY33)*AZ33/(AZ34-AZ33),"")</f>
        <v>#VALUE!</v>
      </c>
    </row>
    <row r="34" customFormat="false" ht="12.75" hidden="false" customHeight="false" outlineLevel="0" collapsed="false">
      <c r="Y34" s="0" t="n">
        <v>6</v>
      </c>
      <c r="Z34" s="0" t="n">
        <v>1.26</v>
      </c>
      <c r="AG34" s="0" t="n">
        <f aca="false">AG33+1</f>
        <v>25</v>
      </c>
      <c r="AH34" s="0" t="n">
        <f aca="false">AG34*PI()/180</f>
        <v>0.436332312998582</v>
      </c>
      <c r="AI34" s="0" t="n">
        <f aca="false">$D$9*SIN(AH34)</f>
        <v>0.845236523481399</v>
      </c>
      <c r="AJ34" s="19" t="n">
        <f aca="false">$E$9*$Q$10*SIN(AH34)/$K$9</f>
        <v>747620.935997474</v>
      </c>
      <c r="AK34" s="0" t="e">
        <f aca="false">interpfn($Y$9:$Z$36,AI34,2)</f>
        <v>#VALUE!</v>
      </c>
      <c r="AL34" s="0" t="e">
        <f aca="false">interpfn($AA$9:$AB$27,AJ34,2)</f>
        <v>#VALUE!</v>
      </c>
      <c r="AM34" s="0" t="n">
        <f aca="false">IF(AI34&gt;0.45,1,AL34)</f>
        <v>1</v>
      </c>
      <c r="AO34" s="0" t="e">
        <f aca="false">interpfn($AE$9:$AF$22,AI34,2)</f>
        <v>#VALUE!</v>
      </c>
      <c r="AP34" s="0" t="e">
        <f aca="false">AK34*AM34</f>
        <v>#VALUE!</v>
      </c>
      <c r="AQ34" s="0" t="e">
        <f aca="false">$AN$9*AO34</f>
        <v>#VALUE!</v>
      </c>
      <c r="AS34" s="0" t="e">
        <f aca="false">$T$9*(COS(AH34))^2+$AR$9*(SIN(AH34))^2</f>
        <v>#VALUE!</v>
      </c>
      <c r="AT34" s="0" t="e">
        <f aca="false">($U$9/2)*(2*COS(2*AH34)*COS(AH34/2)-SIN(2*AH34)*SIN(AH34/2)/2)+2*AQ34*AP34*$N$29*SIN(AH34)*COS(AH34)/$J$9</f>
        <v>#VALUE!</v>
      </c>
      <c r="AU34" s="0" t="e">
        <f aca="false">($U$9/2)*(SIN(2*AH34)*COS(AH34/2))+AQ34*AP34*$N$29*(SIN(AH34))^2/$J$9</f>
        <v>#VALUE!</v>
      </c>
      <c r="AV34" s="0" t="e">
        <f aca="false">($U$9*($F$9/12-$W$9)/(2*$K$9))*(2*COS(2*AH34)*COS(AH34/2)-SIN(2*AH34)*SIN(AH34/2)/2)+2*AP34*AQ34*$N$29*($F$9/12-$S$10)*SIN(AH34)*COS(AH34)/($J$9*$K$9)</f>
        <v>#VALUE!</v>
      </c>
      <c r="AW34" s="0" t="n">
        <f aca="false">AG34</f>
        <v>25</v>
      </c>
      <c r="AX34" s="0" t="e">
        <f aca="false">$U$9*($F$9/12-$W$9)/(2*$K$9)*SIN(2*AH34)*COS(AH34/2)+AP34*AQ34*$N$29*($F$9/12-$S$10)*(SIN(AH34))^2/($J$9*$K$9)</f>
        <v>#VALUE!</v>
      </c>
      <c r="AY34" s="0" t="e">
        <f aca="false">AS34*COS(AH34)+AU34*SIN(AH34)</f>
        <v>#VALUE!</v>
      </c>
      <c r="AZ34" s="0" t="e">
        <f aca="false">AX34</f>
        <v>#VALUE!</v>
      </c>
      <c r="BA34" s="0" t="n">
        <f aca="false">AW34</f>
        <v>25</v>
      </c>
      <c r="BB34" s="0" t="e">
        <f aca="false">IF(AND(AV34&lt;0,AZ34*AZ35&lt;0),BA34+(BA35-BA34)*AZ34/(AZ35-AZ34),"")</f>
        <v>#VALUE!</v>
      </c>
      <c r="BC34" s="0" t="e">
        <f aca="false">IF(AND(AV34&lt;0,AZ34*AZ35&lt;0),AY34+(AY35-AY34)*AZ34/(AZ35-AZ34),"")</f>
        <v>#VALUE!</v>
      </c>
    </row>
    <row r="35" customFormat="false" ht="12.75" hidden="false" customHeight="false" outlineLevel="0" collapsed="false">
      <c r="Y35" s="0" t="n">
        <v>7</v>
      </c>
      <c r="Z35" s="0" t="n">
        <v>1.25</v>
      </c>
      <c r="AG35" s="0" t="n">
        <f aca="false">AG34+1</f>
        <v>26</v>
      </c>
      <c r="AH35" s="0" t="n">
        <f aca="false">AG35*PI()/180</f>
        <v>0.453785605518526</v>
      </c>
      <c r="AI35" s="0" t="n">
        <f aca="false">$D$9*SIN(AH35)</f>
        <v>0.876742293578155</v>
      </c>
      <c r="AJ35" s="19" t="n">
        <f aca="false">$E$9*$Q$10*SIN(AH35)/$K$9</f>
        <v>775488.133728165</v>
      </c>
      <c r="AK35" s="0" t="e">
        <f aca="false">interpfn($Y$9:$Z$36,AI35,2)</f>
        <v>#VALUE!</v>
      </c>
      <c r="AL35" s="0" t="e">
        <f aca="false">interpfn($AA$9:$AB$27,AJ35,2)</f>
        <v>#VALUE!</v>
      </c>
      <c r="AM35" s="0" t="n">
        <f aca="false">IF(AI35&gt;0.45,1,AL35)</f>
        <v>1</v>
      </c>
      <c r="AO35" s="0" t="e">
        <f aca="false">interpfn($AE$9:$AF$22,AI35,2)</f>
        <v>#VALUE!</v>
      </c>
      <c r="AP35" s="0" t="e">
        <f aca="false">AK35*AM35</f>
        <v>#VALUE!</v>
      </c>
      <c r="AQ35" s="0" t="e">
        <f aca="false">$AN$9*AO35</f>
        <v>#VALUE!</v>
      </c>
      <c r="AS35" s="0" t="e">
        <f aca="false">$T$9*(COS(AH35))^2+$AR$9*(SIN(AH35))^2</f>
        <v>#VALUE!</v>
      </c>
      <c r="AT35" s="0" t="e">
        <f aca="false">($U$9/2)*(2*COS(2*AH35)*COS(AH35/2)-SIN(2*AH35)*SIN(AH35/2)/2)+2*AQ35*AP35*$N$29*SIN(AH35)*COS(AH35)/$J$9</f>
        <v>#VALUE!</v>
      </c>
      <c r="AU35" s="0" t="e">
        <f aca="false">($U$9/2)*(SIN(2*AH35)*COS(AH35/2))+AQ35*AP35*$N$29*(SIN(AH35))^2/$J$9</f>
        <v>#VALUE!</v>
      </c>
      <c r="AV35" s="0" t="e">
        <f aca="false">($U$9*($F$9/12-$W$9)/(2*$K$9))*(2*COS(2*AH35)*COS(AH35/2)-SIN(2*AH35)*SIN(AH35/2)/2)+2*AP35*AQ35*$N$29*($F$9/12-$S$10)*SIN(AH35)*COS(AH35)/($J$9*$K$9)</f>
        <v>#VALUE!</v>
      </c>
      <c r="AW35" s="0" t="n">
        <f aca="false">AG35</f>
        <v>26</v>
      </c>
      <c r="AX35" s="0" t="e">
        <f aca="false">$U$9*($F$9/12-$W$9)/(2*$K$9)*SIN(2*AH35)*COS(AH35/2)+AP35*AQ35*$N$29*($F$9/12-$S$10)*(SIN(AH35))^2/($J$9*$K$9)</f>
        <v>#VALUE!</v>
      </c>
      <c r="AY35" s="0" t="e">
        <f aca="false">AS35*COS(AH35)+AU35*SIN(AH35)</f>
        <v>#VALUE!</v>
      </c>
      <c r="AZ35" s="0" t="e">
        <f aca="false">AX35</f>
        <v>#VALUE!</v>
      </c>
      <c r="BA35" s="0" t="n">
        <f aca="false">AW35</f>
        <v>26</v>
      </c>
      <c r="BB35" s="0" t="e">
        <f aca="false">IF(AND(AV35&lt;0,AZ35*AZ36&lt;0),BA35+(BA36-BA35)*AZ35/(AZ36-AZ35),"")</f>
        <v>#VALUE!</v>
      </c>
      <c r="BC35" s="0" t="e">
        <f aca="false">IF(AND(AV35&lt;0,AZ35*AZ36&lt;0),AY35+(AY36-AY35)*AZ35/(AZ36-AZ35),"")</f>
        <v>#VALUE!</v>
      </c>
    </row>
    <row r="36" customFormat="false" ht="12.75" hidden="false" customHeight="false" outlineLevel="0" collapsed="false">
      <c r="Y36" s="0" t="n">
        <v>8</v>
      </c>
      <c r="Z36" s="0" t="n">
        <v>1.25</v>
      </c>
      <c r="AG36" s="0" t="n">
        <f aca="false">AG35+1</f>
        <v>27</v>
      </c>
      <c r="AH36" s="0" t="n">
        <f aca="false">AG36*PI()/180</f>
        <v>0.471238898038469</v>
      </c>
      <c r="AI36" s="0" t="n">
        <f aca="false">$D$9*SIN(AH36)</f>
        <v>0.907980999479094</v>
      </c>
      <c r="AJ36" s="19" t="n">
        <f aca="false">$E$9*$Q$10*SIN(AH36)/$K$9</f>
        <v>803119.110261</v>
      </c>
      <c r="AK36" s="0" t="e">
        <f aca="false">interpfn($Y$9:$Z$36,AI36,2)</f>
        <v>#VALUE!</v>
      </c>
      <c r="AL36" s="0" t="e">
        <f aca="false">interpfn($AA$9:$AB$27,AJ36,2)</f>
        <v>#VALUE!</v>
      </c>
      <c r="AM36" s="0" t="n">
        <f aca="false">IF(AI36&gt;0.45,1,AL36)</f>
        <v>1</v>
      </c>
      <c r="AO36" s="0" t="e">
        <f aca="false">interpfn($AE$9:$AF$22,AI36,2)</f>
        <v>#VALUE!</v>
      </c>
      <c r="AP36" s="0" t="e">
        <f aca="false">AK36*AM36</f>
        <v>#VALUE!</v>
      </c>
      <c r="AQ36" s="0" t="e">
        <f aca="false">$AN$9*AO36</f>
        <v>#VALUE!</v>
      </c>
      <c r="AS36" s="0" t="e">
        <f aca="false">$T$9*(COS(AH36))^2+$AR$9*(SIN(AH36))^2</f>
        <v>#VALUE!</v>
      </c>
      <c r="AT36" s="0" t="e">
        <f aca="false">($U$9/2)*(2*COS(2*AH36)*COS(AH36/2)-SIN(2*AH36)*SIN(AH36/2)/2)+2*AQ36*AP36*$N$29*SIN(AH36)*COS(AH36)/$J$9</f>
        <v>#VALUE!</v>
      </c>
      <c r="AU36" s="0" t="e">
        <f aca="false">($U$9/2)*(SIN(2*AH36)*COS(AH36/2))+AQ36*AP36*$N$29*(SIN(AH36))^2/$J$9</f>
        <v>#VALUE!</v>
      </c>
      <c r="AV36" s="0" t="e">
        <f aca="false">($U$9*($F$9/12-$W$9)/(2*$K$9))*(2*COS(2*AH36)*COS(AH36/2)-SIN(2*AH36)*SIN(AH36/2)/2)+2*AP36*AQ36*$N$29*($F$9/12-$S$10)*SIN(AH36)*COS(AH36)/($J$9*$K$9)</f>
        <v>#VALUE!</v>
      </c>
      <c r="AW36" s="0" t="n">
        <f aca="false">AG36</f>
        <v>27</v>
      </c>
      <c r="AX36" s="0" t="e">
        <f aca="false">$U$9*($F$9/12-$W$9)/(2*$K$9)*SIN(2*AH36)*COS(AH36/2)+AP36*AQ36*$N$29*($F$9/12-$S$10)*(SIN(AH36))^2/($J$9*$K$9)</f>
        <v>#VALUE!</v>
      </c>
      <c r="AY36" s="0" t="e">
        <f aca="false">AS36*COS(AH36)+AU36*SIN(AH36)</f>
        <v>#VALUE!</v>
      </c>
      <c r="AZ36" s="0" t="e">
        <f aca="false">AX36</f>
        <v>#VALUE!</v>
      </c>
      <c r="BA36" s="0" t="n">
        <f aca="false">AW36</f>
        <v>27</v>
      </c>
      <c r="BB36" s="0" t="e">
        <f aca="false">IF(AND(AV36&lt;0,AZ36*AZ37&lt;0),BA36+(BA37-BA36)*AZ36/(AZ37-AZ36),"")</f>
        <v>#VALUE!</v>
      </c>
      <c r="BC36" s="0" t="e">
        <f aca="false">IF(AND(AV36&lt;0,AZ36*AZ37&lt;0),AY36+(AY37-AY36)*AZ36/(AZ37-AZ36),"")</f>
        <v>#VALUE!</v>
      </c>
    </row>
    <row r="37" customFormat="false" ht="12.75" hidden="false" customHeight="false" outlineLevel="0" collapsed="false">
      <c r="AG37" s="0" t="n">
        <f aca="false">AG36+1</f>
        <v>28</v>
      </c>
      <c r="AH37" s="0" t="n">
        <f aca="false">AG37*PI()/180</f>
        <v>0.488692190558412</v>
      </c>
      <c r="AI37" s="0" t="n">
        <f aca="false">$D$9*SIN(AH37)</f>
        <v>0.938943125571782</v>
      </c>
      <c r="AJ37" s="19" t="n">
        <f aca="false">$E$9*$Q$10*SIN(AH37)/$K$9</f>
        <v>830505.44893286</v>
      </c>
      <c r="AK37" s="0" t="e">
        <f aca="false">interpfn($Y$9:$Z$36,AI37,2)</f>
        <v>#VALUE!</v>
      </c>
      <c r="AL37" s="0" t="e">
        <f aca="false">interpfn($AA$9:$AB$27,AJ37,2)</f>
        <v>#VALUE!</v>
      </c>
      <c r="AM37" s="0" t="n">
        <f aca="false">IF(AI37&gt;0.45,1,AL37)</f>
        <v>1</v>
      </c>
      <c r="AO37" s="0" t="e">
        <f aca="false">interpfn($AE$9:$AF$22,AI37,2)</f>
        <v>#VALUE!</v>
      </c>
      <c r="AP37" s="0" t="e">
        <f aca="false">AK37*AM37</f>
        <v>#VALUE!</v>
      </c>
      <c r="AQ37" s="0" t="e">
        <f aca="false">$AN$9*AO37</f>
        <v>#VALUE!</v>
      </c>
      <c r="AS37" s="0" t="e">
        <f aca="false">$T$9*(COS(AH37))^2+$AR$9*(SIN(AH37))^2</f>
        <v>#VALUE!</v>
      </c>
      <c r="AT37" s="0" t="e">
        <f aca="false">($U$9/2)*(2*COS(2*AH37)*COS(AH37/2)-SIN(2*AH37)*SIN(AH37/2)/2)+2*AQ37*AP37*$N$29*SIN(AH37)*COS(AH37)/$J$9</f>
        <v>#VALUE!</v>
      </c>
      <c r="AU37" s="0" t="e">
        <f aca="false">($U$9/2)*(SIN(2*AH37)*COS(AH37/2))+AQ37*AP37*$N$29*(SIN(AH37))^2/$J$9</f>
        <v>#VALUE!</v>
      </c>
      <c r="AV37" s="0" t="e">
        <f aca="false">($U$9*($F$9/12-$W$9)/(2*$K$9))*(2*COS(2*AH37)*COS(AH37/2)-SIN(2*AH37)*SIN(AH37/2)/2)+2*AP37*AQ37*$N$29*($F$9/12-$S$10)*SIN(AH37)*COS(AH37)/($J$9*$K$9)</f>
        <v>#VALUE!</v>
      </c>
      <c r="AW37" s="0" t="n">
        <f aca="false">AG37</f>
        <v>28</v>
      </c>
      <c r="AX37" s="0" t="e">
        <f aca="false">$U$9*($F$9/12-$W$9)/(2*$K$9)*SIN(2*AH37)*COS(AH37/2)+AP37*AQ37*$N$29*($F$9/12-$S$10)*(SIN(AH37))^2/($J$9*$K$9)</f>
        <v>#VALUE!</v>
      </c>
      <c r="AY37" s="0" t="e">
        <f aca="false">AS37*COS(AH37)+AU37*SIN(AH37)</f>
        <v>#VALUE!</v>
      </c>
      <c r="AZ37" s="0" t="e">
        <f aca="false">AX37</f>
        <v>#VALUE!</v>
      </c>
      <c r="BA37" s="0" t="n">
        <f aca="false">AW37</f>
        <v>28</v>
      </c>
      <c r="BB37" s="0" t="e">
        <f aca="false">IF(AND(AV37&lt;0,AZ37*AZ38&lt;0),BA37+(BA38-BA37)*AZ37/(AZ38-AZ37),"")</f>
        <v>#VALUE!</v>
      </c>
      <c r="BC37" s="0" t="e">
        <f aca="false">IF(AND(AV37&lt;0,AZ37*AZ38&lt;0),AY37+(AY38-AY37)*AZ37/(AZ38-AZ37),"")</f>
        <v>#VALUE!</v>
      </c>
    </row>
    <row r="38" customFormat="false" ht="12.75" hidden="false" customHeight="false" outlineLevel="0" collapsed="false">
      <c r="AG38" s="0" t="n">
        <f aca="false">AG37+1</f>
        <v>29</v>
      </c>
      <c r="AH38" s="0" t="n">
        <f aca="false">AG38*PI()/180</f>
        <v>0.506145483078356</v>
      </c>
      <c r="AI38" s="0" t="n">
        <f aca="false">$D$9*SIN(AH38)</f>
        <v>0.969619240492674</v>
      </c>
      <c r="AJ38" s="19" t="n">
        <f aca="false">$E$9*$Q$10*SIN(AH38)/$K$9</f>
        <v>857638.807599688</v>
      </c>
      <c r="AK38" s="0" t="e">
        <f aca="false">interpfn($Y$9:$Z$36,AI38,2)</f>
        <v>#VALUE!</v>
      </c>
      <c r="AL38" s="0" t="e">
        <f aca="false">interpfn($AA$9:$AB$27,AJ38,2)</f>
        <v>#VALUE!</v>
      </c>
      <c r="AM38" s="0" t="n">
        <f aca="false">IF(AI38&gt;0.45,1,AL38)</f>
        <v>1</v>
      </c>
      <c r="AO38" s="0" t="e">
        <f aca="false">interpfn($AE$9:$AF$22,AI38,2)</f>
        <v>#VALUE!</v>
      </c>
      <c r="AP38" s="0" t="e">
        <f aca="false">AK38*AM38</f>
        <v>#VALUE!</v>
      </c>
      <c r="AQ38" s="0" t="e">
        <f aca="false">$AN$9*AO38</f>
        <v>#VALUE!</v>
      </c>
      <c r="AS38" s="0" t="e">
        <f aca="false">$T$9*(COS(AH38))^2+$AR$9*(SIN(AH38))^2</f>
        <v>#VALUE!</v>
      </c>
      <c r="AT38" s="0" t="e">
        <f aca="false">($U$9/2)*(2*COS(2*AH38)*COS(AH38/2)-SIN(2*AH38)*SIN(AH38/2)/2)+2*AQ38*AP38*$N$29*SIN(AH38)*COS(AH38)/$J$9</f>
        <v>#VALUE!</v>
      </c>
      <c r="AU38" s="0" t="e">
        <f aca="false">($U$9/2)*(SIN(2*AH38)*COS(AH38/2))+AQ38*AP38*$N$29*(SIN(AH38))^2/$J$9</f>
        <v>#VALUE!</v>
      </c>
      <c r="AV38" s="0" t="e">
        <f aca="false">($U$9*($F$9/12-$W$9)/(2*$K$9))*(2*COS(2*AH38)*COS(AH38/2)-SIN(2*AH38)*SIN(AH38/2)/2)+2*AP38*AQ38*$N$29*($F$9/12-$S$10)*SIN(AH38)*COS(AH38)/($J$9*$K$9)</f>
        <v>#VALUE!</v>
      </c>
      <c r="AW38" s="0" t="n">
        <f aca="false">AG38</f>
        <v>29</v>
      </c>
      <c r="AX38" s="0" t="e">
        <f aca="false">$U$9*($F$9/12-$W$9)/(2*$K$9)*SIN(2*AH38)*COS(AH38/2)+AP38*AQ38*$N$29*($F$9/12-$S$10)*(SIN(AH38))^2/($J$9*$K$9)</f>
        <v>#VALUE!</v>
      </c>
      <c r="AY38" s="0" t="e">
        <f aca="false">AS38*COS(AH38)+AU38*SIN(AH38)</f>
        <v>#VALUE!</v>
      </c>
      <c r="AZ38" s="0" t="e">
        <f aca="false">AX38</f>
        <v>#VALUE!</v>
      </c>
      <c r="BA38" s="0" t="n">
        <f aca="false">AW38</f>
        <v>29</v>
      </c>
      <c r="BB38" s="0" t="e">
        <f aca="false">IF(AND(AV38&lt;0,AZ38*AZ39&lt;0),BA38+(BA39-BA38)*AZ38/(AZ39-AZ38),"")</f>
        <v>#VALUE!</v>
      </c>
      <c r="BC38" s="0" t="e">
        <f aca="false">IF(AND(AV38&lt;0,AZ38*AZ39&lt;0),AY38+(AY39-AY38)*AZ38/(AZ39-AZ38),"")</f>
        <v>#VALUE!</v>
      </c>
    </row>
    <row r="39" customFormat="false" ht="12.75" hidden="false" customHeight="false" outlineLevel="0" collapsed="false">
      <c r="AG39" s="0" t="n">
        <f aca="false">AG38+1</f>
        <v>30</v>
      </c>
      <c r="AH39" s="0" t="n">
        <f aca="false">AG39*PI()/180</f>
        <v>0.523598775598299</v>
      </c>
      <c r="AI39" s="0" t="n">
        <f aca="false">$D$9*SIN(AH39)</f>
        <v>1</v>
      </c>
      <c r="AJ39" s="19" t="n">
        <f aca="false">$E$9*$Q$10*SIN(AH39)/$K$9</f>
        <v>884510.921177588</v>
      </c>
      <c r="AK39" s="0" t="e">
        <f aca="false">interpfn($Y$9:$Z$36,AI39,2)</f>
        <v>#VALUE!</v>
      </c>
      <c r="AL39" s="0" t="e">
        <f aca="false">interpfn($AA$9:$AB$27,AJ39,2)</f>
        <v>#VALUE!</v>
      </c>
      <c r="AM39" s="0" t="n">
        <f aca="false">IF(AI39&gt;0.45,1,AL39)</f>
        <v>1</v>
      </c>
      <c r="AO39" s="0" t="e">
        <f aca="false">interpfn($AE$9:$AF$22,AI39,2)</f>
        <v>#VALUE!</v>
      </c>
      <c r="AP39" s="0" t="e">
        <f aca="false">AK39*AM39</f>
        <v>#VALUE!</v>
      </c>
      <c r="AQ39" s="0" t="e">
        <f aca="false">$AN$9*AO39</f>
        <v>#VALUE!</v>
      </c>
      <c r="AS39" s="0" t="e">
        <f aca="false">$T$9*(COS(AH39))^2+$AR$9*(SIN(AH39))^2</f>
        <v>#VALUE!</v>
      </c>
      <c r="AT39" s="0" t="e">
        <f aca="false">($U$9/2)*(2*COS(2*AH39)*COS(AH39/2)-SIN(2*AH39)*SIN(AH39/2)/2)+2*AQ39*AP39*$N$29*SIN(AH39)*COS(AH39)/$J$9</f>
        <v>#VALUE!</v>
      </c>
      <c r="AU39" s="0" t="e">
        <f aca="false">($U$9/2)*(SIN(2*AH39)*COS(AH39/2))+AQ39*AP39*$N$29*(SIN(AH39))^2/$J$9</f>
        <v>#VALUE!</v>
      </c>
      <c r="AV39" s="0" t="e">
        <f aca="false">($U$9*($F$9/12-$W$9)/(2*$K$9))*(2*COS(2*AH39)*COS(AH39/2)-SIN(2*AH39)*SIN(AH39/2)/2)+2*AP39*AQ39*$N$29*($F$9/12-$S$10)*SIN(AH39)*COS(AH39)/($J$9*$K$9)</f>
        <v>#VALUE!</v>
      </c>
      <c r="AW39" s="0" t="n">
        <f aca="false">AG39</f>
        <v>30</v>
      </c>
      <c r="AX39" s="0" t="e">
        <f aca="false">$U$9*($F$9/12-$W$9)/(2*$K$9)*SIN(2*AH39)*COS(AH39/2)+AP39*AQ39*$N$29*($F$9/12-$S$10)*(SIN(AH39))^2/($J$9*$K$9)</f>
        <v>#VALUE!</v>
      </c>
      <c r="AY39" s="0" t="e">
        <f aca="false">AS39*COS(AH39)+AU39*SIN(AH39)</f>
        <v>#VALUE!</v>
      </c>
      <c r="AZ39" s="0" t="e">
        <f aca="false">AX39</f>
        <v>#VALUE!</v>
      </c>
      <c r="BA39" s="0" t="n">
        <f aca="false">AW39</f>
        <v>30</v>
      </c>
      <c r="BB39" s="0" t="e">
        <f aca="false">IF(AND(AV39&lt;0,AZ39*AZ40&lt;0),BA39+(BA40-BA39)*AZ39/(AZ40-AZ39),"")</f>
        <v>#VALUE!</v>
      </c>
      <c r="BC39" s="0" t="e">
        <f aca="false">IF(AND(AV39&lt;0,AZ39*AZ40&lt;0),AY39+(AY40-AY39)*AZ39/(AZ40-AZ39),"")</f>
        <v>#VALUE!</v>
      </c>
    </row>
    <row r="40" customFormat="false" ht="12.75" hidden="false" customHeight="false" outlineLevel="0" collapsed="false">
      <c r="AG40" s="0" t="n">
        <f aca="false">AG39+1</f>
        <v>31</v>
      </c>
      <c r="AH40" s="0" t="n">
        <f aca="false">AG40*PI()/180</f>
        <v>0.541052068118242</v>
      </c>
      <c r="AI40" s="0" t="n">
        <f aca="false">$D$9*SIN(AH40)</f>
        <v>1.03007614982011</v>
      </c>
      <c r="AJ40" s="19" t="n">
        <f aca="false">$E$9*$Q$10*SIN(AH40)/$K$9</f>
        <v>911113.604160447</v>
      </c>
      <c r="AK40" s="0" t="e">
        <f aca="false">interpfn($Y$9:$Z$36,AI40,2)</f>
        <v>#VALUE!</v>
      </c>
      <c r="AL40" s="0" t="e">
        <f aca="false">interpfn($AA$9:$AB$27,AJ40,2)</f>
        <v>#VALUE!</v>
      </c>
      <c r="AM40" s="0" t="n">
        <f aca="false">IF(AI40&gt;0.45,1,AL40)</f>
        <v>1</v>
      </c>
      <c r="AO40" s="0" t="e">
        <f aca="false">interpfn($AE$9:$AF$22,AI40,2)</f>
        <v>#VALUE!</v>
      </c>
      <c r="AP40" s="0" t="e">
        <f aca="false">AK40*AM40</f>
        <v>#VALUE!</v>
      </c>
      <c r="AQ40" s="0" t="e">
        <f aca="false">$AN$9*AO40</f>
        <v>#VALUE!</v>
      </c>
      <c r="AS40" s="0" t="e">
        <f aca="false">$T$9*(COS(AH40))^2+$AR$9*(SIN(AH40))^2</f>
        <v>#VALUE!</v>
      </c>
      <c r="AT40" s="0" t="e">
        <f aca="false">($U$9/2)*(2*COS(2*AH40)*COS(AH40/2)-SIN(2*AH40)*SIN(AH40/2)/2)+2*AQ40*AP40*$N$29*SIN(AH40)*COS(AH40)/$J$9</f>
        <v>#VALUE!</v>
      </c>
      <c r="AU40" s="0" t="e">
        <f aca="false">($U$9/2)*(SIN(2*AH40)*COS(AH40/2))+AQ40*AP40*$N$29*(SIN(AH40))^2/$J$9</f>
        <v>#VALUE!</v>
      </c>
      <c r="AV40" s="0" t="e">
        <f aca="false">($U$9*($F$9/12-$W$9)/(2*$K$9))*(2*COS(2*AH40)*COS(AH40/2)-SIN(2*AH40)*SIN(AH40/2)/2)+2*AP40*AQ40*$N$29*($F$9/12-$S$10)*SIN(AH40)*COS(AH40)/($J$9*$K$9)</f>
        <v>#VALUE!</v>
      </c>
      <c r="AW40" s="0" t="n">
        <f aca="false">AG40</f>
        <v>31</v>
      </c>
      <c r="AX40" s="0" t="e">
        <f aca="false">$U$9*($F$9/12-$W$9)/(2*$K$9)*SIN(2*AH40)*COS(AH40/2)+AP40*AQ40*$N$29*($F$9/12-$S$10)*(SIN(AH40))^2/($J$9*$K$9)</f>
        <v>#VALUE!</v>
      </c>
      <c r="AY40" s="0" t="e">
        <f aca="false">AS40*COS(AH40)+AU40*SIN(AH40)</f>
        <v>#VALUE!</v>
      </c>
      <c r="AZ40" s="0" t="e">
        <f aca="false">AX40</f>
        <v>#VALUE!</v>
      </c>
      <c r="BA40" s="0" t="n">
        <f aca="false">AW40</f>
        <v>31</v>
      </c>
      <c r="BB40" s="0" t="e">
        <f aca="false">IF(AND(AV40&lt;0,AZ40*AZ41&lt;0),BA40+(BA41-BA40)*AZ40/(AZ41-AZ40),"")</f>
        <v>#VALUE!</v>
      </c>
      <c r="BC40" s="0" t="e">
        <f aca="false">IF(AND(AV40&lt;0,AZ40*AZ41&lt;0),AY40+(AY41-AY40)*AZ40/(AZ41-AZ40),"")</f>
        <v>#VALUE!</v>
      </c>
    </row>
    <row r="41" customFormat="false" ht="12.75" hidden="false" customHeight="false" outlineLevel="0" collapsed="false">
      <c r="AG41" s="0" t="n">
        <f aca="false">AG40+1</f>
        <v>32</v>
      </c>
      <c r="AH41" s="0" t="n">
        <f aca="false">AG41*PI()/180</f>
        <v>0.558505360638186</v>
      </c>
      <c r="AI41" s="0" t="n">
        <f aca="false">$D$9*SIN(AH41)</f>
        <v>1.05983852846641</v>
      </c>
      <c r="AJ41" s="19" t="n">
        <f aca="false">$E$9*$Q$10*SIN(AH41)/$K$9</f>
        <v>937438.753113323</v>
      </c>
      <c r="AK41" s="0" t="e">
        <f aca="false">interpfn($Y$9:$Z$36,AI41,2)</f>
        <v>#VALUE!</v>
      </c>
      <c r="AL41" s="0" t="e">
        <f aca="false">interpfn($AA$9:$AB$27,AJ41,2)</f>
        <v>#VALUE!</v>
      </c>
      <c r="AM41" s="0" t="n">
        <f aca="false">IF(AI41&gt;0.45,1,AL41)</f>
        <v>1</v>
      </c>
      <c r="AO41" s="0" t="e">
        <f aca="false">interpfn($AE$9:$AF$22,AI41,2)</f>
        <v>#VALUE!</v>
      </c>
      <c r="AP41" s="0" t="e">
        <f aca="false">AK41*AM41</f>
        <v>#VALUE!</v>
      </c>
      <c r="AQ41" s="0" t="e">
        <f aca="false">$AN$9*AO41</f>
        <v>#VALUE!</v>
      </c>
      <c r="AS41" s="0" t="e">
        <f aca="false">$T$9*(COS(AH41))^2+$AR$9*(SIN(AH41))^2</f>
        <v>#VALUE!</v>
      </c>
      <c r="AT41" s="0" t="e">
        <f aca="false">($U$9/2)*(2*COS(2*AH41)*COS(AH41/2)-SIN(2*AH41)*SIN(AH41/2)/2)+2*AQ41*AP41*$N$29*SIN(AH41)*COS(AH41)/$J$9</f>
        <v>#VALUE!</v>
      </c>
      <c r="AU41" s="0" t="e">
        <f aca="false">($U$9/2)*(SIN(2*AH41)*COS(AH41/2))+AQ41*AP41*$N$29*(SIN(AH41))^2/$J$9</f>
        <v>#VALUE!</v>
      </c>
      <c r="AV41" s="0" t="e">
        <f aca="false">($U$9*($F$9/12-$W$9)/(2*$K$9))*(2*COS(2*AH41)*COS(AH41/2)-SIN(2*AH41)*SIN(AH41/2)/2)+2*AP41*AQ41*$N$29*($F$9/12-$S$10)*SIN(AH41)*COS(AH41)/($J$9*$K$9)</f>
        <v>#VALUE!</v>
      </c>
      <c r="AW41" s="0" t="n">
        <f aca="false">AG41</f>
        <v>32</v>
      </c>
      <c r="AX41" s="0" t="e">
        <f aca="false">$U$9*($F$9/12-$W$9)/(2*$K$9)*SIN(2*AH41)*COS(AH41/2)+AP41*AQ41*$N$29*($F$9/12-$S$10)*(SIN(AH41))^2/($J$9*$K$9)</f>
        <v>#VALUE!</v>
      </c>
      <c r="AY41" s="0" t="e">
        <f aca="false">AS41*COS(AH41)+AU41*SIN(AH41)</f>
        <v>#VALUE!</v>
      </c>
      <c r="AZ41" s="0" t="e">
        <f aca="false">AX41</f>
        <v>#VALUE!</v>
      </c>
      <c r="BA41" s="0" t="n">
        <f aca="false">AW41</f>
        <v>32</v>
      </c>
      <c r="BB41" s="0" t="e">
        <f aca="false">IF(AND(AV41&lt;0,AZ41*AZ42&lt;0),BA41+(BA42-BA41)*AZ41/(AZ42-AZ41),"")</f>
        <v>#VALUE!</v>
      </c>
      <c r="BC41" s="0" t="e">
        <f aca="false">IF(AND(AV41&lt;0,AZ41*AZ42&lt;0),AY41+(AY42-AY41)*AZ41/(AZ42-AZ41),"")</f>
        <v>#VALUE!</v>
      </c>
    </row>
    <row r="42" customFormat="false" ht="12.75" hidden="false" customHeight="false" outlineLevel="0" collapsed="false">
      <c r="AG42" s="0" t="n">
        <f aca="false">AG41+1</f>
        <v>33</v>
      </c>
      <c r="AH42" s="0" t="n">
        <f aca="false">AG42*PI()/180</f>
        <v>0.575958653158129</v>
      </c>
      <c r="AI42" s="0" t="n">
        <f aca="false">$D$9*SIN(AH42)</f>
        <v>1.08927807003005</v>
      </c>
      <c r="AJ42" s="19" t="n">
        <f aca="false">$E$9*$Q$10*SIN(AH42)/$K$9</f>
        <v>963478.349140828</v>
      </c>
      <c r="AK42" s="0" t="e">
        <f aca="false">interpfn($Y$9:$Z$36,AI42,2)</f>
        <v>#VALUE!</v>
      </c>
      <c r="AL42" s="0" t="e">
        <f aca="false">interpfn($AA$9:$AB$27,AJ42,2)</f>
        <v>#VALUE!</v>
      </c>
      <c r="AM42" s="0" t="n">
        <f aca="false">IF(AI42&gt;0.45,1,AL42)</f>
        <v>1</v>
      </c>
      <c r="AO42" s="0" t="e">
        <f aca="false">interpfn($AE$9:$AF$22,AI42,2)</f>
        <v>#VALUE!</v>
      </c>
      <c r="AP42" s="0" t="e">
        <f aca="false">AK42*AM42</f>
        <v>#VALUE!</v>
      </c>
      <c r="AQ42" s="0" t="e">
        <f aca="false">$AN$9*AO42</f>
        <v>#VALUE!</v>
      </c>
      <c r="AS42" s="0" t="e">
        <f aca="false">$T$9*(COS(AH42))^2+$AR$9*(SIN(AH42))^2</f>
        <v>#VALUE!</v>
      </c>
      <c r="AT42" s="0" t="e">
        <f aca="false">($U$9/2)*(2*COS(2*AH42)*COS(AH42/2)-SIN(2*AH42)*SIN(AH42/2)/2)+2*AQ42*AP42*$N$29*SIN(AH42)*COS(AH42)/$J$9</f>
        <v>#VALUE!</v>
      </c>
      <c r="AU42" s="0" t="e">
        <f aca="false">($U$9/2)*(SIN(2*AH42)*COS(AH42/2))+AQ42*AP42*$N$29*(SIN(AH42))^2/$J$9</f>
        <v>#VALUE!</v>
      </c>
      <c r="AV42" s="0" t="e">
        <f aca="false">($U$9*($F$9/12-$W$9)/(2*$K$9))*(2*COS(2*AH42)*COS(AH42/2)-SIN(2*AH42)*SIN(AH42/2)/2)+2*AP42*AQ42*$N$29*($F$9/12-$S$10)*SIN(AH42)*COS(AH42)/($J$9*$K$9)</f>
        <v>#VALUE!</v>
      </c>
      <c r="AW42" s="0" t="n">
        <f aca="false">AG42</f>
        <v>33</v>
      </c>
      <c r="AX42" s="0" t="e">
        <f aca="false">$U$9*($F$9/12-$W$9)/(2*$K$9)*SIN(2*AH42)*COS(AH42/2)+AP42*AQ42*$N$29*($F$9/12-$S$10)*(SIN(AH42))^2/($J$9*$K$9)</f>
        <v>#VALUE!</v>
      </c>
      <c r="AY42" s="0" t="e">
        <f aca="false">AS42*COS(AH42)+AU42*SIN(AH42)</f>
        <v>#VALUE!</v>
      </c>
      <c r="AZ42" s="0" t="e">
        <f aca="false">AX42</f>
        <v>#VALUE!</v>
      </c>
      <c r="BA42" s="0" t="n">
        <f aca="false">AW42</f>
        <v>33</v>
      </c>
      <c r="BB42" s="0" t="e">
        <f aca="false">IF(AND(AV42&lt;0,AZ42*AZ43&lt;0),BA42+(BA43-BA42)*AZ42/(AZ43-AZ42),"")</f>
        <v>#VALUE!</v>
      </c>
      <c r="BC42" s="0" t="e">
        <f aca="false">IF(AND(AV42&lt;0,AZ42*AZ43&lt;0),AY42+(AY43-AY42)*AZ42/(AZ43-AZ42),"")</f>
        <v>#VALUE!</v>
      </c>
    </row>
    <row r="43" customFormat="false" ht="12.75" hidden="false" customHeight="false" outlineLevel="0" collapsed="false">
      <c r="AG43" s="0" t="n">
        <f aca="false">AG42+1</f>
        <v>34</v>
      </c>
      <c r="AH43" s="0" t="n">
        <f aca="false">AG43*PI()/180</f>
        <v>0.593411945678072</v>
      </c>
      <c r="AI43" s="0" t="n">
        <f aca="false">$D$9*SIN(AH43)</f>
        <v>1.11838580694149</v>
      </c>
      <c r="AJ43" s="19" t="n">
        <f aca="false">$E$9*$Q$10*SIN(AH43)/$K$9</f>
        <v>989224.460329761</v>
      </c>
      <c r="AK43" s="0" t="e">
        <f aca="false">interpfn($Y$9:$Z$36,AI43,2)</f>
        <v>#VALUE!</v>
      </c>
      <c r="AL43" s="0" t="e">
        <f aca="false">interpfn($AA$9:$AB$27,AJ43,2)</f>
        <v>#VALUE!</v>
      </c>
      <c r="AM43" s="0" t="n">
        <f aca="false">IF(AI43&gt;0.45,1,AL43)</f>
        <v>1</v>
      </c>
      <c r="AO43" s="0" t="e">
        <f aca="false">interpfn($AE$9:$AF$22,AI43,2)</f>
        <v>#VALUE!</v>
      </c>
      <c r="AP43" s="0" t="e">
        <f aca="false">AK43*AM43</f>
        <v>#VALUE!</v>
      </c>
      <c r="AQ43" s="0" t="e">
        <f aca="false">$AN$9*AO43</f>
        <v>#VALUE!</v>
      </c>
      <c r="AS43" s="0" t="e">
        <f aca="false">$T$9*(COS(AH43))^2+$AR$9*(SIN(AH43))^2</f>
        <v>#VALUE!</v>
      </c>
      <c r="AT43" s="0" t="e">
        <f aca="false">($U$9/2)*(2*COS(2*AH43)*COS(AH43/2)-SIN(2*AH43)*SIN(AH43/2)/2)+2*AQ43*AP43*$N$29*SIN(AH43)*COS(AH43)/$J$9</f>
        <v>#VALUE!</v>
      </c>
      <c r="AU43" s="0" t="e">
        <f aca="false">($U$9/2)*(SIN(2*AH43)*COS(AH43/2))+AQ43*AP43*$N$29*(SIN(AH43))^2/$J$9</f>
        <v>#VALUE!</v>
      </c>
      <c r="AV43" s="0" t="e">
        <f aca="false">($U$9*($F$9/12-$W$9)/(2*$K$9))*(2*COS(2*AH43)*COS(AH43/2)-SIN(2*AH43)*SIN(AH43/2)/2)+2*AP43*AQ43*$N$29*($F$9/12-$S$10)*SIN(AH43)*COS(AH43)/($J$9*$K$9)</f>
        <v>#VALUE!</v>
      </c>
      <c r="AW43" s="0" t="n">
        <f aca="false">AG43</f>
        <v>34</v>
      </c>
      <c r="AX43" s="0" t="e">
        <f aca="false">$U$9*($F$9/12-$W$9)/(2*$K$9)*SIN(2*AH43)*COS(AH43/2)+AP43*AQ43*$N$29*($F$9/12-$S$10)*(SIN(AH43))^2/($J$9*$K$9)</f>
        <v>#VALUE!</v>
      </c>
      <c r="AY43" s="0" t="e">
        <f aca="false">AS43*COS(AH43)+AU43*SIN(AH43)</f>
        <v>#VALUE!</v>
      </c>
      <c r="AZ43" s="0" t="e">
        <f aca="false">AX43</f>
        <v>#VALUE!</v>
      </c>
      <c r="BA43" s="0" t="n">
        <f aca="false">AW43</f>
        <v>34</v>
      </c>
      <c r="BB43" s="0" t="e">
        <f aca="false">IF(AND(AV43&lt;0,AZ43*AZ44&lt;0),BA43+(BA44-BA43)*AZ43/(AZ44-AZ43),"")</f>
        <v>#VALUE!</v>
      </c>
      <c r="BC43" s="0" t="e">
        <f aca="false">IF(AND(AV43&lt;0,AZ43*AZ44&lt;0),AY43+(AY44-AY43)*AZ43/(AZ44-AZ43),"")</f>
        <v>#VALUE!</v>
      </c>
    </row>
    <row r="44" customFormat="false" ht="12.75" hidden="false" customHeight="false" outlineLevel="0" collapsed="false">
      <c r="AG44" s="0" t="n">
        <f aca="false">AG43+1</f>
        <v>35</v>
      </c>
      <c r="AH44" s="0" t="n">
        <f aca="false">AG44*PI()/180</f>
        <v>0.610865238198015</v>
      </c>
      <c r="AI44" s="0" t="n">
        <f aca="false">$D$9*SIN(AH44)</f>
        <v>1.14715287270209</v>
      </c>
      <c r="AJ44" s="19" t="n">
        <f aca="false">$E$9*$Q$10*SIN(AH44)/$K$9</f>
        <v>1014669.24416524</v>
      </c>
      <c r="AK44" s="0" t="e">
        <f aca="false">interpfn($Y$9:$Z$36,AI44,2)</f>
        <v>#VALUE!</v>
      </c>
      <c r="AL44" s="0" t="e">
        <f aca="false">interpfn($AA$9:$AB$27,AJ44,2)</f>
        <v>#VALUE!</v>
      </c>
      <c r="AM44" s="0" t="n">
        <f aca="false">IF(AI44&gt;0.45,1,AL44)</f>
        <v>1</v>
      </c>
      <c r="AO44" s="0" t="e">
        <f aca="false">interpfn($AE$9:$AF$22,AI44,2)</f>
        <v>#VALUE!</v>
      </c>
      <c r="AP44" s="0" t="e">
        <f aca="false">AK44*AM44</f>
        <v>#VALUE!</v>
      </c>
      <c r="AQ44" s="0" t="e">
        <f aca="false">$AN$9*AO44</f>
        <v>#VALUE!</v>
      </c>
      <c r="AS44" s="0" t="e">
        <f aca="false">$T$9*(COS(AH44))^2+$AR$9*(SIN(AH44))^2</f>
        <v>#VALUE!</v>
      </c>
      <c r="AT44" s="0" t="e">
        <f aca="false">($U$9/2)*(2*COS(2*AH44)*COS(AH44/2)-SIN(2*AH44)*SIN(AH44/2)/2)+2*AQ44*AP44*$N$29*SIN(AH44)*COS(AH44)/$J$9</f>
        <v>#VALUE!</v>
      </c>
      <c r="AU44" s="0" t="e">
        <f aca="false">($U$9/2)*(SIN(2*AH44)*COS(AH44/2))+AQ44*AP44*$N$29*(SIN(AH44))^2/$J$9</f>
        <v>#VALUE!</v>
      </c>
      <c r="AV44" s="0" t="e">
        <f aca="false">($U$9*($F$9/12-$W$9)/(2*$K$9))*(2*COS(2*AH44)*COS(AH44/2)-SIN(2*AH44)*SIN(AH44/2)/2)+2*AP44*AQ44*$N$29*($F$9/12-$S$10)*SIN(AH44)*COS(AH44)/($J$9*$K$9)</f>
        <v>#VALUE!</v>
      </c>
      <c r="AW44" s="0" t="n">
        <f aca="false">AG44</f>
        <v>35</v>
      </c>
      <c r="AX44" s="0" t="e">
        <f aca="false">$U$9*($F$9/12-$W$9)/(2*$K$9)*SIN(2*AH44)*COS(AH44/2)+AP44*AQ44*$N$29*($F$9/12-$S$10)*(SIN(AH44))^2/($J$9*$K$9)</f>
        <v>#VALUE!</v>
      </c>
      <c r="AY44" s="0" t="e">
        <f aca="false">AS44*COS(AH44)+AU44*SIN(AH44)</f>
        <v>#VALUE!</v>
      </c>
      <c r="AZ44" s="0" t="e">
        <f aca="false">AX44</f>
        <v>#VALUE!</v>
      </c>
      <c r="BA44" s="0" t="n">
        <f aca="false">AW44</f>
        <v>35</v>
      </c>
      <c r="BB44" s="0" t="e">
        <f aca="false">IF(AND(AV44&lt;0,AZ44*AZ45&lt;0),BA44+(BA45-BA44)*AZ44/(AZ45-AZ44),"")</f>
        <v>#VALUE!</v>
      </c>
      <c r="BC44" s="0" t="e">
        <f aca="false">IF(AND(AV44&lt;0,AZ44*AZ45&lt;0),AY44+(AY45-AY44)*AZ44/(AZ45-AZ44),"")</f>
        <v>#VALUE!</v>
      </c>
    </row>
    <row r="45" customFormat="false" ht="12.75" hidden="false" customHeight="false" outlineLevel="0" collapsed="false">
      <c r="AG45" s="0" t="n">
        <f aca="false">AG44+1</f>
        <v>36</v>
      </c>
      <c r="AH45" s="0" t="n">
        <f aca="false">AG45*PI()/180</f>
        <v>0.628318530717959</v>
      </c>
      <c r="AI45" s="0" t="n">
        <f aca="false">$D$9*SIN(AH45)</f>
        <v>1.17557050458495</v>
      </c>
      <c r="AJ45" s="19" t="n">
        <f aca="false">$E$9*$Q$10*SIN(AH45)/$K$9</f>
        <v>1039804.94991963</v>
      </c>
      <c r="AK45" s="0" t="e">
        <f aca="false">interpfn($Y$9:$Z$36,AI45,2)</f>
        <v>#VALUE!</v>
      </c>
      <c r="AL45" s="0" t="e">
        <f aca="false">interpfn($AA$9:$AB$27,AJ45,2)</f>
        <v>#VALUE!</v>
      </c>
      <c r="AM45" s="0" t="n">
        <f aca="false">IF(AI45&gt;0.45,1,AL45)</f>
        <v>1</v>
      </c>
      <c r="AO45" s="0" t="e">
        <f aca="false">interpfn($AE$9:$AF$22,AI45,2)</f>
        <v>#VALUE!</v>
      </c>
      <c r="AP45" s="0" t="e">
        <f aca="false">AK45*AM45</f>
        <v>#VALUE!</v>
      </c>
      <c r="AQ45" s="0" t="e">
        <f aca="false">$AN$9*AO45</f>
        <v>#VALUE!</v>
      </c>
      <c r="AS45" s="0" t="e">
        <f aca="false">$T$9*(COS(AH45))^2+$AR$9*(SIN(AH45))^2</f>
        <v>#VALUE!</v>
      </c>
      <c r="AT45" s="0" t="e">
        <f aca="false">($U$9/2)*(2*COS(2*AH45)*COS(AH45/2)-SIN(2*AH45)*SIN(AH45/2)/2)+2*AQ45*AP45*$N$29*SIN(AH45)*COS(AH45)/$J$9</f>
        <v>#VALUE!</v>
      </c>
      <c r="AU45" s="0" t="e">
        <f aca="false">($U$9/2)*(SIN(2*AH45)*COS(AH45/2))+AQ45*AP45*$N$29*(SIN(AH45))^2/$J$9</f>
        <v>#VALUE!</v>
      </c>
      <c r="AV45" s="0" t="e">
        <f aca="false">($U$9*($F$9/12-$W$9)/(2*$K$9))*(2*COS(2*AH45)*COS(AH45/2)-SIN(2*AH45)*SIN(AH45/2)/2)+2*AP45*AQ45*$N$29*($F$9/12-$S$10)*SIN(AH45)*COS(AH45)/($J$9*$K$9)</f>
        <v>#VALUE!</v>
      </c>
      <c r="AW45" s="0" t="n">
        <f aca="false">AG45</f>
        <v>36</v>
      </c>
      <c r="AX45" s="0" t="e">
        <f aca="false">$U$9*($F$9/12-$W$9)/(2*$K$9)*SIN(2*AH45)*COS(AH45/2)+AP45*AQ45*$N$29*($F$9/12-$S$10)*(SIN(AH45))^2/($J$9*$K$9)</f>
        <v>#VALUE!</v>
      </c>
      <c r="AY45" s="0" t="e">
        <f aca="false">AS45*COS(AH45)+AU45*SIN(AH45)</f>
        <v>#VALUE!</v>
      </c>
      <c r="AZ45" s="0" t="e">
        <f aca="false">AX45</f>
        <v>#VALUE!</v>
      </c>
      <c r="BA45" s="0" t="n">
        <f aca="false">AW45</f>
        <v>36</v>
      </c>
      <c r="BB45" s="0" t="e">
        <f aca="false">IF(AND(AV45&lt;0,AZ45*AZ46&lt;0),BA45+(BA46-BA45)*AZ45/(AZ46-AZ45),"")</f>
        <v>#VALUE!</v>
      </c>
      <c r="BC45" s="0" t="e">
        <f aca="false">IF(AND(AV45&lt;0,AZ45*AZ46&lt;0),AY45+(AY46-AY45)*AZ45/(AZ46-AZ45),"")</f>
        <v>#VALUE!</v>
      </c>
    </row>
    <row r="46" customFormat="false" ht="12.75" hidden="false" customHeight="false" outlineLevel="0" collapsed="false">
      <c r="AG46" s="0" t="n">
        <f aca="false">AG45+1</f>
        <v>37</v>
      </c>
      <c r="AH46" s="0" t="n">
        <f aca="false">AG46*PI()/180</f>
        <v>0.645771823237902</v>
      </c>
      <c r="AI46" s="0" t="n">
        <f aca="false">$D$9*SIN(AH46)</f>
        <v>1.2036300463041</v>
      </c>
      <c r="AJ46" s="19" t="n">
        <f aca="false">$E$9*$Q$10*SIN(AH46)/$K$9</f>
        <v>1064623.92101346</v>
      </c>
      <c r="AK46" s="0" t="e">
        <f aca="false">interpfn($Y$9:$Z$36,AI46,2)</f>
        <v>#VALUE!</v>
      </c>
      <c r="AL46" s="0" t="e">
        <f aca="false">interpfn($AA$9:$AB$27,AJ46,2)</f>
        <v>#VALUE!</v>
      </c>
      <c r="AM46" s="0" t="n">
        <f aca="false">IF(AI46&gt;0.45,1,AL46)</f>
        <v>1</v>
      </c>
      <c r="AO46" s="0" t="e">
        <f aca="false">interpfn($AE$9:$AF$22,AI46,2)</f>
        <v>#VALUE!</v>
      </c>
      <c r="AP46" s="0" t="e">
        <f aca="false">AK46*AM46</f>
        <v>#VALUE!</v>
      </c>
      <c r="AQ46" s="0" t="e">
        <f aca="false">$AN$9*AO46</f>
        <v>#VALUE!</v>
      </c>
      <c r="AS46" s="0" t="e">
        <f aca="false">$T$9*(COS(AH46))^2+$AR$9*(SIN(AH46))^2</f>
        <v>#VALUE!</v>
      </c>
      <c r="AT46" s="0" t="e">
        <f aca="false">($U$9/2)*(2*COS(2*AH46)*COS(AH46/2)-SIN(2*AH46)*SIN(AH46/2)/2)+2*AQ46*AP46*$N$29*SIN(AH46)*COS(AH46)/$J$9</f>
        <v>#VALUE!</v>
      </c>
      <c r="AU46" s="0" t="e">
        <f aca="false">($U$9/2)*(SIN(2*AH46)*COS(AH46/2))+AQ46*AP46*$N$29*(SIN(AH46))^2/$J$9</f>
        <v>#VALUE!</v>
      </c>
      <c r="AV46" s="0" t="e">
        <f aca="false">($U$9*($F$9/12-$W$9)/(2*$K$9))*(2*COS(2*AH46)*COS(AH46/2)-SIN(2*AH46)*SIN(AH46/2)/2)+2*AP46*AQ46*$N$29*($F$9/12-$S$10)*SIN(AH46)*COS(AH46)/($J$9*$K$9)</f>
        <v>#VALUE!</v>
      </c>
      <c r="AW46" s="0" t="n">
        <f aca="false">AG46</f>
        <v>37</v>
      </c>
      <c r="AX46" s="0" t="e">
        <f aca="false">$U$9*($F$9/12-$W$9)/(2*$K$9)*SIN(2*AH46)*COS(AH46/2)+AP46*AQ46*$N$29*($F$9/12-$S$10)*(SIN(AH46))^2/($J$9*$K$9)</f>
        <v>#VALUE!</v>
      </c>
      <c r="AY46" s="0" t="e">
        <f aca="false">AS46*COS(AH46)+AU46*SIN(AH46)</f>
        <v>#VALUE!</v>
      </c>
      <c r="AZ46" s="0" t="e">
        <f aca="false">AX46</f>
        <v>#VALUE!</v>
      </c>
      <c r="BA46" s="0" t="n">
        <f aca="false">AW46</f>
        <v>37</v>
      </c>
      <c r="BB46" s="0" t="e">
        <f aca="false">IF(AND(AV46&lt;0,AZ46*AZ47&lt;0),BA46+(BA47-BA46)*AZ46/(AZ47-AZ46),"")</f>
        <v>#VALUE!</v>
      </c>
      <c r="BC46" s="0" t="e">
        <f aca="false">IF(AND(AV46&lt;0,AZ46*AZ47&lt;0),AY46+(AY47-AY46)*AZ46/(AZ47-AZ46),"")</f>
        <v>#VALUE!</v>
      </c>
    </row>
    <row r="47" customFormat="false" ht="12.75" hidden="false" customHeight="false" outlineLevel="0" collapsed="false">
      <c r="AG47" s="0" t="n">
        <f aca="false">AG46+1</f>
        <v>38</v>
      </c>
      <c r="AH47" s="0" t="n">
        <f aca="false">AG47*PI()/180</f>
        <v>0.663225115757845</v>
      </c>
      <c r="AI47" s="0" t="n">
        <f aca="false">$D$9*SIN(AH47)</f>
        <v>1.23132295065132</v>
      </c>
      <c r="AJ47" s="19" t="n">
        <f aca="false">$E$9*$Q$10*SIN(AH47)/$K$9</f>
        <v>1089118.5973477</v>
      </c>
      <c r="AK47" s="0" t="e">
        <f aca="false">interpfn($Y$9:$Z$36,AI47,2)</f>
        <v>#VALUE!</v>
      </c>
      <c r="AL47" s="0" t="e">
        <f aca="false">interpfn($AA$9:$AB$27,AJ47,2)</f>
        <v>#VALUE!</v>
      </c>
      <c r="AM47" s="0" t="n">
        <f aca="false">IF(AI47&gt;0.45,1,AL47)</f>
        <v>1</v>
      </c>
      <c r="AO47" s="0" t="e">
        <f aca="false">interpfn($AE$9:$AF$22,AI47,2)</f>
        <v>#VALUE!</v>
      </c>
      <c r="AP47" s="0" t="e">
        <f aca="false">AK47*AM47</f>
        <v>#VALUE!</v>
      </c>
      <c r="AQ47" s="0" t="e">
        <f aca="false">$AN$9*AO47</f>
        <v>#VALUE!</v>
      </c>
      <c r="AS47" s="0" t="e">
        <f aca="false">$T$9*(COS(AH47))^2+$AR$9*(SIN(AH47))^2</f>
        <v>#VALUE!</v>
      </c>
      <c r="AT47" s="0" t="e">
        <f aca="false">($U$9/2)*(2*COS(2*AH47)*COS(AH47/2)-SIN(2*AH47)*SIN(AH47/2)/2)+2*AQ47*AP47*$N$29*SIN(AH47)*COS(AH47)/$J$9</f>
        <v>#VALUE!</v>
      </c>
      <c r="AU47" s="0" t="e">
        <f aca="false">($U$9/2)*(SIN(2*AH47)*COS(AH47/2))+AQ47*AP47*$N$29*(SIN(AH47))^2/$J$9</f>
        <v>#VALUE!</v>
      </c>
      <c r="AV47" s="0" t="e">
        <f aca="false">($U$9*($F$9/12-$W$9)/(2*$K$9))*(2*COS(2*AH47)*COS(AH47/2)-SIN(2*AH47)*SIN(AH47/2)/2)+2*AP47*AQ47*$N$29*($F$9/12-$S$10)*SIN(AH47)*COS(AH47)/($J$9*$K$9)</f>
        <v>#VALUE!</v>
      </c>
      <c r="AW47" s="0" t="n">
        <f aca="false">AG47</f>
        <v>38</v>
      </c>
      <c r="AX47" s="0" t="e">
        <f aca="false">$U$9*($F$9/12-$W$9)/(2*$K$9)*SIN(2*AH47)*COS(AH47/2)+AP47*AQ47*$N$29*($F$9/12-$S$10)*(SIN(AH47))^2/($J$9*$K$9)</f>
        <v>#VALUE!</v>
      </c>
      <c r="AY47" s="0" t="e">
        <f aca="false">AS47*COS(AH47)+AU47*SIN(AH47)</f>
        <v>#VALUE!</v>
      </c>
      <c r="AZ47" s="0" t="e">
        <f aca="false">AX47</f>
        <v>#VALUE!</v>
      </c>
      <c r="BA47" s="0" t="n">
        <f aca="false">AW47</f>
        <v>38</v>
      </c>
      <c r="BB47" s="0" t="e">
        <f aca="false">IF(AND(AV47&lt;0,AZ47*AZ48&lt;0),BA47+(BA48-BA47)*AZ47/(AZ48-AZ47),"")</f>
        <v>#VALUE!</v>
      </c>
      <c r="BC47" s="0" t="e">
        <f aca="false">IF(AND(AV47&lt;0,AZ47*AZ48&lt;0),AY47+(AY48-AY47)*AZ47/(AZ48-AZ47),"")</f>
        <v>#VALUE!</v>
      </c>
    </row>
    <row r="48" customFormat="false" ht="12.75" hidden="false" customHeight="false" outlineLevel="0" collapsed="false">
      <c r="AG48" s="0" t="n">
        <f aca="false">AG47+1</f>
        <v>39</v>
      </c>
      <c r="AH48" s="0" t="n">
        <f aca="false">AG48*PI()/180</f>
        <v>0.680678408277789</v>
      </c>
      <c r="AI48" s="0" t="n">
        <f aca="false">$D$9*SIN(AH48)</f>
        <v>1.25864078209967</v>
      </c>
      <c r="AJ48" s="19" t="n">
        <f aca="false">$E$9*$Q$10*SIN(AH48)/$K$9</f>
        <v>1113281.51760666</v>
      </c>
      <c r="AK48" s="0" t="e">
        <f aca="false">interpfn($Y$9:$Z$36,AI48,2)</f>
        <v>#VALUE!</v>
      </c>
      <c r="AL48" s="0" t="e">
        <f aca="false">interpfn($AA$9:$AB$27,AJ48,2)</f>
        <v>#VALUE!</v>
      </c>
      <c r="AM48" s="0" t="n">
        <f aca="false">IF(AI48&gt;0.45,1,AL48)</f>
        <v>1</v>
      </c>
      <c r="AO48" s="0" t="e">
        <f aca="false">interpfn($AE$9:$AF$22,AI48,2)</f>
        <v>#VALUE!</v>
      </c>
      <c r="AP48" s="0" t="e">
        <f aca="false">AK48*AM48</f>
        <v>#VALUE!</v>
      </c>
      <c r="AQ48" s="0" t="e">
        <f aca="false">$AN$9*AO48</f>
        <v>#VALUE!</v>
      </c>
      <c r="AS48" s="0" t="e">
        <f aca="false">$T$9*(COS(AH48))^2+$AR$9*(SIN(AH48))^2</f>
        <v>#VALUE!</v>
      </c>
      <c r="AT48" s="0" t="e">
        <f aca="false">($U$9/2)*(2*COS(2*AH48)*COS(AH48/2)-SIN(2*AH48)*SIN(AH48/2)/2)+2*AQ48*AP48*$N$29*SIN(AH48)*COS(AH48)/$J$9</f>
        <v>#VALUE!</v>
      </c>
      <c r="AU48" s="0" t="e">
        <f aca="false">($U$9/2)*(SIN(2*AH48)*COS(AH48/2))+AQ48*AP48*$N$29*(SIN(AH48))^2/$J$9</f>
        <v>#VALUE!</v>
      </c>
      <c r="AV48" s="0" t="e">
        <f aca="false">($U$9*($F$9/12-$W$9)/(2*$K$9))*(2*COS(2*AH48)*COS(AH48/2)-SIN(2*AH48)*SIN(AH48/2)/2)+2*AP48*AQ48*$N$29*($F$9/12-$S$10)*SIN(AH48)*COS(AH48)/($J$9*$K$9)</f>
        <v>#VALUE!</v>
      </c>
      <c r="AW48" s="0" t="n">
        <f aca="false">AG48</f>
        <v>39</v>
      </c>
      <c r="AX48" s="0" t="e">
        <f aca="false">$U$9*($F$9/12-$W$9)/(2*$K$9)*SIN(2*AH48)*COS(AH48/2)+AP48*AQ48*$N$29*($F$9/12-$S$10)*(SIN(AH48))^2/($J$9*$K$9)</f>
        <v>#VALUE!</v>
      </c>
      <c r="AY48" s="0" t="e">
        <f aca="false">AS48*COS(AH48)+AU48*SIN(AH48)</f>
        <v>#VALUE!</v>
      </c>
      <c r="AZ48" s="0" t="e">
        <f aca="false">AX48</f>
        <v>#VALUE!</v>
      </c>
      <c r="BA48" s="0" t="n">
        <f aca="false">AW48</f>
        <v>39</v>
      </c>
      <c r="BB48" s="0" t="e">
        <f aca="false">IF(AND(AV48&lt;0,AZ48*AZ49&lt;0),BA48+(BA49-BA48)*AZ48/(AZ49-AZ48),"")</f>
        <v>#VALUE!</v>
      </c>
      <c r="BC48" s="0" t="e">
        <f aca="false">IF(AND(AV48&lt;0,AZ48*AZ49&lt;0),AY48+(AY49-AY48)*AZ48/(AZ49-AZ48),"")</f>
        <v>#VALUE!</v>
      </c>
    </row>
    <row r="49" customFormat="false" ht="12.75" hidden="false" customHeight="false" outlineLevel="0" collapsed="false">
      <c r="AG49" s="0" t="n">
        <f aca="false">AG48+1</f>
        <v>40</v>
      </c>
      <c r="AH49" s="0" t="n">
        <f aca="false">AG49*PI()/180</f>
        <v>0.698131700797732</v>
      </c>
      <c r="AI49" s="0" t="n">
        <f aca="false">$D$9*SIN(AH49)</f>
        <v>1.28557521937308</v>
      </c>
      <c r="AJ49" s="19" t="n">
        <f aca="false">$E$9*$Q$10*SIN(AH49)/$K$9</f>
        <v>1137105.32153076</v>
      </c>
      <c r="AK49" s="0" t="e">
        <f aca="false">interpfn($Y$9:$Z$36,AI49,2)</f>
        <v>#VALUE!</v>
      </c>
      <c r="AL49" s="0" t="e">
        <f aca="false">interpfn($AA$9:$AB$27,AJ49,2)</f>
        <v>#VALUE!</v>
      </c>
      <c r="AM49" s="0" t="n">
        <f aca="false">IF(AI49&gt;0.45,1,AL49)</f>
        <v>1</v>
      </c>
      <c r="AO49" s="0" t="e">
        <f aca="false">interpfn($AE$9:$AF$22,AI49,2)</f>
        <v>#VALUE!</v>
      </c>
      <c r="AP49" s="0" t="e">
        <f aca="false">AK49*AM49</f>
        <v>#VALUE!</v>
      </c>
      <c r="AQ49" s="0" t="e">
        <f aca="false">$AN$9*AO49</f>
        <v>#VALUE!</v>
      </c>
      <c r="AS49" s="0" t="e">
        <f aca="false">$T$9*(COS(AH49))^2+$AR$9*(SIN(AH49))^2</f>
        <v>#VALUE!</v>
      </c>
      <c r="AT49" s="0" t="e">
        <f aca="false">($U$9/2)*(2*COS(2*AH49)*COS(AH49/2)-SIN(2*AH49)*SIN(AH49/2)/2)+2*AQ49*AP49*$N$29*SIN(AH49)*COS(AH49)/$J$9</f>
        <v>#VALUE!</v>
      </c>
      <c r="AU49" s="0" t="e">
        <f aca="false">($U$9/2)*(SIN(2*AH49)*COS(AH49/2))+AQ49*AP49*$N$29*(SIN(AH49))^2/$J$9</f>
        <v>#VALUE!</v>
      </c>
      <c r="AV49" s="0" t="e">
        <f aca="false">($U$9*($F$9/12-$W$9)/(2*$K$9))*(2*COS(2*AH49)*COS(AH49/2)-SIN(2*AH49)*SIN(AH49/2)/2)+2*AP49*AQ49*$N$29*($F$9/12-$S$10)*SIN(AH49)*COS(AH49)/($J$9*$K$9)</f>
        <v>#VALUE!</v>
      </c>
      <c r="AW49" s="0" t="n">
        <f aca="false">AG49</f>
        <v>40</v>
      </c>
      <c r="AX49" s="0" t="e">
        <f aca="false">$U$9*($F$9/12-$W$9)/(2*$K$9)*SIN(2*AH49)*COS(AH49/2)+AP49*AQ49*$N$29*($F$9/12-$S$10)*(SIN(AH49))^2/($J$9*$K$9)</f>
        <v>#VALUE!</v>
      </c>
      <c r="AY49" s="0" t="e">
        <f aca="false">AS49*COS(AH49)+AU49*SIN(AH49)</f>
        <v>#VALUE!</v>
      </c>
      <c r="AZ49" s="0" t="e">
        <f aca="false">AX49</f>
        <v>#VALUE!</v>
      </c>
      <c r="BA49" s="0" t="n">
        <f aca="false">AW49</f>
        <v>40</v>
      </c>
      <c r="BB49" s="0" t="e">
        <f aca="false">IF(AND(AV49&lt;0,AZ49*AZ50&lt;0),BA49+(BA50-BA49)*AZ49/(AZ50-AZ49),"")</f>
        <v>#VALUE!</v>
      </c>
      <c r="BC49" s="0" t="e">
        <f aca="false">IF(AND(AV49&lt;0,AZ49*AZ50&lt;0),AY49+(AY50-AY49)*AZ49/(AZ50-AZ49),"")</f>
        <v>#VALUE!</v>
      </c>
    </row>
    <row r="50" customFormat="false" ht="12.75" hidden="false" customHeight="false" outlineLevel="0" collapsed="false">
      <c r="AG50" s="0" t="n">
        <f aca="false">AG49+1</f>
        <v>41</v>
      </c>
      <c r="AH50" s="0" t="n">
        <f aca="false">AG50*PI()/180</f>
        <v>0.715584993317675</v>
      </c>
      <c r="AI50" s="0" t="n">
        <f aca="false">$D$9*SIN(AH50)</f>
        <v>1.31211805798101</v>
      </c>
      <c r="AJ50" s="19" t="n">
        <f aca="false">$E$9*$Q$10*SIN(AH50)/$K$9</f>
        <v>1160582.75215853</v>
      </c>
      <c r="AK50" s="0" t="e">
        <f aca="false">interpfn($Y$9:$Z$36,AI50,2)</f>
        <v>#VALUE!</v>
      </c>
      <c r="AL50" s="0" t="e">
        <f aca="false">interpfn($AA$9:$AB$27,AJ50,2)</f>
        <v>#VALUE!</v>
      </c>
      <c r="AM50" s="0" t="n">
        <f aca="false">IF(AI50&gt;0.45,1,AL50)</f>
        <v>1</v>
      </c>
      <c r="AO50" s="0" t="e">
        <f aca="false">interpfn($AE$9:$AF$22,AI50,2)</f>
        <v>#VALUE!</v>
      </c>
      <c r="AP50" s="0" t="e">
        <f aca="false">AK50*AM50</f>
        <v>#VALUE!</v>
      </c>
      <c r="AQ50" s="0" t="e">
        <f aca="false">$AN$9*AO50</f>
        <v>#VALUE!</v>
      </c>
      <c r="AS50" s="0" t="e">
        <f aca="false">$T$9*(COS(AH50))^2+$AR$9*(SIN(AH50))^2</f>
        <v>#VALUE!</v>
      </c>
      <c r="AT50" s="0" t="e">
        <f aca="false">($U$9/2)*(2*COS(2*AH50)*COS(AH50/2)-SIN(2*AH50)*SIN(AH50/2)/2)+2*AQ50*AP50*$N$29*SIN(AH50)*COS(AH50)/$J$9</f>
        <v>#VALUE!</v>
      </c>
      <c r="AU50" s="0" t="e">
        <f aca="false">($U$9/2)*(SIN(2*AH50)*COS(AH50/2))+AQ50*AP50*$N$29*(SIN(AH50))^2/$J$9</f>
        <v>#VALUE!</v>
      </c>
      <c r="AV50" s="0" t="e">
        <f aca="false">($U$9*($F$9/12-$W$9)/(2*$K$9))*(2*COS(2*AH50)*COS(AH50/2)-SIN(2*AH50)*SIN(AH50/2)/2)+2*AP50*AQ50*$N$29*($F$9/12-$S$10)*SIN(AH50)*COS(AH50)/($J$9*$K$9)</f>
        <v>#VALUE!</v>
      </c>
      <c r="AW50" s="0" t="n">
        <f aca="false">AG50</f>
        <v>41</v>
      </c>
      <c r="AX50" s="0" t="e">
        <f aca="false">$U$9*($F$9/12-$W$9)/(2*$K$9)*SIN(2*AH50)*COS(AH50/2)+AP50*AQ50*$N$29*($F$9/12-$S$10)*(SIN(AH50))^2/($J$9*$K$9)</f>
        <v>#VALUE!</v>
      </c>
      <c r="AY50" s="0" t="e">
        <f aca="false">AS50*COS(AH50)+AU50*SIN(AH50)</f>
        <v>#VALUE!</v>
      </c>
      <c r="AZ50" s="0" t="e">
        <f aca="false">AX50</f>
        <v>#VALUE!</v>
      </c>
      <c r="BA50" s="0" t="n">
        <f aca="false">AW50</f>
        <v>41</v>
      </c>
      <c r="BB50" s="0" t="e">
        <f aca="false">IF(AND(AV50&lt;0,AZ50*AZ51&lt;0),BA50+(BA51-BA50)*AZ50/(AZ51-AZ50),"")</f>
        <v>#VALUE!</v>
      </c>
      <c r="BC50" s="0" t="e">
        <f aca="false">IF(AND(AV50&lt;0,AZ50*AZ51&lt;0),AY50+(AY51-AY50)*AZ50/(AZ51-AZ50),"")</f>
        <v>#VALUE!</v>
      </c>
    </row>
    <row r="51" customFormat="false" ht="12.75" hidden="false" customHeight="false" outlineLevel="0" collapsed="false">
      <c r="AG51" s="0" t="n">
        <f aca="false">AG50+1</f>
        <v>42</v>
      </c>
      <c r="AH51" s="0" t="n">
        <f aca="false">AG51*PI()/180</f>
        <v>0.733038285837618</v>
      </c>
      <c r="AI51" s="0" t="n">
        <f aca="false">$D$9*SIN(AH51)</f>
        <v>1.33826121271772</v>
      </c>
      <c r="AJ51" s="19" t="n">
        <f aca="false">$E$9*$Q$10*SIN(AH51)/$K$9</f>
        <v>1183706.65803718</v>
      </c>
      <c r="AK51" s="0" t="e">
        <f aca="false">interpfn($Y$9:$Z$36,AI51,2)</f>
        <v>#VALUE!</v>
      </c>
      <c r="AL51" s="0" t="e">
        <f aca="false">interpfn($AA$9:$AB$27,AJ51,2)</f>
        <v>#VALUE!</v>
      </c>
      <c r="AM51" s="0" t="n">
        <f aca="false">IF(AI51&gt;0.45,1,AL51)</f>
        <v>1</v>
      </c>
      <c r="AO51" s="0" t="e">
        <f aca="false">interpfn($AE$9:$AF$22,AI51,2)</f>
        <v>#VALUE!</v>
      </c>
      <c r="AP51" s="0" t="e">
        <f aca="false">AK51*AM51</f>
        <v>#VALUE!</v>
      </c>
      <c r="AQ51" s="0" t="e">
        <f aca="false">$AN$9*AO51</f>
        <v>#VALUE!</v>
      </c>
      <c r="AS51" s="0" t="e">
        <f aca="false">$T$9*(COS(AH51))^2+$AR$9*(SIN(AH51))^2</f>
        <v>#VALUE!</v>
      </c>
      <c r="AT51" s="0" t="e">
        <f aca="false">($U$9/2)*(2*COS(2*AH51)*COS(AH51/2)-SIN(2*AH51)*SIN(AH51/2)/2)+2*AQ51*AP51*$N$29*SIN(AH51)*COS(AH51)/$J$9</f>
        <v>#VALUE!</v>
      </c>
      <c r="AU51" s="0" t="e">
        <f aca="false">($U$9/2)*(SIN(2*AH51)*COS(AH51/2))+AQ51*AP51*$N$29*(SIN(AH51))^2/$J$9</f>
        <v>#VALUE!</v>
      </c>
      <c r="AV51" s="0" t="e">
        <f aca="false">($U$9*($F$9/12-$W$9)/(2*$K$9))*(2*COS(2*AH51)*COS(AH51/2)-SIN(2*AH51)*SIN(AH51/2)/2)+2*AP51*AQ51*$N$29*($F$9/12-$S$10)*SIN(AH51)*COS(AH51)/($J$9*$K$9)</f>
        <v>#VALUE!</v>
      </c>
      <c r="AW51" s="0" t="n">
        <f aca="false">AG51</f>
        <v>42</v>
      </c>
      <c r="AX51" s="0" t="e">
        <f aca="false">$U$9*($F$9/12-$W$9)/(2*$K$9)*SIN(2*AH51)*COS(AH51/2)+AP51*AQ51*$N$29*($F$9/12-$S$10)*(SIN(AH51))^2/($J$9*$K$9)</f>
        <v>#VALUE!</v>
      </c>
      <c r="AY51" s="0" t="e">
        <f aca="false">AS51*COS(AH51)+AU51*SIN(AH51)</f>
        <v>#VALUE!</v>
      </c>
      <c r="AZ51" s="0" t="e">
        <f aca="false">AX51</f>
        <v>#VALUE!</v>
      </c>
      <c r="BA51" s="0" t="n">
        <f aca="false">AW51</f>
        <v>42</v>
      </c>
      <c r="BB51" s="0" t="e">
        <f aca="false">IF(AND(AV51&lt;0,AZ51*AZ52&lt;0),BA51+(BA52-BA51)*AZ51/(AZ52-AZ51),"")</f>
        <v>#VALUE!</v>
      </c>
      <c r="BC51" s="0" t="e">
        <f aca="false">IF(AND(AV51&lt;0,AZ51*AZ52&lt;0),AY51+(AY52-AY51)*AZ51/(AZ52-AZ51),"")</f>
        <v>#VALUE!</v>
      </c>
    </row>
    <row r="52" customFormat="false" ht="12.75" hidden="false" customHeight="false" outlineLevel="0" collapsed="false">
      <c r="AG52" s="0" t="n">
        <f aca="false">AG51+1</f>
        <v>43</v>
      </c>
      <c r="AH52" s="0" t="n">
        <f aca="false">AG52*PI()/180</f>
        <v>0.750491578357562</v>
      </c>
      <c r="AI52" s="0" t="n">
        <f aca="false">$D$9*SIN(AH52)</f>
        <v>1.363996720125</v>
      </c>
      <c r="AJ52" s="19" t="n">
        <f aca="false">$E$9*$Q$10*SIN(AH52)/$K$9</f>
        <v>1206469.99540097</v>
      </c>
      <c r="AK52" s="0" t="e">
        <f aca="false">interpfn($Y$9:$Z$36,AI52,2)</f>
        <v>#VALUE!</v>
      </c>
      <c r="AL52" s="0" t="e">
        <f aca="false">interpfn($AA$9:$AB$27,AJ52,2)</f>
        <v>#VALUE!</v>
      </c>
      <c r="AM52" s="0" t="n">
        <f aca="false">IF(AI52&gt;0.45,1,AL52)</f>
        <v>1</v>
      </c>
      <c r="AO52" s="0" t="e">
        <f aca="false">interpfn($AE$9:$AF$22,AI52,2)</f>
        <v>#VALUE!</v>
      </c>
      <c r="AP52" s="0" t="e">
        <f aca="false">AK52*AM52</f>
        <v>#VALUE!</v>
      </c>
      <c r="AQ52" s="0" t="e">
        <f aca="false">$AN$9*AO52</f>
        <v>#VALUE!</v>
      </c>
      <c r="AS52" s="0" t="e">
        <f aca="false">$T$9*(COS(AH52))^2+$AR$9*(SIN(AH52))^2</f>
        <v>#VALUE!</v>
      </c>
      <c r="AT52" s="0" t="e">
        <f aca="false">($U$9/2)*(2*COS(2*AH52)*COS(AH52/2)-SIN(2*AH52)*SIN(AH52/2)/2)+2*AQ52*AP52*$N$29*SIN(AH52)*COS(AH52)/$J$9</f>
        <v>#VALUE!</v>
      </c>
      <c r="AU52" s="0" t="e">
        <f aca="false">($U$9/2)*(SIN(2*AH52)*COS(AH52/2))+AQ52*AP52*$N$29*(SIN(AH52))^2/$J$9</f>
        <v>#VALUE!</v>
      </c>
      <c r="AV52" s="0" t="e">
        <f aca="false">($U$9*($F$9/12-$W$9)/(2*$K$9))*(2*COS(2*AH52)*COS(AH52/2)-SIN(2*AH52)*SIN(AH52/2)/2)+2*AP52*AQ52*$N$29*($F$9/12-$S$10)*SIN(AH52)*COS(AH52)/($J$9*$K$9)</f>
        <v>#VALUE!</v>
      </c>
      <c r="AW52" s="0" t="n">
        <f aca="false">AG52</f>
        <v>43</v>
      </c>
      <c r="AX52" s="0" t="e">
        <f aca="false">$U$9*($F$9/12-$W$9)/(2*$K$9)*SIN(2*AH52)*COS(AH52/2)+AP52*AQ52*$N$29*($F$9/12-$S$10)*(SIN(AH52))^2/($J$9*$K$9)</f>
        <v>#VALUE!</v>
      </c>
      <c r="AY52" s="0" t="e">
        <f aca="false">AS52*COS(AH52)+AU52*SIN(AH52)</f>
        <v>#VALUE!</v>
      </c>
      <c r="AZ52" s="0" t="e">
        <f aca="false">AX52</f>
        <v>#VALUE!</v>
      </c>
      <c r="BA52" s="0" t="n">
        <f aca="false">AW52</f>
        <v>43</v>
      </c>
      <c r="BB52" s="0" t="e">
        <f aca="false">IF(AND(AV52&lt;0,AZ52*AZ53&lt;0),BA52+(BA53-BA52)*AZ52/(AZ53-AZ52),"")</f>
        <v>#VALUE!</v>
      </c>
      <c r="BC52" s="0" t="e">
        <f aca="false">IF(AND(AV52&lt;0,AZ52*AZ53&lt;0),AY52+(AY53-AY52)*AZ52/(AZ53-AZ52),"")</f>
        <v>#VALUE!</v>
      </c>
    </row>
    <row r="53" customFormat="false" ht="12.75" hidden="false" customHeight="false" outlineLevel="0" collapsed="false">
      <c r="AG53" s="0" t="n">
        <f aca="false">AG52+1</f>
        <v>44</v>
      </c>
      <c r="AH53" s="0" t="n">
        <f aca="false">AG53*PI()/180</f>
        <v>0.767944870877505</v>
      </c>
      <c r="AI53" s="0" t="n">
        <f aca="false">$D$9*SIN(AH53)</f>
        <v>1.38931674091799</v>
      </c>
      <c r="AJ53" s="19" t="n">
        <f aca="false">$E$9*$Q$10*SIN(AH53)/$K$9</f>
        <v>1228865.83031682</v>
      </c>
      <c r="AK53" s="0" t="e">
        <f aca="false">interpfn($Y$9:$Z$36,AI53,2)</f>
        <v>#VALUE!</v>
      </c>
      <c r="AL53" s="0" t="e">
        <f aca="false">interpfn($AA$9:$AB$27,AJ53,2)</f>
        <v>#VALUE!</v>
      </c>
      <c r="AM53" s="0" t="n">
        <f aca="false">IF(AI53&gt;0.45,1,AL53)</f>
        <v>1</v>
      </c>
      <c r="AO53" s="0" t="e">
        <f aca="false">interpfn($AE$9:$AF$22,AI53,2)</f>
        <v>#VALUE!</v>
      </c>
      <c r="AP53" s="0" t="e">
        <f aca="false">AK53*AM53</f>
        <v>#VALUE!</v>
      </c>
      <c r="AQ53" s="0" t="e">
        <f aca="false">$AN$9*AO53</f>
        <v>#VALUE!</v>
      </c>
      <c r="AS53" s="0" t="e">
        <f aca="false">$T$9*(COS(AH53))^2+$AR$9*(SIN(AH53))^2</f>
        <v>#VALUE!</v>
      </c>
      <c r="AT53" s="0" t="e">
        <f aca="false">($U$9/2)*(2*COS(2*AH53)*COS(AH53/2)-SIN(2*AH53)*SIN(AH53/2)/2)+2*AQ53*AP53*$N$29*SIN(AH53)*COS(AH53)/$J$9</f>
        <v>#VALUE!</v>
      </c>
      <c r="AU53" s="0" t="e">
        <f aca="false">($U$9/2)*(SIN(2*AH53)*COS(AH53/2))+AQ53*AP53*$N$29*(SIN(AH53))^2/$J$9</f>
        <v>#VALUE!</v>
      </c>
      <c r="AV53" s="0" t="e">
        <f aca="false">($U$9*($F$9/12-$W$9)/(2*$K$9))*(2*COS(2*AH53)*COS(AH53/2)-SIN(2*AH53)*SIN(AH53/2)/2)+2*AP53*AQ53*$N$29*($F$9/12-$S$10)*SIN(AH53)*COS(AH53)/($J$9*$K$9)</f>
        <v>#VALUE!</v>
      </c>
      <c r="AW53" s="0" t="n">
        <f aca="false">AG53</f>
        <v>44</v>
      </c>
      <c r="AX53" s="0" t="e">
        <f aca="false">$U$9*($F$9/12-$W$9)/(2*$K$9)*SIN(2*AH53)*COS(AH53/2)+AP53*AQ53*$N$29*($F$9/12-$S$10)*(SIN(AH53))^2/($J$9*$K$9)</f>
        <v>#VALUE!</v>
      </c>
      <c r="AY53" s="0" t="e">
        <f aca="false">AS53*COS(AH53)+AU53*SIN(AH53)</f>
        <v>#VALUE!</v>
      </c>
      <c r="AZ53" s="0" t="e">
        <f aca="false">AX53</f>
        <v>#VALUE!</v>
      </c>
      <c r="BA53" s="0" t="n">
        <f aca="false">AW53</f>
        <v>44</v>
      </c>
      <c r="BB53" s="0" t="e">
        <f aca="false">IF(AND(AV53&lt;0,AZ53*AZ54&lt;0),BA53+(BA54-BA53)*AZ53/(AZ54-AZ53),"")</f>
        <v>#VALUE!</v>
      </c>
      <c r="BC53" s="0" t="e">
        <f aca="false">IF(AND(AV53&lt;0,AZ53*AZ54&lt;0),AY53+(AY54-AY53)*AZ53/(AZ54-AZ53),"")</f>
        <v>#VALUE!</v>
      </c>
    </row>
    <row r="54" customFormat="false" ht="12.75" hidden="false" customHeight="false" outlineLevel="0" collapsed="false">
      <c r="AG54" s="0" t="n">
        <f aca="false">AG53+1</f>
        <v>45</v>
      </c>
      <c r="AH54" s="0" t="n">
        <f aca="false">AG54*PI()/180</f>
        <v>0.785398163397448</v>
      </c>
      <c r="AI54" s="0" t="n">
        <f aca="false">$D$9*SIN(AH54)</f>
        <v>1.4142135623731</v>
      </c>
      <c r="AJ54" s="19" t="n">
        <f aca="false">$E$9*$Q$10*SIN(AH54)/$K$9</f>
        <v>1250887.34079646</v>
      </c>
      <c r="AK54" s="0" t="e">
        <f aca="false">interpfn($Y$9:$Z$36,AI54,2)</f>
        <v>#VALUE!</v>
      </c>
      <c r="AL54" s="0" t="e">
        <f aca="false">interpfn($AA$9:$AB$27,AJ54,2)</f>
        <v>#VALUE!</v>
      </c>
      <c r="AM54" s="0" t="n">
        <f aca="false">IF(AI54&gt;0.45,1,AL54)</f>
        <v>1</v>
      </c>
      <c r="AO54" s="0" t="e">
        <f aca="false">interpfn($AE$9:$AF$22,AI54,2)</f>
        <v>#VALUE!</v>
      </c>
      <c r="AP54" s="0" t="e">
        <f aca="false">AK54*AM54</f>
        <v>#VALUE!</v>
      </c>
      <c r="AQ54" s="0" t="e">
        <f aca="false">$AN$9*AO54</f>
        <v>#VALUE!</v>
      </c>
      <c r="AS54" s="0" t="e">
        <f aca="false">$T$9*(COS(AH54))^2+$AR$9*(SIN(AH54))^2</f>
        <v>#VALUE!</v>
      </c>
      <c r="AT54" s="0" t="e">
        <f aca="false">($U$9/2)*(2*COS(2*AH54)*COS(AH54/2)-SIN(2*AH54)*SIN(AH54/2)/2)+2*AQ54*AP54*$N$29*SIN(AH54)*COS(AH54)/$J$9</f>
        <v>#VALUE!</v>
      </c>
      <c r="AU54" s="0" t="e">
        <f aca="false">($U$9/2)*(SIN(2*AH54)*COS(AH54/2))+AQ54*AP54*$N$29*(SIN(AH54))^2/$J$9</f>
        <v>#VALUE!</v>
      </c>
      <c r="AV54" s="0" t="e">
        <f aca="false">($U$9*($F$9/12-$W$9)/(2*$K$9))*(2*COS(2*AH54)*COS(AH54/2)-SIN(2*AH54)*SIN(AH54/2)/2)+2*AP54*AQ54*$N$29*($F$9/12-$S$10)*SIN(AH54)*COS(AH54)/($J$9*$K$9)</f>
        <v>#VALUE!</v>
      </c>
      <c r="AW54" s="0" t="n">
        <f aca="false">AG54</f>
        <v>45</v>
      </c>
      <c r="AX54" s="0" t="e">
        <f aca="false">$U$9*($F$9/12-$W$9)/(2*$K$9)*SIN(2*AH54)*COS(AH54/2)+AP54*AQ54*$N$29*($F$9/12-$S$10)*(SIN(AH54))^2/($J$9*$K$9)</f>
        <v>#VALUE!</v>
      </c>
      <c r="AY54" s="0" t="e">
        <f aca="false">AS54*COS(AH54)+AU54*SIN(AH54)</f>
        <v>#VALUE!</v>
      </c>
      <c r="AZ54" s="0" t="e">
        <f aca="false">AX54</f>
        <v>#VALUE!</v>
      </c>
      <c r="BA54" s="0" t="n">
        <f aca="false">AW54</f>
        <v>45</v>
      </c>
      <c r="BB54" s="0" t="e">
        <f aca="false">IF(AND(AV54&lt;0,AZ54*AZ55&lt;0),BA54+(BA55-BA54)*AZ54/(AZ55-AZ54),"")</f>
        <v>#VALUE!</v>
      </c>
      <c r="BC54" s="0" t="e">
        <f aca="false">IF(AND(AV54&lt;0,AZ54*AZ55&lt;0),AY54+(AY55-AY54)*AZ54/(AZ55-AZ54),"")</f>
        <v>#VALUE!</v>
      </c>
    </row>
    <row r="55" customFormat="false" ht="12.75" hidden="false" customHeight="false" outlineLevel="0" collapsed="false">
      <c r="AG55" s="0" t="n">
        <f aca="false">AG54+1</f>
        <v>46</v>
      </c>
      <c r="AH55" s="0" t="n">
        <f aca="false">AG55*PI()/180</f>
        <v>0.802851455917392</v>
      </c>
      <c r="AI55" s="0" t="n">
        <f aca="false">$D$9*SIN(AH55)</f>
        <v>1.4386796006773</v>
      </c>
      <c r="AJ55" s="19" t="n">
        <f aca="false">$E$9*$Q$10*SIN(AH55)/$K$9</f>
        <v>1272527.81887448</v>
      </c>
      <c r="AK55" s="0" t="e">
        <f aca="false">interpfn($Y$9:$Z$36,AI55,2)</f>
        <v>#VALUE!</v>
      </c>
      <c r="AL55" s="0" t="e">
        <f aca="false">interpfn($AA$9:$AB$27,AJ55,2)</f>
        <v>#VALUE!</v>
      </c>
      <c r="AM55" s="0" t="n">
        <f aca="false">IF(AI55&gt;0.45,1,AL55)</f>
        <v>1</v>
      </c>
      <c r="AO55" s="0" t="e">
        <f aca="false">interpfn($AE$9:$AF$22,AI55,2)</f>
        <v>#VALUE!</v>
      </c>
      <c r="AP55" s="0" t="e">
        <f aca="false">AK55*AM55</f>
        <v>#VALUE!</v>
      </c>
      <c r="AQ55" s="0" t="e">
        <f aca="false">$AN$9*AO55</f>
        <v>#VALUE!</v>
      </c>
      <c r="AS55" s="0" t="e">
        <f aca="false">$T$9*(COS(AH55))^2+$AR$9*(SIN(AH55))^2</f>
        <v>#VALUE!</v>
      </c>
      <c r="AT55" s="0" t="e">
        <f aca="false">($U$9/2)*(2*COS(2*AH55)*COS(AH55/2)-SIN(2*AH55)*SIN(AH55/2)/2)+2*AQ55*AP55*$N$29*SIN(AH55)*COS(AH55)/$J$9</f>
        <v>#VALUE!</v>
      </c>
      <c r="AU55" s="0" t="e">
        <f aca="false">($U$9/2)*(SIN(2*AH55)*COS(AH55/2))+AQ55*AP55*$N$29*(SIN(AH55))^2/$J$9</f>
        <v>#VALUE!</v>
      </c>
      <c r="AV55" s="0" t="e">
        <f aca="false">($U$9*($F$9/12-$W$9)/(2*$K$9))*(2*COS(2*AH55)*COS(AH55/2)-SIN(2*AH55)*SIN(AH55/2)/2)+2*AP55*AQ55*$N$29*($F$9/12-$S$10)*SIN(AH55)*COS(AH55)/($J$9*$K$9)</f>
        <v>#VALUE!</v>
      </c>
      <c r="AW55" s="0" t="n">
        <f aca="false">AG55</f>
        <v>46</v>
      </c>
      <c r="AX55" s="0" t="e">
        <f aca="false">$U$9*($F$9/12-$W$9)/(2*$K$9)*SIN(2*AH55)*COS(AH55/2)+AP55*AQ55*$N$29*($F$9/12-$S$10)*(SIN(AH55))^2/($J$9*$K$9)</f>
        <v>#VALUE!</v>
      </c>
      <c r="AY55" s="0" t="e">
        <f aca="false">AS55*COS(AH55)+AU55*SIN(AH55)</f>
        <v>#VALUE!</v>
      </c>
      <c r="AZ55" s="0" t="e">
        <f aca="false">AX55</f>
        <v>#VALUE!</v>
      </c>
      <c r="BA55" s="0" t="n">
        <f aca="false">AW55</f>
        <v>46</v>
      </c>
      <c r="BB55" s="0" t="e">
        <f aca="false">IF(AND(AV55&lt;0,AZ55*AZ56&lt;0),BA55+(BA56-BA55)*AZ55/(AZ56-AZ55),"")</f>
        <v>#VALUE!</v>
      </c>
      <c r="BC55" s="0" t="e">
        <f aca="false">IF(AND(AV55&lt;0,AZ55*AZ56&lt;0),AY55+(AY56-AY55)*AZ55/(AZ56-AZ55),"")</f>
        <v>#VALUE!</v>
      </c>
    </row>
    <row r="56" customFormat="false" ht="12.75" hidden="false" customHeight="false" outlineLevel="0" collapsed="false">
      <c r="AG56" s="0" t="n">
        <f aca="false">AG55+1</f>
        <v>47</v>
      </c>
      <c r="AH56" s="0" t="n">
        <f aca="false">AG56*PI()/180</f>
        <v>0.820304748437335</v>
      </c>
      <c r="AI56" s="0" t="n">
        <f aca="false">$D$9*SIN(AH56)</f>
        <v>1.46270740323834</v>
      </c>
      <c r="AJ56" s="19" t="n">
        <f aca="false">$E$9*$Q$10*SIN(AH56)/$K$9</f>
        <v>1293780.67265162</v>
      </c>
      <c r="AK56" s="0" t="e">
        <f aca="false">interpfn($Y$9:$Z$36,AI56,2)</f>
        <v>#VALUE!</v>
      </c>
      <c r="AL56" s="0" t="e">
        <f aca="false">interpfn($AA$9:$AB$27,AJ56,2)</f>
        <v>#VALUE!</v>
      </c>
      <c r="AM56" s="0" t="n">
        <f aca="false">IF(AI56&gt;0.45,1,AL56)</f>
        <v>1</v>
      </c>
      <c r="AO56" s="0" t="e">
        <f aca="false">interpfn($AE$9:$AF$22,AI56,2)</f>
        <v>#VALUE!</v>
      </c>
      <c r="AP56" s="0" t="e">
        <f aca="false">AK56*AM56</f>
        <v>#VALUE!</v>
      </c>
      <c r="AQ56" s="0" t="e">
        <f aca="false">$AN$9*AO56</f>
        <v>#VALUE!</v>
      </c>
      <c r="AS56" s="0" t="e">
        <f aca="false">$T$9*(COS(AH56))^2+$AR$9*(SIN(AH56))^2</f>
        <v>#VALUE!</v>
      </c>
      <c r="AT56" s="0" t="e">
        <f aca="false">($U$9/2)*(2*COS(2*AH56)*COS(AH56/2)-SIN(2*AH56)*SIN(AH56/2)/2)+2*AQ56*AP56*$N$29*SIN(AH56)*COS(AH56)/$J$9</f>
        <v>#VALUE!</v>
      </c>
      <c r="AU56" s="0" t="e">
        <f aca="false">($U$9/2)*(SIN(2*AH56)*COS(AH56/2))+AQ56*AP56*$N$29*(SIN(AH56))^2/$J$9</f>
        <v>#VALUE!</v>
      </c>
      <c r="AV56" s="0" t="e">
        <f aca="false">($U$9*($F$9/12-$W$9)/(2*$K$9))*(2*COS(2*AH56)*COS(AH56/2)-SIN(2*AH56)*SIN(AH56/2)/2)+2*AP56*AQ56*$N$29*($F$9/12-$S$10)*SIN(AH56)*COS(AH56)/($J$9*$K$9)</f>
        <v>#VALUE!</v>
      </c>
      <c r="AW56" s="0" t="n">
        <f aca="false">AG56</f>
        <v>47</v>
      </c>
      <c r="AX56" s="0" t="e">
        <f aca="false">$U$9*($F$9/12-$W$9)/(2*$K$9)*SIN(2*AH56)*COS(AH56/2)+AP56*AQ56*$N$29*($F$9/12-$S$10)*(SIN(AH56))^2/($J$9*$K$9)</f>
        <v>#VALUE!</v>
      </c>
      <c r="AY56" s="0" t="e">
        <f aca="false">AS56*COS(AH56)+AU56*SIN(AH56)</f>
        <v>#VALUE!</v>
      </c>
      <c r="AZ56" s="0" t="e">
        <f aca="false">AX56</f>
        <v>#VALUE!</v>
      </c>
      <c r="BA56" s="0" t="n">
        <f aca="false">AW56</f>
        <v>47</v>
      </c>
      <c r="BB56" s="0" t="e">
        <f aca="false">IF(AND(AV56&lt;0,AZ56*AZ57&lt;0),BA56+(BA57-BA56)*AZ56/(AZ57-AZ56),"")</f>
        <v>#VALUE!</v>
      </c>
      <c r="BC56" s="0" t="e">
        <f aca="false">IF(AND(AV56&lt;0,AZ56*AZ57&lt;0),AY56+(AY57-AY56)*AZ56/(AZ57-AZ56),"")</f>
        <v>#VALUE!</v>
      </c>
    </row>
    <row r="57" customFormat="false" ht="12.75" hidden="false" customHeight="false" outlineLevel="0" collapsed="false">
      <c r="AG57" s="0" t="n">
        <f aca="false">AG56+1</f>
        <v>48</v>
      </c>
      <c r="AH57" s="0" t="n">
        <f aca="false">AG57*PI()/180</f>
        <v>0.837758040957278</v>
      </c>
      <c r="AI57" s="0" t="n">
        <f aca="false">$D$9*SIN(AH57)</f>
        <v>1.48628965095479</v>
      </c>
      <c r="AJ57" s="19" t="n">
        <f aca="false">$E$9*$Q$10*SIN(AH57)/$K$9</f>
        <v>1314639.42830274</v>
      </c>
      <c r="AK57" s="0" t="e">
        <f aca="false">interpfn($Y$9:$Z$36,AI57,2)</f>
        <v>#VALUE!</v>
      </c>
      <c r="AL57" s="0" t="e">
        <f aca="false">interpfn($AA$9:$AB$27,AJ57,2)</f>
        <v>#VALUE!</v>
      </c>
      <c r="AM57" s="0" t="n">
        <f aca="false">IF(AI57&gt;0.45,1,AL57)</f>
        <v>1</v>
      </c>
      <c r="AO57" s="0" t="e">
        <f aca="false">interpfn($AE$9:$AF$22,AI57,2)</f>
        <v>#VALUE!</v>
      </c>
      <c r="AP57" s="0" t="e">
        <f aca="false">AK57*AM57</f>
        <v>#VALUE!</v>
      </c>
      <c r="AQ57" s="0" t="e">
        <f aca="false">$AN$9*AO57</f>
        <v>#VALUE!</v>
      </c>
      <c r="AS57" s="0" t="e">
        <f aca="false">$T$9*(COS(AH57))^2+$AR$9*(SIN(AH57))^2</f>
        <v>#VALUE!</v>
      </c>
      <c r="AT57" s="0" t="e">
        <f aca="false">($U$9/2)*(2*COS(2*AH57)*COS(AH57/2)-SIN(2*AH57)*SIN(AH57/2)/2)+2*AQ57*AP57*$N$29*SIN(AH57)*COS(AH57)/$J$9</f>
        <v>#VALUE!</v>
      </c>
      <c r="AU57" s="0" t="e">
        <f aca="false">($U$9/2)*(SIN(2*AH57)*COS(AH57/2))+AQ57*AP57*$N$29*(SIN(AH57))^2/$J$9</f>
        <v>#VALUE!</v>
      </c>
      <c r="AV57" s="0" t="e">
        <f aca="false">($U$9*($F$9/12-$W$9)/(2*$K$9))*(2*COS(2*AH57)*COS(AH57/2)-SIN(2*AH57)*SIN(AH57/2)/2)+2*AP57*AQ57*$N$29*($F$9/12-$S$10)*SIN(AH57)*COS(AH57)/($J$9*$K$9)</f>
        <v>#VALUE!</v>
      </c>
      <c r="AW57" s="0" t="n">
        <f aca="false">AG57</f>
        <v>48</v>
      </c>
      <c r="AX57" s="0" t="e">
        <f aca="false">$U$9*($F$9/12-$W$9)/(2*$K$9)*SIN(2*AH57)*COS(AH57/2)+AP57*AQ57*$N$29*($F$9/12-$S$10)*(SIN(AH57))^2/($J$9*$K$9)</f>
        <v>#VALUE!</v>
      </c>
      <c r="AY57" s="0" t="e">
        <f aca="false">AS57*COS(AH57)+AU57*SIN(AH57)</f>
        <v>#VALUE!</v>
      </c>
      <c r="AZ57" s="0" t="e">
        <f aca="false">AX57</f>
        <v>#VALUE!</v>
      </c>
      <c r="BA57" s="0" t="n">
        <f aca="false">AW57</f>
        <v>48</v>
      </c>
      <c r="BB57" s="0" t="e">
        <f aca="false">IF(AND(AV57&lt;0,AZ57*AZ58&lt;0),BA57+(BA58-BA57)*AZ57/(AZ58-AZ57),"")</f>
        <v>#VALUE!</v>
      </c>
      <c r="BC57" s="0" t="e">
        <f aca="false">IF(AND(AV57&lt;0,AZ57*AZ58&lt;0),AY57+(AY58-AY57)*AZ57/(AZ58-AZ57),"")</f>
        <v>#VALUE!</v>
      </c>
    </row>
    <row r="58" customFormat="false" ht="12.75" hidden="false" customHeight="false" outlineLevel="0" collapsed="false">
      <c r="AG58" s="0" t="n">
        <f aca="false">AG57+1</f>
        <v>49</v>
      </c>
      <c r="AH58" s="0" t="n">
        <f aca="false">AG58*PI()/180</f>
        <v>0.855211333477221</v>
      </c>
      <c r="AI58" s="0" t="n">
        <f aca="false">$D$9*SIN(AH58)</f>
        <v>1.50941916044554</v>
      </c>
      <c r="AJ58" s="19" t="n">
        <f aca="false">$E$9*$Q$10*SIN(AH58)/$K$9</f>
        <v>1335097.73204879</v>
      </c>
      <c r="AK58" s="0" t="e">
        <f aca="false">interpfn($Y$9:$Z$36,AI58,2)</f>
        <v>#VALUE!</v>
      </c>
      <c r="AL58" s="0" t="e">
        <f aca="false">interpfn($AA$9:$AB$27,AJ58,2)</f>
        <v>#VALUE!</v>
      </c>
      <c r="AM58" s="0" t="n">
        <f aca="false">IF(AI58&gt;0.45,1,AL58)</f>
        <v>1</v>
      </c>
      <c r="AO58" s="0" t="e">
        <f aca="false">interpfn($AE$9:$AF$22,AI58,2)</f>
        <v>#VALUE!</v>
      </c>
      <c r="AP58" s="0" t="e">
        <f aca="false">AK58*AM58</f>
        <v>#VALUE!</v>
      </c>
      <c r="AQ58" s="0" t="e">
        <f aca="false">$AN$9*AO58</f>
        <v>#VALUE!</v>
      </c>
      <c r="AS58" s="0" t="e">
        <f aca="false">$T$9*(COS(AH58))^2+$AR$9*(SIN(AH58))^2</f>
        <v>#VALUE!</v>
      </c>
      <c r="AT58" s="0" t="e">
        <f aca="false">($U$9/2)*(2*COS(2*AH58)*COS(AH58/2)-SIN(2*AH58)*SIN(AH58/2)/2)+2*AQ58*AP58*$N$29*SIN(AH58)*COS(AH58)/$J$9</f>
        <v>#VALUE!</v>
      </c>
      <c r="AU58" s="0" t="e">
        <f aca="false">($U$9/2)*(SIN(2*AH58)*COS(AH58/2))+AQ58*AP58*$N$29*(SIN(AH58))^2/$J$9</f>
        <v>#VALUE!</v>
      </c>
      <c r="AV58" s="0" t="e">
        <f aca="false">($U$9*($F$9/12-$W$9)/(2*$K$9))*(2*COS(2*AH58)*COS(AH58/2)-SIN(2*AH58)*SIN(AH58/2)/2)+2*AP58*AQ58*$N$29*($F$9/12-$S$10)*SIN(AH58)*COS(AH58)/($J$9*$K$9)</f>
        <v>#VALUE!</v>
      </c>
      <c r="AW58" s="0" t="n">
        <f aca="false">AG58</f>
        <v>49</v>
      </c>
      <c r="AX58" s="0" t="e">
        <f aca="false">$U$9*($F$9/12-$W$9)/(2*$K$9)*SIN(2*AH58)*COS(AH58/2)+AP58*AQ58*$N$29*($F$9/12-$S$10)*(SIN(AH58))^2/($J$9*$K$9)</f>
        <v>#VALUE!</v>
      </c>
      <c r="AY58" s="0" t="e">
        <f aca="false">AS58*COS(AH58)+AU58*SIN(AH58)</f>
        <v>#VALUE!</v>
      </c>
      <c r="AZ58" s="0" t="e">
        <f aca="false">AX58</f>
        <v>#VALUE!</v>
      </c>
      <c r="BA58" s="0" t="n">
        <f aca="false">AW58</f>
        <v>49</v>
      </c>
      <c r="BB58" s="0" t="e">
        <f aca="false">IF(AND(AV58&lt;0,AZ58*AZ59&lt;0),BA58+(BA59-BA58)*AZ58/(AZ59-AZ58),"")</f>
        <v>#VALUE!</v>
      </c>
      <c r="BC58" s="0" t="e">
        <f aca="false">IF(AND(AV58&lt;0,AZ58*AZ59&lt;0),AY58+(AY59-AY58)*AZ58/(AZ59-AZ58),"")</f>
        <v>#VALUE!</v>
      </c>
    </row>
    <row r="59" customFormat="false" ht="12.75" hidden="false" customHeight="false" outlineLevel="0" collapsed="false">
      <c r="AG59" s="0" t="n">
        <f aca="false">AG58+1</f>
        <v>50</v>
      </c>
      <c r="AH59" s="0" t="n">
        <f aca="false">AG59*PI()/180</f>
        <v>0.872664625997165</v>
      </c>
      <c r="AI59" s="0" t="n">
        <f aca="false">$D$9*SIN(AH59)</f>
        <v>1.53208888623796</v>
      </c>
      <c r="AJ59" s="19" t="n">
        <f aca="false">$E$9*$Q$10*SIN(AH59)/$K$9</f>
        <v>1355149.35209228</v>
      </c>
      <c r="AK59" s="0" t="e">
        <f aca="false">interpfn($Y$9:$Z$36,AI59,2)</f>
        <v>#VALUE!</v>
      </c>
      <c r="AL59" s="0" t="e">
        <f aca="false">interpfn($AA$9:$AB$27,AJ59,2)</f>
        <v>#VALUE!</v>
      </c>
      <c r="AM59" s="0" t="n">
        <f aca="false">IF(AI59&gt;0.45,1,AL59)</f>
        <v>1</v>
      </c>
      <c r="AO59" s="0" t="e">
        <f aca="false">interpfn($AE$9:$AF$22,AI59,2)</f>
        <v>#VALUE!</v>
      </c>
      <c r="AP59" s="0" t="e">
        <f aca="false">AK59*AM59</f>
        <v>#VALUE!</v>
      </c>
      <c r="AQ59" s="0" t="e">
        <f aca="false">$AN$9*AO59</f>
        <v>#VALUE!</v>
      </c>
      <c r="AS59" s="0" t="e">
        <f aca="false">$T$9*(COS(AH59))^2+$AR$9*(SIN(AH59))^2</f>
        <v>#VALUE!</v>
      </c>
      <c r="AT59" s="0" t="e">
        <f aca="false">($U$9/2)*(2*COS(2*AH59)*COS(AH59/2)-SIN(2*AH59)*SIN(AH59/2)/2)+2*AQ59*AP59*$N$29*SIN(AH59)*COS(AH59)/$J$9</f>
        <v>#VALUE!</v>
      </c>
      <c r="AU59" s="0" t="e">
        <f aca="false">($U$9/2)*(SIN(2*AH59)*COS(AH59/2))+AQ59*AP59*$N$29*(SIN(AH59))^2/$J$9</f>
        <v>#VALUE!</v>
      </c>
      <c r="AV59" s="0" t="e">
        <f aca="false">($U$9*($F$9/12-$W$9)/(2*$K$9))*(2*COS(2*AH59)*COS(AH59/2)-SIN(2*AH59)*SIN(AH59/2)/2)+2*AP59*AQ59*$N$29*($F$9/12-$S$10)*SIN(AH59)*COS(AH59)/($J$9*$K$9)</f>
        <v>#VALUE!</v>
      </c>
      <c r="AW59" s="0" t="n">
        <f aca="false">AG59</f>
        <v>50</v>
      </c>
      <c r="AX59" s="0" t="e">
        <f aca="false">$U$9*($F$9/12-$W$9)/(2*$K$9)*SIN(2*AH59)*COS(AH59/2)+AP59*AQ59*$N$29*($F$9/12-$S$10)*(SIN(AH59))^2/($J$9*$K$9)</f>
        <v>#VALUE!</v>
      </c>
      <c r="AY59" s="0" t="e">
        <f aca="false">AS59*COS(AH59)+AU59*SIN(AH59)</f>
        <v>#VALUE!</v>
      </c>
      <c r="AZ59" s="0" t="e">
        <f aca="false">AX59</f>
        <v>#VALUE!</v>
      </c>
      <c r="BA59" s="0" t="n">
        <f aca="false">AW59</f>
        <v>50</v>
      </c>
      <c r="BB59" s="0" t="e">
        <f aca="false">IF(AND(AV59&lt;0,AZ59*AZ60&lt;0),BA59+(BA60-BA59)*AZ59/(AZ60-AZ59),"")</f>
        <v>#VALUE!</v>
      </c>
      <c r="BC59" s="0" t="e">
        <f aca="false">IF(AND(AV59&lt;0,AZ59*AZ60&lt;0),AY59+(AY60-AY59)*AZ59/(AZ60-AZ59),"")</f>
        <v>#VALUE!</v>
      </c>
    </row>
    <row r="60" customFormat="false" ht="12.75" hidden="false" customHeight="false" outlineLevel="0" collapsed="false">
      <c r="AG60" s="0" t="n">
        <f aca="false">AG59+1</f>
        <v>51</v>
      </c>
      <c r="AH60" s="0" t="n">
        <f aca="false">AG60*PI()/180</f>
        <v>0.890117918517108</v>
      </c>
      <c r="AI60" s="0" t="n">
        <f aca="false">$D$9*SIN(AH60)</f>
        <v>1.55429192291394</v>
      </c>
      <c r="AJ60" s="19" t="n">
        <f aca="false">$E$9*$Q$10*SIN(AH60)/$K$9</f>
        <v>1374788.1805155</v>
      </c>
      <c r="AK60" s="0" t="e">
        <f aca="false">interpfn($Y$9:$Z$36,AI60,2)</f>
        <v>#VALUE!</v>
      </c>
      <c r="AL60" s="0" t="e">
        <f aca="false">interpfn($AA$9:$AB$27,AJ60,2)</f>
        <v>#VALUE!</v>
      </c>
      <c r="AM60" s="0" t="n">
        <f aca="false">IF(AI60&gt;0.45,1,AL60)</f>
        <v>1</v>
      </c>
      <c r="AO60" s="0" t="e">
        <f aca="false">interpfn($AE$9:$AF$22,AI60,2)</f>
        <v>#VALUE!</v>
      </c>
      <c r="AP60" s="0" t="e">
        <f aca="false">AK60*AM60</f>
        <v>#VALUE!</v>
      </c>
      <c r="AQ60" s="0" t="e">
        <f aca="false">$AN$9*AO60</f>
        <v>#VALUE!</v>
      </c>
      <c r="AS60" s="0" t="e">
        <f aca="false">$T$9*(COS(AH60))^2+$AR$9*(SIN(AH60))^2</f>
        <v>#VALUE!</v>
      </c>
      <c r="AT60" s="0" t="e">
        <f aca="false">($U$9/2)*(2*COS(2*AH60)*COS(AH60/2)-SIN(2*AH60)*SIN(AH60/2)/2)+2*AQ60*AP60*$N$29*SIN(AH60)*COS(AH60)/$J$9</f>
        <v>#VALUE!</v>
      </c>
      <c r="AU60" s="0" t="e">
        <f aca="false">($U$9/2)*(SIN(2*AH60)*COS(AH60/2))+AQ60*AP60*$N$29*(SIN(AH60))^2/$J$9</f>
        <v>#VALUE!</v>
      </c>
      <c r="AV60" s="0" t="e">
        <f aca="false">($U$9*($F$9/12-$W$9)/(2*$K$9))*(2*COS(2*AH60)*COS(AH60/2)-SIN(2*AH60)*SIN(AH60/2)/2)+2*AP60*AQ60*$N$29*($F$9/12-$S$10)*SIN(AH60)*COS(AH60)/($J$9*$K$9)</f>
        <v>#VALUE!</v>
      </c>
      <c r="AW60" s="0" t="n">
        <f aca="false">AG60</f>
        <v>51</v>
      </c>
      <c r="AX60" s="0" t="e">
        <f aca="false">$U$9*($F$9/12-$W$9)/(2*$K$9)*SIN(2*AH60)*COS(AH60/2)+AP60*AQ60*$N$29*($F$9/12-$S$10)*(SIN(AH60))^2/($J$9*$K$9)</f>
        <v>#VALUE!</v>
      </c>
      <c r="AY60" s="0" t="e">
        <f aca="false">AS60*COS(AH60)+AU60*SIN(AH60)</f>
        <v>#VALUE!</v>
      </c>
      <c r="AZ60" s="0" t="e">
        <f aca="false">AX60</f>
        <v>#VALUE!</v>
      </c>
      <c r="BA60" s="0" t="n">
        <f aca="false">AW60</f>
        <v>51</v>
      </c>
      <c r="BB60" s="0" t="e">
        <f aca="false">IF(AND(AV60&lt;0,AZ60*AZ61&lt;0),BA60+(BA61-BA60)*AZ60/(AZ61-AZ60),"")</f>
        <v>#VALUE!</v>
      </c>
      <c r="BC60" s="0" t="e">
        <f aca="false">IF(AND(AV60&lt;0,AZ60*AZ61&lt;0),AY60+(AY61-AY60)*AZ60/(AZ61-AZ60),"")</f>
        <v>#VALUE!</v>
      </c>
    </row>
    <row r="61" customFormat="false" ht="12.75" hidden="false" customHeight="false" outlineLevel="0" collapsed="false">
      <c r="AG61" s="0" t="n">
        <f aca="false">AG60+1</f>
        <v>52</v>
      </c>
      <c r="AH61" s="0" t="n">
        <f aca="false">AG61*PI()/180</f>
        <v>0.907571211037051</v>
      </c>
      <c r="AI61" s="0" t="n">
        <f aca="false">$D$9*SIN(AH61)</f>
        <v>1.57602150721344</v>
      </c>
      <c r="AJ61" s="19" t="n">
        <f aca="false">$E$9*$Q$10*SIN(AH61)/$K$9</f>
        <v>1394008.23514105</v>
      </c>
      <c r="AK61" s="0" t="e">
        <f aca="false">interpfn($Y$9:$Z$36,AI61,2)</f>
        <v>#VALUE!</v>
      </c>
      <c r="AL61" s="0" t="e">
        <f aca="false">interpfn($AA$9:$AB$27,AJ61,2)</f>
        <v>#VALUE!</v>
      </c>
      <c r="AM61" s="0" t="n">
        <f aca="false">IF(AI61&gt;0.45,1,AL61)</f>
        <v>1</v>
      </c>
      <c r="AO61" s="0" t="e">
        <f aca="false">interpfn($AE$9:$AF$22,AI61,2)</f>
        <v>#VALUE!</v>
      </c>
      <c r="AP61" s="0" t="e">
        <f aca="false">AK61*AM61</f>
        <v>#VALUE!</v>
      </c>
      <c r="AQ61" s="0" t="e">
        <f aca="false">$AN$9*AO61</f>
        <v>#VALUE!</v>
      </c>
      <c r="AS61" s="0" t="e">
        <f aca="false">$T$9*(COS(AH61))^2+$AR$9*(SIN(AH61))^2</f>
        <v>#VALUE!</v>
      </c>
      <c r="AT61" s="0" t="e">
        <f aca="false">($U$9/2)*(2*COS(2*AH61)*COS(AH61/2)-SIN(2*AH61)*SIN(AH61/2)/2)+2*AQ61*AP61*$N$29*SIN(AH61)*COS(AH61)/$J$9</f>
        <v>#VALUE!</v>
      </c>
      <c r="AU61" s="0" t="e">
        <f aca="false">($U$9/2)*(SIN(2*AH61)*COS(AH61/2))+AQ61*AP61*$N$29*(SIN(AH61))^2/$J$9</f>
        <v>#VALUE!</v>
      </c>
      <c r="AV61" s="0" t="e">
        <f aca="false">($U$9*($F$9/12-$W$9)/(2*$K$9))*(2*COS(2*AH61)*COS(AH61/2)-SIN(2*AH61)*SIN(AH61/2)/2)+2*AP61*AQ61*$N$29*($F$9/12-$S$10)*SIN(AH61)*COS(AH61)/($J$9*$K$9)</f>
        <v>#VALUE!</v>
      </c>
      <c r="AW61" s="0" t="n">
        <f aca="false">AG61</f>
        <v>52</v>
      </c>
      <c r="AX61" s="0" t="e">
        <f aca="false">$U$9*($F$9/12-$W$9)/(2*$K$9)*SIN(2*AH61)*COS(AH61/2)+AP61*AQ61*$N$29*($F$9/12-$S$10)*(SIN(AH61))^2/($J$9*$K$9)</f>
        <v>#VALUE!</v>
      </c>
      <c r="AY61" s="0" t="e">
        <f aca="false">AS61*COS(AH61)+AU61*SIN(AH61)</f>
        <v>#VALUE!</v>
      </c>
      <c r="AZ61" s="0" t="e">
        <f aca="false">AX61</f>
        <v>#VALUE!</v>
      </c>
      <c r="BA61" s="0" t="n">
        <f aca="false">AW61</f>
        <v>52</v>
      </c>
      <c r="BB61" s="0" t="e">
        <f aca="false">IF(AND(AV61&lt;0,AZ61*AZ62&lt;0),BA61+(BA62-BA61)*AZ61/(AZ62-AZ61),"")</f>
        <v>#VALUE!</v>
      </c>
      <c r="BC61" s="0" t="e">
        <f aca="false">IF(AND(AV61&lt;0,AZ61*AZ62&lt;0),AY61+(AY62-AY61)*AZ61/(AZ62-AZ61),"")</f>
        <v>#VALUE!</v>
      </c>
    </row>
    <row r="62" customFormat="false" ht="12.75" hidden="false" customHeight="false" outlineLevel="0" collapsed="false">
      <c r="AG62" s="0" t="n">
        <f aca="false">AG61+1</f>
        <v>53</v>
      </c>
      <c r="AH62" s="0" t="n">
        <f aca="false">AG62*PI()/180</f>
        <v>0.925024503556995</v>
      </c>
      <c r="AI62" s="0" t="n">
        <f aca="false">$D$9*SIN(AH62)</f>
        <v>1.59727102009459</v>
      </c>
      <c r="AJ62" s="19" t="n">
        <f aca="false">$E$9*$Q$10*SIN(AH62)/$K$9</f>
        <v>1412803.66135413</v>
      </c>
      <c r="AK62" s="0" t="e">
        <f aca="false">interpfn($Y$9:$Z$36,AI62,2)</f>
        <v>#VALUE!</v>
      </c>
      <c r="AL62" s="0" t="e">
        <f aca="false">interpfn($AA$9:$AB$27,AJ62,2)</f>
        <v>#VALUE!</v>
      </c>
      <c r="AM62" s="0" t="n">
        <f aca="false">IF(AI62&gt;0.45,1,AL62)</f>
        <v>1</v>
      </c>
      <c r="AO62" s="0" t="e">
        <f aca="false">interpfn($AE$9:$AF$22,AI62,2)</f>
        <v>#VALUE!</v>
      </c>
      <c r="AP62" s="0" t="e">
        <f aca="false">AK62*AM62</f>
        <v>#VALUE!</v>
      </c>
      <c r="AQ62" s="0" t="e">
        <f aca="false">$AN$9*AO62</f>
        <v>#VALUE!</v>
      </c>
      <c r="AS62" s="0" t="e">
        <f aca="false">$T$9*(COS(AH62))^2+$AR$9*(SIN(AH62))^2</f>
        <v>#VALUE!</v>
      </c>
      <c r="AT62" s="0" t="e">
        <f aca="false">($U$9/2)*(2*COS(2*AH62)*COS(AH62/2)-SIN(2*AH62)*SIN(AH62/2)/2)+2*AQ62*AP62*$N$29*SIN(AH62)*COS(AH62)/$J$9</f>
        <v>#VALUE!</v>
      </c>
      <c r="AU62" s="0" t="e">
        <f aca="false">($U$9/2)*(SIN(2*AH62)*COS(AH62/2))+AQ62*AP62*$N$29*(SIN(AH62))^2/$J$9</f>
        <v>#VALUE!</v>
      </c>
      <c r="AV62" s="0" t="e">
        <f aca="false">($U$9*($F$9/12-$W$9)/(2*$K$9))*(2*COS(2*AH62)*COS(AH62/2)-SIN(2*AH62)*SIN(AH62/2)/2)+2*AP62*AQ62*$N$29*($F$9/12-$S$10)*SIN(AH62)*COS(AH62)/($J$9*$K$9)</f>
        <v>#VALUE!</v>
      </c>
      <c r="AW62" s="0" t="n">
        <f aca="false">AG62</f>
        <v>53</v>
      </c>
      <c r="AX62" s="0" t="e">
        <f aca="false">$U$9*($F$9/12-$W$9)/(2*$K$9)*SIN(2*AH62)*COS(AH62/2)+AP62*AQ62*$N$29*($F$9/12-$S$10)*(SIN(AH62))^2/($J$9*$K$9)</f>
        <v>#VALUE!</v>
      </c>
      <c r="AY62" s="0" t="e">
        <f aca="false">AS62*COS(AH62)+AU62*SIN(AH62)</f>
        <v>#VALUE!</v>
      </c>
      <c r="AZ62" s="0" t="e">
        <f aca="false">AX62</f>
        <v>#VALUE!</v>
      </c>
      <c r="BA62" s="0" t="n">
        <f aca="false">AW62</f>
        <v>53</v>
      </c>
      <c r="BB62" s="0" t="e">
        <f aca="false">IF(AND(AV62&lt;0,AZ62*AZ63&lt;0),BA62+(BA63-BA62)*AZ62/(AZ63-AZ62),"")</f>
        <v>#VALUE!</v>
      </c>
      <c r="BC62" s="0" t="e">
        <f aca="false">IF(AND(AV62&lt;0,AZ62*AZ63&lt;0),AY62+(AY63-AY62)*AZ62/(AZ63-AZ62),"")</f>
        <v>#VALUE!</v>
      </c>
    </row>
    <row r="63" customFormat="false" ht="12.75" hidden="false" customHeight="false" outlineLevel="0" collapsed="false">
      <c r="AG63" s="0" t="n">
        <f aca="false">AG62+1</f>
        <v>54</v>
      </c>
      <c r="AH63" s="0" t="n">
        <f aca="false">AG63*PI()/180</f>
        <v>0.942477796076938</v>
      </c>
      <c r="AI63" s="0" t="n">
        <f aca="false">$D$9*SIN(AH63)</f>
        <v>1.6180339887499</v>
      </c>
      <c r="AJ63" s="19" t="n">
        <f aca="false">$E$9*$Q$10*SIN(AH63)/$K$9</f>
        <v>1431168.73388582</v>
      </c>
      <c r="AK63" s="0" t="e">
        <f aca="false">interpfn($Y$9:$Z$36,AI63,2)</f>
        <v>#VALUE!</v>
      </c>
      <c r="AL63" s="0" t="e">
        <f aca="false">interpfn($AA$9:$AB$27,AJ63,2)</f>
        <v>#VALUE!</v>
      </c>
      <c r="AM63" s="0" t="n">
        <f aca="false">IF(AI63&gt;0.45,1,AL63)</f>
        <v>1</v>
      </c>
      <c r="AO63" s="0" t="e">
        <f aca="false">interpfn($AE$9:$AF$22,AI63,2)</f>
        <v>#VALUE!</v>
      </c>
      <c r="AP63" s="0" t="e">
        <f aca="false">AK63*AM63</f>
        <v>#VALUE!</v>
      </c>
      <c r="AQ63" s="0" t="e">
        <f aca="false">$AN$9*AO63</f>
        <v>#VALUE!</v>
      </c>
      <c r="AS63" s="0" t="e">
        <f aca="false">$T$9*(COS(AH63))^2+$AR$9*(SIN(AH63))^2</f>
        <v>#VALUE!</v>
      </c>
      <c r="AT63" s="0" t="e">
        <f aca="false">($U$9/2)*(2*COS(2*AH63)*COS(AH63/2)-SIN(2*AH63)*SIN(AH63/2)/2)+2*AQ63*AP63*$N$29*SIN(AH63)*COS(AH63)/$J$9</f>
        <v>#VALUE!</v>
      </c>
      <c r="AU63" s="0" t="e">
        <f aca="false">($U$9/2)*(SIN(2*AH63)*COS(AH63/2))+AQ63*AP63*$N$29*(SIN(AH63))^2/$J$9</f>
        <v>#VALUE!</v>
      </c>
      <c r="AV63" s="0" t="e">
        <f aca="false">($U$9*($F$9/12-$W$9)/(2*$K$9))*(2*COS(2*AH63)*COS(AH63/2)-SIN(2*AH63)*SIN(AH63/2)/2)+2*AP63*AQ63*$N$29*($F$9/12-$S$10)*SIN(AH63)*COS(AH63)/($J$9*$K$9)</f>
        <v>#VALUE!</v>
      </c>
      <c r="AW63" s="0" t="n">
        <f aca="false">AG63</f>
        <v>54</v>
      </c>
      <c r="AX63" s="0" t="e">
        <f aca="false">$U$9*($F$9/12-$W$9)/(2*$K$9)*SIN(2*AH63)*COS(AH63/2)+AP63*AQ63*$N$29*($F$9/12-$S$10)*(SIN(AH63))^2/($J$9*$K$9)</f>
        <v>#VALUE!</v>
      </c>
      <c r="AY63" s="0" t="e">
        <f aca="false">AS63*COS(AH63)+AU63*SIN(AH63)</f>
        <v>#VALUE!</v>
      </c>
      <c r="AZ63" s="0" t="e">
        <f aca="false">AX63</f>
        <v>#VALUE!</v>
      </c>
      <c r="BA63" s="0" t="n">
        <f aca="false">AW63</f>
        <v>54</v>
      </c>
      <c r="BB63" s="0" t="e">
        <f aca="false">IF(AND(AV63&lt;0,AZ63*AZ64&lt;0),BA63+(BA64-BA63)*AZ63/(AZ64-AZ63),"")</f>
        <v>#VALUE!</v>
      </c>
      <c r="BC63" s="0" t="e">
        <f aca="false">IF(AND(AV63&lt;0,AZ63*AZ64&lt;0),AY63+(AY64-AY63)*AZ63/(AZ64-AZ63),"")</f>
        <v>#VALUE!</v>
      </c>
    </row>
    <row r="64" customFormat="false" ht="12.75" hidden="false" customHeight="false" outlineLevel="0" collapsed="false">
      <c r="AG64" s="0" t="n">
        <f aca="false">AG63+1</f>
        <v>55</v>
      </c>
      <c r="AH64" s="0" t="n">
        <f aca="false">AG64*PI()/180</f>
        <v>0.959931088596881</v>
      </c>
      <c r="AI64" s="0" t="n">
        <f aca="false">$D$9*SIN(AH64)</f>
        <v>1.63830408857798</v>
      </c>
      <c r="AJ64" s="19" t="n">
        <f aca="false">$E$9*$Q$10*SIN(AH64)/$K$9</f>
        <v>1449097.85855712</v>
      </c>
      <c r="AK64" s="0" t="e">
        <f aca="false">interpfn($Y$9:$Z$36,AI64,2)</f>
        <v>#VALUE!</v>
      </c>
      <c r="AL64" s="0" t="e">
        <f aca="false">interpfn($AA$9:$AB$27,AJ64,2)</f>
        <v>#VALUE!</v>
      </c>
      <c r="AM64" s="0" t="n">
        <f aca="false">IF(AI64&gt;0.45,1,AL64)</f>
        <v>1</v>
      </c>
      <c r="AO64" s="0" t="e">
        <f aca="false">interpfn($AE$9:$AF$22,AI64,2)</f>
        <v>#VALUE!</v>
      </c>
      <c r="AP64" s="0" t="e">
        <f aca="false">AK64*AM64</f>
        <v>#VALUE!</v>
      </c>
      <c r="AQ64" s="0" t="e">
        <f aca="false">$AN$9*AO64</f>
        <v>#VALUE!</v>
      </c>
      <c r="AS64" s="0" t="e">
        <f aca="false">$T$9*(COS(AH64))^2+$AR$9*(SIN(AH64))^2</f>
        <v>#VALUE!</v>
      </c>
      <c r="AT64" s="0" t="e">
        <f aca="false">($U$9/2)*(2*COS(2*AH64)*COS(AH64/2)-SIN(2*AH64)*SIN(AH64/2)/2)+2*AQ64*AP64*$N$29*SIN(AH64)*COS(AH64)/$J$9</f>
        <v>#VALUE!</v>
      </c>
      <c r="AU64" s="0" t="e">
        <f aca="false">($U$9/2)*(SIN(2*AH64)*COS(AH64/2))+AQ64*AP64*$N$29*(SIN(AH64))^2/$J$9</f>
        <v>#VALUE!</v>
      </c>
      <c r="AV64" s="0" t="e">
        <f aca="false">($U$9*($F$9/12-$W$9)/(2*$K$9))*(2*COS(2*AH64)*COS(AH64/2)-SIN(2*AH64)*SIN(AH64/2)/2)+2*AP64*AQ64*$N$29*($F$9/12-$S$10)*SIN(AH64)*COS(AH64)/($J$9*$K$9)</f>
        <v>#VALUE!</v>
      </c>
      <c r="AW64" s="0" t="n">
        <f aca="false">AG64</f>
        <v>55</v>
      </c>
      <c r="AX64" s="0" t="e">
        <f aca="false">$U$9*($F$9/12-$W$9)/(2*$K$9)*SIN(2*AH64)*COS(AH64/2)+AP64*AQ64*$N$29*($F$9/12-$S$10)*(SIN(AH64))^2/($J$9*$K$9)</f>
        <v>#VALUE!</v>
      </c>
      <c r="AY64" s="0" t="e">
        <f aca="false">AS64*COS(AH64)+AU64*SIN(AH64)</f>
        <v>#VALUE!</v>
      </c>
      <c r="AZ64" s="0" t="e">
        <f aca="false">AX64</f>
        <v>#VALUE!</v>
      </c>
      <c r="BA64" s="0" t="n">
        <f aca="false">AW64</f>
        <v>55</v>
      </c>
      <c r="BB64" s="0" t="e">
        <f aca="false">IF(AND(AV64&lt;0,AZ64*AZ65&lt;0),BA64+(BA65-BA64)*AZ64/(AZ65-AZ64),"")</f>
        <v>#VALUE!</v>
      </c>
      <c r="BC64" s="0" t="e">
        <f aca="false">IF(AND(AV64&lt;0,AZ64*AZ65&lt;0),AY64+(AY65-AY64)*AZ64/(AZ65-AZ64),"")</f>
        <v>#VALUE!</v>
      </c>
    </row>
    <row r="65" customFormat="false" ht="12.75" hidden="false" customHeight="false" outlineLevel="0" collapsed="false">
      <c r="AG65" s="0" t="n">
        <f aca="false">AG64+1</f>
        <v>56</v>
      </c>
      <c r="AH65" s="0" t="n">
        <f aca="false">AG65*PI()/180</f>
        <v>0.977384381116825</v>
      </c>
      <c r="AI65" s="0" t="n">
        <f aca="false">$D$9*SIN(AH65)</f>
        <v>1.65807514511008</v>
      </c>
      <c r="AJ65" s="19" t="n">
        <f aca="false">$E$9*$Q$10*SIN(AH65)/$K$9</f>
        <v>1466585.57398298</v>
      </c>
      <c r="AK65" s="0" t="e">
        <f aca="false">interpfn($Y$9:$Z$36,AI65,2)</f>
        <v>#VALUE!</v>
      </c>
      <c r="AL65" s="0" t="e">
        <f aca="false">interpfn($AA$9:$AB$27,AJ65,2)</f>
        <v>#VALUE!</v>
      </c>
      <c r="AM65" s="0" t="n">
        <f aca="false">IF(AI65&gt;0.45,1,AL65)</f>
        <v>1</v>
      </c>
      <c r="AO65" s="0" t="e">
        <f aca="false">interpfn($AE$9:$AF$22,AI65,2)</f>
        <v>#VALUE!</v>
      </c>
      <c r="AP65" s="0" t="e">
        <f aca="false">AK65*AM65</f>
        <v>#VALUE!</v>
      </c>
      <c r="AQ65" s="0" t="e">
        <f aca="false">$AN$9*AO65</f>
        <v>#VALUE!</v>
      </c>
      <c r="AS65" s="0" t="e">
        <f aca="false">$T$9*(COS(AH65))^2+$AR$9*(SIN(AH65))^2</f>
        <v>#VALUE!</v>
      </c>
      <c r="AT65" s="0" t="e">
        <f aca="false">($U$9/2)*(2*COS(2*AH65)*COS(AH65/2)-SIN(2*AH65)*SIN(AH65/2)/2)+2*AQ65*AP65*$N$29*SIN(AH65)*COS(AH65)/$J$9</f>
        <v>#VALUE!</v>
      </c>
      <c r="AU65" s="0" t="e">
        <f aca="false">($U$9/2)*(SIN(2*AH65)*COS(AH65/2))+AQ65*AP65*$N$29*(SIN(AH65))^2/$J$9</f>
        <v>#VALUE!</v>
      </c>
      <c r="AV65" s="0" t="e">
        <f aca="false">($U$9*($F$9/12-$W$9)/(2*$K$9))*(2*COS(2*AH65)*COS(AH65/2)-SIN(2*AH65)*SIN(AH65/2)/2)+2*AP65*AQ65*$N$29*($F$9/12-$S$10)*SIN(AH65)*COS(AH65)/($J$9*$K$9)</f>
        <v>#VALUE!</v>
      </c>
      <c r="AW65" s="0" t="n">
        <f aca="false">AG65</f>
        <v>56</v>
      </c>
      <c r="AX65" s="0" t="e">
        <f aca="false">$U$9*($F$9/12-$W$9)/(2*$K$9)*SIN(2*AH65)*COS(AH65/2)+AP65*AQ65*$N$29*($F$9/12-$S$10)*(SIN(AH65))^2/($J$9*$K$9)</f>
        <v>#VALUE!</v>
      </c>
      <c r="AY65" s="0" t="e">
        <f aca="false">AS65*COS(AH65)+AU65*SIN(AH65)</f>
        <v>#VALUE!</v>
      </c>
      <c r="AZ65" s="0" t="e">
        <f aca="false">AX65</f>
        <v>#VALUE!</v>
      </c>
      <c r="BA65" s="0" t="n">
        <f aca="false">AW65</f>
        <v>56</v>
      </c>
      <c r="BB65" s="0" t="e">
        <f aca="false">IF(AND(AV65&lt;0,AZ65*AZ66&lt;0),BA65+(BA66-BA65)*AZ65/(AZ66-AZ65),"")</f>
        <v>#VALUE!</v>
      </c>
      <c r="BC65" s="0" t="e">
        <f aca="false">IF(AND(AV65&lt;0,AZ65*AZ66&lt;0),AY65+(AY66-AY65)*AZ65/(AZ66-AZ65),"")</f>
        <v>#VALUE!</v>
      </c>
    </row>
    <row r="66" customFormat="false" ht="12.75" hidden="false" customHeight="false" outlineLevel="0" collapsed="false">
      <c r="AG66" s="0" t="n">
        <f aca="false">AG65+1</f>
        <v>57</v>
      </c>
      <c r="AH66" s="0" t="n">
        <f aca="false">AG66*PI()/180</f>
        <v>0.994837673636768</v>
      </c>
      <c r="AI66" s="0" t="n">
        <f aca="false">$D$9*SIN(AH66)</f>
        <v>1.67734113589085</v>
      </c>
      <c r="AJ66" s="19" t="n">
        <f aca="false">$E$9*$Q$10*SIN(AH66)/$K$9</f>
        <v>1483626.55323588</v>
      </c>
      <c r="AK66" s="0" t="e">
        <f aca="false">interpfn($Y$9:$Z$36,AI66,2)</f>
        <v>#VALUE!</v>
      </c>
      <c r="AL66" s="0" t="e">
        <f aca="false">interpfn($AA$9:$AB$27,AJ66,2)</f>
        <v>#VALUE!</v>
      </c>
      <c r="AM66" s="0" t="n">
        <f aca="false">IF(AI66&gt;0.45,1,AL66)</f>
        <v>1</v>
      </c>
      <c r="AO66" s="0" t="e">
        <f aca="false">interpfn($AE$9:$AF$22,AI66,2)</f>
        <v>#VALUE!</v>
      </c>
      <c r="AP66" s="0" t="e">
        <f aca="false">AK66*AM66</f>
        <v>#VALUE!</v>
      </c>
      <c r="AQ66" s="0" t="e">
        <f aca="false">$AN$9*AO66</f>
        <v>#VALUE!</v>
      </c>
      <c r="AS66" s="0" t="e">
        <f aca="false">$T$9*(COS(AH66))^2+$AR$9*(SIN(AH66))^2</f>
        <v>#VALUE!</v>
      </c>
      <c r="AT66" s="0" t="e">
        <f aca="false">($U$9/2)*(2*COS(2*AH66)*COS(AH66/2)-SIN(2*AH66)*SIN(AH66/2)/2)+2*AQ66*AP66*$N$29*SIN(AH66)*COS(AH66)/$J$9</f>
        <v>#VALUE!</v>
      </c>
      <c r="AU66" s="0" t="e">
        <f aca="false">($U$9/2)*(SIN(2*AH66)*COS(AH66/2))+AQ66*AP66*$N$29*(SIN(AH66))^2/$J$9</f>
        <v>#VALUE!</v>
      </c>
      <c r="AV66" s="0" t="e">
        <f aca="false">($U$9*($F$9/12-$W$9)/(2*$K$9))*(2*COS(2*AH66)*COS(AH66/2)-SIN(2*AH66)*SIN(AH66/2)/2)+2*AP66*AQ66*$N$29*($F$9/12-$S$10)*SIN(AH66)*COS(AH66)/($J$9*$K$9)</f>
        <v>#VALUE!</v>
      </c>
      <c r="AW66" s="0" t="n">
        <f aca="false">AG66</f>
        <v>57</v>
      </c>
      <c r="AX66" s="0" t="e">
        <f aca="false">$U$9*($F$9/12-$W$9)/(2*$K$9)*SIN(2*AH66)*COS(AH66/2)+AP66*AQ66*$N$29*($F$9/12-$S$10)*(SIN(AH66))^2/($J$9*$K$9)</f>
        <v>#VALUE!</v>
      </c>
      <c r="AY66" s="0" t="e">
        <f aca="false">AS66*COS(AH66)+AU66*SIN(AH66)</f>
        <v>#VALUE!</v>
      </c>
      <c r="AZ66" s="0" t="e">
        <f aca="false">AX66</f>
        <v>#VALUE!</v>
      </c>
      <c r="BA66" s="0" t="n">
        <f aca="false">AW66</f>
        <v>57</v>
      </c>
      <c r="BB66" s="0" t="e">
        <f aca="false">IF(AND(AV66&lt;0,AZ66*AZ67&lt;0),BA66+(BA67-BA66)*AZ66/(AZ67-AZ66),"")</f>
        <v>#VALUE!</v>
      </c>
      <c r="BC66" s="0" t="e">
        <f aca="false">IF(AND(AV66&lt;0,AZ66*AZ67&lt;0),AY66+(AY67-AY66)*AZ66/(AZ67-AZ66),"")</f>
        <v>#VALUE!</v>
      </c>
    </row>
    <row r="67" customFormat="false" ht="12.75" hidden="false" customHeight="false" outlineLevel="0" collapsed="false">
      <c r="AG67" s="0" t="n">
        <f aca="false">AG66+1</f>
        <v>58</v>
      </c>
      <c r="AH67" s="0" t="n">
        <f aca="false">AG67*PI()/180</f>
        <v>1.01229096615671</v>
      </c>
      <c r="AI67" s="0" t="n">
        <f aca="false">$D$9*SIN(AH67)</f>
        <v>1.69609619231285</v>
      </c>
      <c r="AJ67" s="19" t="n">
        <f aca="false">$E$9*$Q$10*SIN(AH67)/$K$9</f>
        <v>1500215.60546844</v>
      </c>
      <c r="AK67" s="0" t="e">
        <f aca="false">interpfn($Y$9:$Z$36,AI67,2)</f>
        <v>#VALUE!</v>
      </c>
      <c r="AL67" s="0" t="e">
        <f aca="false">interpfn($AA$9:$AB$27,AJ67,2)</f>
        <v>#VALUE!</v>
      </c>
      <c r="AM67" s="0" t="n">
        <f aca="false">IF(AI67&gt;0.45,1,AL67)</f>
        <v>1</v>
      </c>
      <c r="AO67" s="0" t="e">
        <f aca="false">interpfn($AE$9:$AF$22,AI67,2)</f>
        <v>#VALUE!</v>
      </c>
      <c r="AP67" s="0" t="e">
        <f aca="false">AK67*AM67</f>
        <v>#VALUE!</v>
      </c>
      <c r="AQ67" s="0" t="e">
        <f aca="false">$AN$9*AO67</f>
        <v>#VALUE!</v>
      </c>
      <c r="AS67" s="0" t="e">
        <f aca="false">$T$9*(COS(AH67))^2+$AR$9*(SIN(AH67))^2</f>
        <v>#VALUE!</v>
      </c>
      <c r="AT67" s="0" t="e">
        <f aca="false">($U$9/2)*(2*COS(2*AH67)*COS(AH67/2)-SIN(2*AH67)*SIN(AH67/2)/2)+2*AQ67*AP67*$N$29*SIN(AH67)*COS(AH67)/$J$9</f>
        <v>#VALUE!</v>
      </c>
      <c r="AU67" s="0" t="e">
        <f aca="false">($U$9/2)*(SIN(2*AH67)*COS(AH67/2))+AQ67*AP67*$N$29*(SIN(AH67))^2/$J$9</f>
        <v>#VALUE!</v>
      </c>
      <c r="AV67" s="0" t="e">
        <f aca="false">($U$9*($F$9/12-$W$9)/(2*$K$9))*(2*COS(2*AH67)*COS(AH67/2)-SIN(2*AH67)*SIN(AH67/2)/2)+2*AP67*AQ67*$N$29*($F$9/12-$S$10)*SIN(AH67)*COS(AH67)/($J$9*$K$9)</f>
        <v>#VALUE!</v>
      </c>
      <c r="AW67" s="0" t="n">
        <f aca="false">AG67</f>
        <v>58</v>
      </c>
      <c r="AX67" s="0" t="e">
        <f aca="false">$U$9*($F$9/12-$W$9)/(2*$K$9)*SIN(2*AH67)*COS(AH67/2)+AP67*AQ67*$N$29*($F$9/12-$S$10)*(SIN(AH67))^2/($J$9*$K$9)</f>
        <v>#VALUE!</v>
      </c>
      <c r="AY67" s="0" t="e">
        <f aca="false">AS67*COS(AH67)+AU67*SIN(AH67)</f>
        <v>#VALUE!</v>
      </c>
      <c r="AZ67" s="0" t="e">
        <f aca="false">AX67</f>
        <v>#VALUE!</v>
      </c>
      <c r="BA67" s="0" t="n">
        <f aca="false">AW67</f>
        <v>58</v>
      </c>
      <c r="BB67" s="0" t="e">
        <f aca="false">IF(AND(AV67&lt;0,AZ67*AZ68&lt;0),BA67+(BA68-BA67)*AZ67/(AZ68-AZ67),"")</f>
        <v>#VALUE!</v>
      </c>
      <c r="BC67" s="0" t="e">
        <f aca="false">IF(AND(AV67&lt;0,AZ67*AZ68&lt;0),AY67+(AY68-AY67)*AZ67/(AZ68-AZ67),"")</f>
        <v>#VALUE!</v>
      </c>
    </row>
    <row r="68" customFormat="false" ht="12.75" hidden="false" customHeight="false" outlineLevel="0" collapsed="false">
      <c r="AG68" s="0" t="n">
        <f aca="false">AG67+1</f>
        <v>59</v>
      </c>
      <c r="AH68" s="0" t="n">
        <f aca="false">AG68*PI()/180</f>
        <v>1.02974425867665</v>
      </c>
      <c r="AI68" s="0" t="n">
        <f aca="false">$D$9*SIN(AH68)</f>
        <v>1.71433460140422</v>
      </c>
      <c r="AJ68" s="19" t="n">
        <f aca="false">$E$9*$Q$10*SIN(AH68)/$K$9</f>
        <v>1516347.67749466</v>
      </c>
      <c r="AK68" s="0" t="e">
        <f aca="false">interpfn($Y$9:$Z$36,AI68,2)</f>
        <v>#VALUE!</v>
      </c>
      <c r="AL68" s="0" t="e">
        <f aca="false">interpfn($AA$9:$AB$27,AJ68,2)</f>
        <v>#VALUE!</v>
      </c>
      <c r="AM68" s="0" t="n">
        <f aca="false">IF(AI68&gt;0.45,1,AL68)</f>
        <v>1</v>
      </c>
      <c r="AO68" s="0" t="e">
        <f aca="false">interpfn($AE$9:$AF$22,AI68,2)</f>
        <v>#VALUE!</v>
      </c>
      <c r="AP68" s="0" t="e">
        <f aca="false">AK68*AM68</f>
        <v>#VALUE!</v>
      </c>
      <c r="AQ68" s="0" t="e">
        <f aca="false">$AN$9*AO68</f>
        <v>#VALUE!</v>
      </c>
      <c r="AS68" s="0" t="e">
        <f aca="false">$T$9*(COS(AH68))^2+$AR$9*(SIN(AH68))^2</f>
        <v>#VALUE!</v>
      </c>
      <c r="AT68" s="0" t="e">
        <f aca="false">($U$9/2)*(2*COS(2*AH68)*COS(AH68/2)-SIN(2*AH68)*SIN(AH68/2)/2)+2*AQ68*AP68*$N$29*SIN(AH68)*COS(AH68)/$J$9</f>
        <v>#VALUE!</v>
      </c>
      <c r="AU68" s="0" t="e">
        <f aca="false">($U$9/2)*(SIN(2*AH68)*COS(AH68/2))+AQ68*AP68*$N$29*(SIN(AH68))^2/$J$9</f>
        <v>#VALUE!</v>
      </c>
      <c r="AV68" s="0" t="e">
        <f aca="false">($U$9*($F$9/12-$W$9)/(2*$K$9))*(2*COS(2*AH68)*COS(AH68/2)-SIN(2*AH68)*SIN(AH68/2)/2)+2*AP68*AQ68*$N$29*($F$9/12-$S$10)*SIN(AH68)*COS(AH68)/($J$9*$K$9)</f>
        <v>#VALUE!</v>
      </c>
      <c r="AW68" s="0" t="n">
        <f aca="false">AG68</f>
        <v>59</v>
      </c>
      <c r="AX68" s="0" t="e">
        <f aca="false">$U$9*($F$9/12-$W$9)/(2*$K$9)*SIN(2*AH68)*COS(AH68/2)+AP68*AQ68*$N$29*($F$9/12-$S$10)*(SIN(AH68))^2/($J$9*$K$9)</f>
        <v>#VALUE!</v>
      </c>
      <c r="AY68" s="0" t="e">
        <f aca="false">AS68*COS(AH68)+AU68*SIN(AH68)</f>
        <v>#VALUE!</v>
      </c>
      <c r="AZ68" s="0" t="e">
        <f aca="false">AX68</f>
        <v>#VALUE!</v>
      </c>
      <c r="BA68" s="0" t="n">
        <f aca="false">AW68</f>
        <v>59</v>
      </c>
      <c r="BB68" s="0" t="e">
        <f aca="false">IF(AND(AV68&lt;0,AZ68*AZ69&lt;0),BA68+(BA69-BA68)*AZ68/(AZ69-AZ68),"")</f>
        <v>#VALUE!</v>
      </c>
      <c r="BC68" s="0" t="e">
        <f aca="false">IF(AND(AV68&lt;0,AZ68*AZ69&lt;0),AY68+(AY69-AY68)*AZ68/(AZ69-AZ68),"")</f>
        <v>#VALUE!</v>
      </c>
    </row>
    <row r="69" customFormat="false" ht="12.75" hidden="false" customHeight="false" outlineLevel="0" collapsed="false">
      <c r="AG69" s="0" t="n">
        <f aca="false">AG68+1</f>
        <v>60</v>
      </c>
      <c r="AH69" s="0" t="n">
        <f aca="false">AG69*PI()/180</f>
        <v>1.0471975511966</v>
      </c>
      <c r="AI69" s="0" t="n">
        <f aca="false">$D$9*SIN(AH69)</f>
        <v>1.73205080756888</v>
      </c>
      <c r="AJ69" s="19" t="n">
        <f aca="false">$E$9*$Q$10*SIN(AH69)/$K$9</f>
        <v>1532017.85532913</v>
      </c>
      <c r="AK69" s="0" t="e">
        <f aca="false">interpfn($Y$9:$Z$36,AI69,2)</f>
        <v>#VALUE!</v>
      </c>
      <c r="AL69" s="0" t="e">
        <f aca="false">interpfn($AA$9:$AB$27,AJ69,2)</f>
        <v>#VALUE!</v>
      </c>
      <c r="AM69" s="0" t="n">
        <f aca="false">IF(AI69&gt;0.45,1,AL69)</f>
        <v>1</v>
      </c>
      <c r="AO69" s="0" t="e">
        <f aca="false">interpfn($AE$9:$AF$22,AI69,2)</f>
        <v>#VALUE!</v>
      </c>
      <c r="AP69" s="0" t="e">
        <f aca="false">AK69*AM69</f>
        <v>#VALUE!</v>
      </c>
      <c r="AQ69" s="0" t="e">
        <f aca="false">$AN$9*AO69</f>
        <v>#VALUE!</v>
      </c>
      <c r="AS69" s="0" t="e">
        <f aca="false">$T$9*(COS(AH69))^2+$AR$9*(SIN(AH69))^2</f>
        <v>#VALUE!</v>
      </c>
      <c r="AT69" s="0" t="e">
        <f aca="false">($U$9/2)*(2*COS(2*AH69)*COS(AH69/2)-SIN(2*AH69)*SIN(AH69/2)/2)+2*AQ69*AP69*$N$29*SIN(AH69)*COS(AH69)/$J$9</f>
        <v>#VALUE!</v>
      </c>
      <c r="AU69" s="0" t="e">
        <f aca="false">($U$9/2)*(SIN(2*AH69)*COS(AH69/2))+AQ69*AP69*$N$29*(SIN(AH69))^2/$J$9</f>
        <v>#VALUE!</v>
      </c>
      <c r="AV69" s="0" t="e">
        <f aca="false">($U$9*($F$9/12-$W$9)/(2*$K$9))*(2*COS(2*AH69)*COS(AH69/2)-SIN(2*AH69)*SIN(AH69/2)/2)+2*AP69*AQ69*$N$29*($F$9/12-$S$10)*SIN(AH69)*COS(AH69)/($J$9*$K$9)</f>
        <v>#VALUE!</v>
      </c>
      <c r="AW69" s="0" t="n">
        <f aca="false">AG69</f>
        <v>60</v>
      </c>
      <c r="AX69" s="0" t="e">
        <f aca="false">$U$9*($F$9/12-$W$9)/(2*$K$9)*SIN(2*AH69)*COS(AH69/2)+AP69*AQ69*$N$29*($F$9/12-$S$10)*(SIN(AH69))^2/($J$9*$K$9)</f>
        <v>#VALUE!</v>
      </c>
      <c r="AY69" s="0" t="e">
        <f aca="false">AS69*COS(AH69)+AU69*SIN(AH69)</f>
        <v>#VALUE!</v>
      </c>
      <c r="AZ69" s="0" t="e">
        <f aca="false">AX69</f>
        <v>#VALUE!</v>
      </c>
      <c r="BA69" s="0" t="n">
        <f aca="false">AW69</f>
        <v>60</v>
      </c>
      <c r="BB69" s="0" t="e">
        <f aca="false">IF(AND(AV69&lt;0,AZ69*AZ70&lt;0),BA69+(BA70-BA69)*AZ69/(AZ70-AZ69),"")</f>
        <v>#VALUE!</v>
      </c>
      <c r="BC69" s="0" t="e">
        <f aca="false">IF(AND(AV69&lt;0,AZ69*AZ70&lt;0),AY69+(AY70-AY69)*AZ69/(AZ70-AZ69),"")</f>
        <v>#VALUE!</v>
      </c>
    </row>
    <row r="70" customFormat="false" ht="12.75" hidden="false" customHeight="false" outlineLevel="0" collapsed="false">
      <c r="AG70" s="0" t="n">
        <f aca="false">AG69+1</f>
        <v>61</v>
      </c>
      <c r="AH70" s="0" t="n">
        <f aca="false">AG70*PI()/180</f>
        <v>1.06465084371654</v>
      </c>
      <c r="AI70" s="0" t="n">
        <f aca="false">$D$9*SIN(AH70)</f>
        <v>1.74923941427879</v>
      </c>
      <c r="AJ70" s="19" t="n">
        <f aca="false">$E$9*$Q$10*SIN(AH70)/$K$9</f>
        <v>1547221.36568388</v>
      </c>
      <c r="AK70" s="0" t="e">
        <f aca="false">interpfn($Y$9:$Z$36,AI70,2)</f>
        <v>#VALUE!</v>
      </c>
      <c r="AL70" s="0" t="e">
        <f aca="false">interpfn($AA$9:$AB$27,AJ70,2)</f>
        <v>#VALUE!</v>
      </c>
      <c r="AM70" s="0" t="n">
        <f aca="false">IF(AI70&gt;0.45,1,AL70)</f>
        <v>1</v>
      </c>
      <c r="AO70" s="0" t="e">
        <f aca="false">interpfn($AE$9:$AF$22,AI70,2)</f>
        <v>#VALUE!</v>
      </c>
      <c r="AP70" s="0" t="e">
        <f aca="false">AK70*AM70</f>
        <v>#VALUE!</v>
      </c>
      <c r="AQ70" s="0" t="e">
        <f aca="false">$AN$9*AO70</f>
        <v>#VALUE!</v>
      </c>
      <c r="AS70" s="0" t="e">
        <f aca="false">$T$9*(COS(AH70))^2+$AR$9*(SIN(AH70))^2</f>
        <v>#VALUE!</v>
      </c>
      <c r="AT70" s="0" t="e">
        <f aca="false">($U$9/2)*(2*COS(2*AH70)*COS(AH70/2)-SIN(2*AH70)*SIN(AH70/2)/2)+2*AQ70*AP70*$N$29*SIN(AH70)*COS(AH70)/$J$9</f>
        <v>#VALUE!</v>
      </c>
      <c r="AU70" s="0" t="e">
        <f aca="false">($U$9/2)*(SIN(2*AH70)*COS(AH70/2))+AQ70*AP70*$N$29*(SIN(AH70))^2/$J$9</f>
        <v>#VALUE!</v>
      </c>
      <c r="AV70" s="0" t="e">
        <f aca="false">($U$9*($F$9/12-$W$9)/(2*$K$9))*(2*COS(2*AH70)*COS(AH70/2)-SIN(2*AH70)*SIN(AH70/2)/2)+2*AP70*AQ70*$N$29*($F$9/12-$S$10)*SIN(AH70)*COS(AH70)/($J$9*$K$9)</f>
        <v>#VALUE!</v>
      </c>
      <c r="AW70" s="0" t="n">
        <f aca="false">AG70</f>
        <v>61</v>
      </c>
      <c r="AX70" s="0" t="e">
        <f aca="false">$U$9*($F$9/12-$W$9)/(2*$K$9)*SIN(2*AH70)*COS(AH70/2)+AP70*AQ70*$N$29*($F$9/12-$S$10)*(SIN(AH70))^2/($J$9*$K$9)</f>
        <v>#VALUE!</v>
      </c>
      <c r="AY70" s="0" t="e">
        <f aca="false">AS70*COS(AH70)+AU70*SIN(AH70)</f>
        <v>#VALUE!</v>
      </c>
      <c r="AZ70" s="0" t="e">
        <f aca="false">AX70</f>
        <v>#VALUE!</v>
      </c>
      <c r="BA70" s="0" t="n">
        <f aca="false">AW70</f>
        <v>61</v>
      </c>
      <c r="BB70" s="0" t="e">
        <f aca="false">IF(AND(AV70&lt;0,AZ70*AZ71&lt;0),BA70+(BA71-BA70)*AZ70/(AZ71-AZ70),"")</f>
        <v>#VALUE!</v>
      </c>
      <c r="BC70" s="0" t="e">
        <f aca="false">IF(AND(AV70&lt;0,AZ70*AZ71&lt;0),AY70+(AY71-AY70)*AZ70/(AZ71-AZ70),"")</f>
        <v>#VALUE!</v>
      </c>
    </row>
    <row r="71" customFormat="false" ht="12.75" hidden="false" customHeight="false" outlineLevel="0" collapsed="false">
      <c r="AG71" s="0" t="n">
        <f aca="false">AG70+1</f>
        <v>62</v>
      </c>
      <c r="AH71" s="0" t="n">
        <f aca="false">AG71*PI()/180</f>
        <v>1.08210413623648</v>
      </c>
      <c r="AI71" s="0" t="n">
        <f aca="false">$D$9*SIN(AH71)</f>
        <v>1.76589518571785</v>
      </c>
      <c r="AJ71" s="19" t="n">
        <f aca="false">$E$9*$Q$10*SIN(AH71)/$K$9</f>
        <v>1561953.57742237</v>
      </c>
      <c r="AK71" s="0" t="e">
        <f aca="false">interpfn($Y$9:$Z$36,AI71,2)</f>
        <v>#VALUE!</v>
      </c>
      <c r="AL71" s="0" t="e">
        <f aca="false">interpfn($AA$9:$AB$27,AJ71,2)</f>
        <v>#VALUE!</v>
      </c>
      <c r="AM71" s="0" t="n">
        <f aca="false">IF(AI71&gt;0.45,1,AL71)</f>
        <v>1</v>
      </c>
      <c r="AO71" s="0" t="e">
        <f aca="false">interpfn($AE$9:$AF$22,AI71,2)</f>
        <v>#VALUE!</v>
      </c>
      <c r="AP71" s="0" t="e">
        <f aca="false">AK71*AM71</f>
        <v>#VALUE!</v>
      </c>
      <c r="AQ71" s="0" t="e">
        <f aca="false">$AN$9*AO71</f>
        <v>#VALUE!</v>
      </c>
      <c r="AS71" s="0" t="e">
        <f aca="false">$T$9*(COS(AH71))^2+$AR$9*(SIN(AH71))^2</f>
        <v>#VALUE!</v>
      </c>
      <c r="AT71" s="0" t="e">
        <f aca="false">($U$9/2)*(2*COS(2*AH71)*COS(AH71/2)-SIN(2*AH71)*SIN(AH71/2)/2)+2*AQ71*AP71*$N$29*SIN(AH71)*COS(AH71)/$J$9</f>
        <v>#VALUE!</v>
      </c>
      <c r="AU71" s="0" t="e">
        <f aca="false">($U$9/2)*(SIN(2*AH71)*COS(AH71/2))+AQ71*AP71*$N$29*(SIN(AH71))^2/$J$9</f>
        <v>#VALUE!</v>
      </c>
      <c r="AV71" s="0" t="e">
        <f aca="false">($U$9*($F$9/12-$W$9)/(2*$K$9))*(2*COS(2*AH71)*COS(AH71/2)-SIN(2*AH71)*SIN(AH71/2)/2)+2*AP71*AQ71*$N$29*($F$9/12-$S$10)*SIN(AH71)*COS(AH71)/($J$9*$K$9)</f>
        <v>#VALUE!</v>
      </c>
      <c r="AW71" s="0" t="n">
        <f aca="false">AG71</f>
        <v>62</v>
      </c>
      <c r="AX71" s="0" t="e">
        <f aca="false">$U$9*($F$9/12-$W$9)/(2*$K$9)*SIN(2*AH71)*COS(AH71/2)+AP71*AQ71*$N$29*($F$9/12-$S$10)*(SIN(AH71))^2/($J$9*$K$9)</f>
        <v>#VALUE!</v>
      </c>
      <c r="AY71" s="0" t="e">
        <f aca="false">AS71*COS(AH71)+AU71*SIN(AH71)</f>
        <v>#VALUE!</v>
      </c>
      <c r="AZ71" s="0" t="e">
        <f aca="false">AX71</f>
        <v>#VALUE!</v>
      </c>
      <c r="BA71" s="0" t="n">
        <f aca="false">AW71</f>
        <v>62</v>
      </c>
      <c r="BB71" s="0" t="e">
        <f aca="false">IF(AND(AV71&lt;0,AZ71*AZ72&lt;0),BA71+(BA72-BA71)*AZ71/(AZ72-AZ71),"")</f>
        <v>#VALUE!</v>
      </c>
      <c r="BC71" s="0" t="e">
        <f aca="false">IF(AND(AV71&lt;0,AZ71*AZ72&lt;0),AY71+(AY72-AY71)*AZ71/(AZ72-AZ71),"")</f>
        <v>#VALUE!</v>
      </c>
    </row>
    <row r="72" customFormat="false" ht="12.75" hidden="false" customHeight="false" outlineLevel="0" collapsed="false">
      <c r="AG72" s="0" t="n">
        <f aca="false">AG71+1</f>
        <v>63</v>
      </c>
      <c r="AH72" s="0" t="n">
        <f aca="false">AG72*PI()/180</f>
        <v>1.09955742875643</v>
      </c>
      <c r="AI72" s="0" t="n">
        <f aca="false">$D$9*SIN(AH72)</f>
        <v>1.78201304837674</v>
      </c>
      <c r="AJ72" s="19" t="n">
        <f aca="false">$E$9*$Q$10*SIN(AH72)/$K$9</f>
        <v>1576210.00297019</v>
      </c>
      <c r="AK72" s="0" t="e">
        <f aca="false">interpfn($Y$9:$Z$36,AI72,2)</f>
        <v>#VALUE!</v>
      </c>
      <c r="AL72" s="0" t="e">
        <f aca="false">interpfn($AA$9:$AB$27,AJ72,2)</f>
        <v>#VALUE!</v>
      </c>
      <c r="AM72" s="0" t="n">
        <f aca="false">IF(AI72&gt;0.45,1,AL72)</f>
        <v>1</v>
      </c>
      <c r="AO72" s="0" t="e">
        <f aca="false">interpfn($AE$9:$AF$22,AI72,2)</f>
        <v>#VALUE!</v>
      </c>
      <c r="AP72" s="0" t="e">
        <f aca="false">AK72*AM72</f>
        <v>#VALUE!</v>
      </c>
      <c r="AQ72" s="0" t="e">
        <f aca="false">$AN$9*AO72</f>
        <v>#VALUE!</v>
      </c>
      <c r="AS72" s="0" t="e">
        <f aca="false">$T$9*(COS(AH72))^2+$AR$9*(SIN(AH72))^2</f>
        <v>#VALUE!</v>
      </c>
      <c r="AT72" s="0" t="e">
        <f aca="false">($U$9/2)*(2*COS(2*AH72)*COS(AH72/2)-SIN(2*AH72)*SIN(AH72/2)/2)+2*AQ72*AP72*$N$29*SIN(AH72)*COS(AH72)/$J$9</f>
        <v>#VALUE!</v>
      </c>
      <c r="AU72" s="0" t="e">
        <f aca="false">($U$9/2)*(SIN(2*AH72)*COS(AH72/2))+AQ72*AP72*$N$29*(SIN(AH72))^2/$J$9</f>
        <v>#VALUE!</v>
      </c>
      <c r="AV72" s="0" t="e">
        <f aca="false">($U$9*($F$9/12-$W$9)/(2*$K$9))*(2*COS(2*AH72)*COS(AH72/2)-SIN(2*AH72)*SIN(AH72/2)/2)+2*AP72*AQ72*$N$29*($F$9/12-$S$10)*SIN(AH72)*COS(AH72)/($J$9*$K$9)</f>
        <v>#VALUE!</v>
      </c>
      <c r="AW72" s="0" t="n">
        <f aca="false">AG72</f>
        <v>63</v>
      </c>
      <c r="AX72" s="0" t="e">
        <f aca="false">$U$9*($F$9/12-$W$9)/(2*$K$9)*SIN(2*AH72)*COS(AH72/2)+AP72*AQ72*$N$29*($F$9/12-$S$10)*(SIN(AH72))^2/($J$9*$K$9)</f>
        <v>#VALUE!</v>
      </c>
      <c r="AY72" s="0" t="e">
        <f aca="false">AS72*COS(AH72)+AU72*SIN(AH72)</f>
        <v>#VALUE!</v>
      </c>
      <c r="AZ72" s="0" t="e">
        <f aca="false">AX72</f>
        <v>#VALUE!</v>
      </c>
      <c r="BA72" s="0" t="n">
        <f aca="false">AW72</f>
        <v>63</v>
      </c>
      <c r="BB72" s="0" t="e">
        <f aca="false">IF(AND(AV72&lt;0,AZ72*AZ73&lt;0),BA72+(BA73-BA72)*AZ72/(AZ73-AZ72),"")</f>
        <v>#VALUE!</v>
      </c>
      <c r="BC72" s="0" t="e">
        <f aca="false">IF(AND(AV72&lt;0,AZ72*AZ73&lt;0),AY72+(AY73-AY72)*AZ72/(AZ73-AZ72),"")</f>
        <v>#VALUE!</v>
      </c>
    </row>
    <row r="73" customFormat="false" ht="12.75" hidden="false" customHeight="false" outlineLevel="0" collapsed="false">
      <c r="AG73" s="0" t="n">
        <f aca="false">AG72+1</f>
        <v>64</v>
      </c>
      <c r="AH73" s="0" t="n">
        <f aca="false">AG73*PI()/180</f>
        <v>1.11701072127637</v>
      </c>
      <c r="AI73" s="0" t="n">
        <f aca="false">$D$9*SIN(AH73)</f>
        <v>1.79758809259833</v>
      </c>
      <c r="AJ73" s="19" t="n">
        <f aca="false">$E$9*$Q$10*SIN(AH73)/$K$9</f>
        <v>1589986.29968202</v>
      </c>
      <c r="AK73" s="0" t="e">
        <f aca="false">interpfn($Y$9:$Z$36,AI73,2)</f>
        <v>#VALUE!</v>
      </c>
      <c r="AL73" s="0" t="e">
        <f aca="false">interpfn($AA$9:$AB$27,AJ73,2)</f>
        <v>#VALUE!</v>
      </c>
      <c r="AM73" s="0" t="n">
        <f aca="false">IF(AI73&gt;0.45,1,AL73)</f>
        <v>1</v>
      </c>
      <c r="AO73" s="0" t="e">
        <f aca="false">interpfn($AE$9:$AF$22,AI73,2)</f>
        <v>#VALUE!</v>
      </c>
      <c r="AP73" s="0" t="e">
        <f aca="false">AK73*AM73</f>
        <v>#VALUE!</v>
      </c>
      <c r="AQ73" s="0" t="e">
        <f aca="false">$AN$9*AO73</f>
        <v>#VALUE!</v>
      </c>
      <c r="AS73" s="0" t="e">
        <f aca="false">$T$9*(COS(AH73))^2+$AR$9*(SIN(AH73))^2</f>
        <v>#VALUE!</v>
      </c>
      <c r="AT73" s="0" t="e">
        <f aca="false">($U$9/2)*(2*COS(2*AH73)*COS(AH73/2)-SIN(2*AH73)*SIN(AH73/2)/2)+2*AQ73*AP73*$N$29*SIN(AH73)*COS(AH73)/$J$9</f>
        <v>#VALUE!</v>
      </c>
      <c r="AU73" s="0" t="e">
        <f aca="false">($U$9/2)*(SIN(2*AH73)*COS(AH73/2))+AQ73*AP73*$N$29*(SIN(AH73))^2/$J$9</f>
        <v>#VALUE!</v>
      </c>
      <c r="AV73" s="0" t="e">
        <f aca="false">($U$9*($F$9/12-$W$9)/(2*$K$9))*(2*COS(2*AH73)*COS(AH73/2)-SIN(2*AH73)*SIN(AH73/2)/2)+2*AP73*AQ73*$N$29*($F$9/12-$S$10)*SIN(AH73)*COS(AH73)/($J$9*$K$9)</f>
        <v>#VALUE!</v>
      </c>
      <c r="AW73" s="0" t="n">
        <f aca="false">AG73</f>
        <v>64</v>
      </c>
      <c r="AX73" s="0" t="e">
        <f aca="false">$U$9*($F$9/12-$W$9)/(2*$K$9)*SIN(2*AH73)*COS(AH73/2)+AP73*AQ73*$N$29*($F$9/12-$S$10)*(SIN(AH73))^2/($J$9*$K$9)</f>
        <v>#VALUE!</v>
      </c>
      <c r="AY73" s="0" t="e">
        <f aca="false">AS73*COS(AH73)+AU73*SIN(AH73)</f>
        <v>#VALUE!</v>
      </c>
      <c r="AZ73" s="0" t="e">
        <f aca="false">AX73</f>
        <v>#VALUE!</v>
      </c>
      <c r="BA73" s="0" t="n">
        <f aca="false">AW73</f>
        <v>64</v>
      </c>
      <c r="BB73" s="0" t="e">
        <f aca="false">IF(AND(AV73&lt;0,AZ73*AZ74&lt;0),BA73+(BA74-BA73)*AZ73/(AZ74-AZ73),"")</f>
        <v>#VALUE!</v>
      </c>
      <c r="BC73" s="0" t="e">
        <f aca="false">IF(AND(AV73&lt;0,AZ73*AZ74&lt;0),AY73+(AY74-AY73)*AZ73/(AZ74-AZ73),"")</f>
        <v>#VALUE!</v>
      </c>
    </row>
    <row r="74" customFormat="false" ht="12.75" hidden="false" customHeight="false" outlineLevel="0" collapsed="false">
      <c r="AG74" s="0" t="n">
        <f aca="false">AG73+1</f>
        <v>65</v>
      </c>
      <c r="AH74" s="0" t="n">
        <f aca="false">AG74*PI()/180</f>
        <v>1.13446401379631</v>
      </c>
      <c r="AI74" s="0" t="n">
        <f aca="false">$D$9*SIN(AH74)</f>
        <v>1.8126155740733</v>
      </c>
      <c r="AJ74" s="19" t="n">
        <f aca="false">$E$9*$Q$10*SIN(AH74)/$K$9</f>
        <v>1603278.27116442</v>
      </c>
      <c r="AK74" s="0" t="e">
        <f aca="false">interpfn($Y$9:$Z$36,AI74,2)</f>
        <v>#VALUE!</v>
      </c>
      <c r="AL74" s="0" t="e">
        <f aca="false">interpfn($AA$9:$AB$27,AJ74,2)</f>
        <v>#VALUE!</v>
      </c>
      <c r="AM74" s="0" t="n">
        <f aca="false">IF(AI74&gt;0.45,1,AL74)</f>
        <v>1</v>
      </c>
      <c r="AO74" s="0" t="e">
        <f aca="false">interpfn($AE$9:$AF$22,AI74,2)</f>
        <v>#VALUE!</v>
      </c>
      <c r="AP74" s="0" t="e">
        <f aca="false">AK74*AM74</f>
        <v>#VALUE!</v>
      </c>
      <c r="AQ74" s="0" t="e">
        <f aca="false">$AN$9*AO74</f>
        <v>#VALUE!</v>
      </c>
      <c r="AS74" s="0" t="e">
        <f aca="false">$T$9*(COS(AH74))^2+$AR$9*(SIN(AH74))^2</f>
        <v>#VALUE!</v>
      </c>
      <c r="AT74" s="0" t="e">
        <f aca="false">($U$9/2)*(2*COS(2*AH74)*COS(AH74/2)-SIN(2*AH74)*SIN(AH74/2)/2)+2*AQ74*AP74*$N$29*SIN(AH74)*COS(AH74)/$J$9</f>
        <v>#VALUE!</v>
      </c>
      <c r="AU74" s="0" t="e">
        <f aca="false">($U$9/2)*(SIN(2*AH74)*COS(AH74/2))+AQ74*AP74*$N$29*(SIN(AH74))^2/$J$9</f>
        <v>#VALUE!</v>
      </c>
      <c r="AV74" s="0" t="e">
        <f aca="false">($U$9*($F$9/12-$W$9)/(2*$K$9))*(2*COS(2*AH74)*COS(AH74/2)-SIN(2*AH74)*SIN(AH74/2)/2)+2*AP74*AQ74*$N$29*($F$9/12-$S$10)*SIN(AH74)*COS(AH74)/($J$9*$K$9)</f>
        <v>#VALUE!</v>
      </c>
      <c r="AW74" s="0" t="n">
        <f aca="false">AG74</f>
        <v>65</v>
      </c>
      <c r="AX74" s="0" t="e">
        <f aca="false">$U$9*($F$9/12-$W$9)/(2*$K$9)*SIN(2*AH74)*COS(AH74/2)+AP74*AQ74*$N$29*($F$9/12-$S$10)*(SIN(AH74))^2/($J$9*$K$9)</f>
        <v>#VALUE!</v>
      </c>
      <c r="AY74" s="0" t="e">
        <f aca="false">AS74*COS(AH74)+AU74*SIN(AH74)</f>
        <v>#VALUE!</v>
      </c>
      <c r="AZ74" s="0" t="e">
        <f aca="false">AX74</f>
        <v>#VALUE!</v>
      </c>
      <c r="BA74" s="0" t="n">
        <f aca="false">AW74</f>
        <v>65</v>
      </c>
      <c r="BB74" s="0" t="e">
        <f aca="false">IF(AND(AV74&lt;0,AZ74*AZ75&lt;0),BA74+(BA75-BA74)*AZ74/(AZ75-AZ74),"")</f>
        <v>#VALUE!</v>
      </c>
      <c r="BC74" s="0" t="e">
        <f aca="false">IF(AND(AV74&lt;0,AZ74*AZ75&lt;0),AY74+(AY75-AY74)*AZ74/(AZ75-AZ74),"")</f>
        <v>#VALUE!</v>
      </c>
    </row>
    <row r="75" customFormat="false" ht="12.75" hidden="false" customHeight="false" outlineLevel="0" collapsed="false">
      <c r="AG75" s="0" t="n">
        <f aca="false">AG74+1</f>
        <v>66</v>
      </c>
      <c r="AH75" s="0" t="n">
        <f aca="false">AG75*PI()/180</f>
        <v>1.15191730631626</v>
      </c>
      <c r="AI75" s="0" t="n">
        <f aca="false">$D$9*SIN(AH75)</f>
        <v>1.8270909152852</v>
      </c>
      <c r="AJ75" s="19" t="n">
        <f aca="false">$E$9*$Q$10*SIN(AH75)/$K$9</f>
        <v>1616081.86855412</v>
      </c>
      <c r="AK75" s="0" t="e">
        <f aca="false">interpfn($Y$9:$Z$36,AI75,2)</f>
        <v>#VALUE!</v>
      </c>
      <c r="AL75" s="0" t="e">
        <f aca="false">interpfn($AA$9:$AB$27,AJ75,2)</f>
        <v>#VALUE!</v>
      </c>
      <c r="AM75" s="0" t="n">
        <f aca="false">IF(AI75&gt;0.45,1,AL75)</f>
        <v>1</v>
      </c>
      <c r="AO75" s="0" t="e">
        <f aca="false">interpfn($AE$9:$AF$22,AI75,2)</f>
        <v>#VALUE!</v>
      </c>
      <c r="AP75" s="0" t="e">
        <f aca="false">AK75*AM75</f>
        <v>#VALUE!</v>
      </c>
      <c r="AQ75" s="0" t="e">
        <f aca="false">$AN$9*AO75</f>
        <v>#VALUE!</v>
      </c>
      <c r="AS75" s="0" t="e">
        <f aca="false">$T$9*(COS(AH75))^2+$AR$9*(SIN(AH75))^2</f>
        <v>#VALUE!</v>
      </c>
      <c r="AT75" s="0" t="e">
        <f aca="false">($U$9/2)*(2*COS(2*AH75)*COS(AH75/2)-SIN(2*AH75)*SIN(AH75/2)/2)+2*AQ75*AP75*$N$29*SIN(AH75)*COS(AH75)/$J$9</f>
        <v>#VALUE!</v>
      </c>
      <c r="AU75" s="0" t="e">
        <f aca="false">($U$9/2)*(SIN(2*AH75)*COS(AH75/2))+AQ75*AP75*$N$29*(SIN(AH75))^2/$J$9</f>
        <v>#VALUE!</v>
      </c>
      <c r="AV75" s="0" t="e">
        <f aca="false">($U$9*($F$9/12-$W$9)/(2*$K$9))*(2*COS(2*AH75)*COS(AH75/2)-SIN(2*AH75)*SIN(AH75/2)/2)+2*AP75*AQ75*$N$29*($F$9/12-$S$10)*SIN(AH75)*COS(AH75)/($J$9*$K$9)</f>
        <v>#VALUE!</v>
      </c>
      <c r="AW75" s="0" t="n">
        <f aca="false">AG75</f>
        <v>66</v>
      </c>
      <c r="AX75" s="0" t="e">
        <f aca="false">$U$9*($F$9/12-$W$9)/(2*$K$9)*SIN(2*AH75)*COS(AH75/2)+AP75*AQ75*$N$29*($F$9/12-$S$10)*(SIN(AH75))^2/($J$9*$K$9)</f>
        <v>#VALUE!</v>
      </c>
      <c r="AY75" s="0" t="e">
        <f aca="false">AS75*COS(AH75)+AU75*SIN(AH75)</f>
        <v>#VALUE!</v>
      </c>
      <c r="AZ75" s="0" t="e">
        <f aca="false">AX75</f>
        <v>#VALUE!</v>
      </c>
      <c r="BA75" s="0" t="n">
        <f aca="false">AW75</f>
        <v>66</v>
      </c>
      <c r="BB75" s="0" t="e">
        <f aca="false">IF(AND(AV75&lt;0,AZ75*AZ76&lt;0),BA75+(BA76-BA75)*AZ75/(AZ76-AZ75),"")</f>
        <v>#VALUE!</v>
      </c>
      <c r="BC75" s="0" t="e">
        <f aca="false">IF(AND(AV75&lt;0,AZ75*AZ76&lt;0),AY75+(AY76-AY75)*AZ75/(AZ76-AZ75),"")</f>
        <v>#VALUE!</v>
      </c>
    </row>
    <row r="76" customFormat="false" ht="12.75" hidden="false" customHeight="false" outlineLevel="0" collapsed="false">
      <c r="AG76" s="0" t="n">
        <f aca="false">AG75+1</f>
        <v>67</v>
      </c>
      <c r="AH76" s="0" t="n">
        <f aca="false">AG76*PI()/180</f>
        <v>1.1693705988362</v>
      </c>
      <c r="AI76" s="0" t="n">
        <f aca="false">$D$9*SIN(AH76)</f>
        <v>1.84100970690488</v>
      </c>
      <c r="AJ76" s="19" t="n">
        <f aca="false">$E$9*$Q$10*SIN(AH76)/$K$9</f>
        <v>1628393.19175132</v>
      </c>
      <c r="AK76" s="0" t="e">
        <f aca="false">interpfn($Y$9:$Z$36,AI76,2)</f>
        <v>#VALUE!</v>
      </c>
      <c r="AL76" s="0" t="e">
        <f aca="false">interpfn($AA$9:$AB$27,AJ76,2)</f>
        <v>#VALUE!</v>
      </c>
      <c r="AM76" s="0" t="n">
        <f aca="false">IF(AI76&gt;0.45,1,AL76)</f>
        <v>1</v>
      </c>
      <c r="AO76" s="0" t="e">
        <f aca="false">interpfn($AE$9:$AF$22,AI76,2)</f>
        <v>#VALUE!</v>
      </c>
      <c r="AP76" s="0" t="e">
        <f aca="false">AK76*AM76</f>
        <v>#VALUE!</v>
      </c>
      <c r="AQ76" s="0" t="e">
        <f aca="false">$AN$9*AO76</f>
        <v>#VALUE!</v>
      </c>
      <c r="AS76" s="0" t="e">
        <f aca="false">$T$9*(COS(AH76))^2+$AR$9*(SIN(AH76))^2</f>
        <v>#VALUE!</v>
      </c>
      <c r="AT76" s="0" t="e">
        <f aca="false">($U$9/2)*(2*COS(2*AH76)*COS(AH76/2)-SIN(2*AH76)*SIN(AH76/2)/2)+2*AQ76*AP76*$N$29*SIN(AH76)*COS(AH76)/$J$9</f>
        <v>#VALUE!</v>
      </c>
      <c r="AU76" s="0" t="e">
        <f aca="false">($U$9/2)*(SIN(2*AH76)*COS(AH76/2))+AQ76*AP76*$N$29*(SIN(AH76))^2/$J$9</f>
        <v>#VALUE!</v>
      </c>
      <c r="AV76" s="0" t="e">
        <f aca="false">($U$9*($F$9/12-$W$9)/(2*$K$9))*(2*COS(2*AH76)*COS(AH76/2)-SIN(2*AH76)*SIN(AH76/2)/2)+2*AP76*AQ76*$N$29*($F$9/12-$S$10)*SIN(AH76)*COS(AH76)/($J$9*$K$9)</f>
        <v>#VALUE!</v>
      </c>
      <c r="AW76" s="0" t="n">
        <f aca="false">AG76</f>
        <v>67</v>
      </c>
      <c r="AX76" s="0" t="e">
        <f aca="false">$U$9*($F$9/12-$W$9)/(2*$K$9)*SIN(2*AH76)*COS(AH76/2)+AP76*AQ76*$N$29*($F$9/12-$S$10)*(SIN(AH76))^2/($J$9*$K$9)</f>
        <v>#VALUE!</v>
      </c>
      <c r="AY76" s="0" t="e">
        <f aca="false">AS76*COS(AH76)+AU76*SIN(AH76)</f>
        <v>#VALUE!</v>
      </c>
      <c r="AZ76" s="0" t="e">
        <f aca="false">AX76</f>
        <v>#VALUE!</v>
      </c>
      <c r="BA76" s="0" t="n">
        <f aca="false">AW76</f>
        <v>67</v>
      </c>
      <c r="BB76" s="0" t="e">
        <f aca="false">IF(AND(AV76&lt;0,AZ76*AZ77&lt;0),BA76+(BA77-BA76)*AZ76/(AZ77-AZ76),"")</f>
        <v>#VALUE!</v>
      </c>
      <c r="BC76" s="0" t="e">
        <f aca="false">IF(AND(AV76&lt;0,AZ76*AZ77&lt;0),AY76+(AY77-AY76)*AZ76/(AZ77-AZ76),"")</f>
        <v>#VALUE!</v>
      </c>
    </row>
    <row r="77" customFormat="false" ht="12.75" hidden="false" customHeight="false" outlineLevel="0" collapsed="false">
      <c r="AG77" s="0" t="n">
        <f aca="false">AG76+1</f>
        <v>68</v>
      </c>
      <c r="AH77" s="0" t="n">
        <f aca="false">AG77*PI()/180</f>
        <v>1.18682389135614</v>
      </c>
      <c r="AI77" s="0" t="n">
        <f aca="false">$D$9*SIN(AH77)</f>
        <v>1.85436770913357</v>
      </c>
      <c r="AJ77" s="19" t="n">
        <f aca="false">$E$9*$Q$10*SIN(AH77)/$K$9</f>
        <v>1640208.49060771</v>
      </c>
      <c r="AK77" s="0" t="e">
        <f aca="false">interpfn($Y$9:$Z$36,AI77,2)</f>
        <v>#VALUE!</v>
      </c>
      <c r="AL77" s="0" t="e">
        <f aca="false">interpfn($AA$9:$AB$27,AJ77,2)</f>
        <v>#VALUE!</v>
      </c>
      <c r="AM77" s="0" t="n">
        <f aca="false">IF(AI77&gt;0.45,1,AL77)</f>
        <v>1</v>
      </c>
      <c r="AO77" s="0" t="e">
        <f aca="false">interpfn($AE$9:$AF$22,AI77,2)</f>
        <v>#VALUE!</v>
      </c>
      <c r="AP77" s="0" t="e">
        <f aca="false">AK77*AM77</f>
        <v>#VALUE!</v>
      </c>
      <c r="AQ77" s="0" t="e">
        <f aca="false">$AN$9*AO77</f>
        <v>#VALUE!</v>
      </c>
      <c r="AS77" s="0" t="e">
        <f aca="false">$T$9*(COS(AH77))^2+$AR$9*(SIN(AH77))^2</f>
        <v>#VALUE!</v>
      </c>
      <c r="AT77" s="0" t="e">
        <f aca="false">($U$9/2)*(2*COS(2*AH77)*COS(AH77/2)-SIN(2*AH77)*SIN(AH77/2)/2)+2*AQ77*AP77*$N$29*SIN(AH77)*COS(AH77)/$J$9</f>
        <v>#VALUE!</v>
      </c>
      <c r="AU77" s="0" t="e">
        <f aca="false">($U$9/2)*(SIN(2*AH77)*COS(AH77/2))+AQ77*AP77*$N$29*(SIN(AH77))^2/$J$9</f>
        <v>#VALUE!</v>
      </c>
      <c r="AV77" s="0" t="e">
        <f aca="false">($U$9*($F$9/12-$W$9)/(2*$K$9))*(2*COS(2*AH77)*COS(AH77/2)-SIN(2*AH77)*SIN(AH77/2)/2)+2*AP77*AQ77*$N$29*($F$9/12-$S$10)*SIN(AH77)*COS(AH77)/($J$9*$K$9)</f>
        <v>#VALUE!</v>
      </c>
      <c r="AW77" s="0" t="n">
        <f aca="false">AG77</f>
        <v>68</v>
      </c>
      <c r="AX77" s="0" t="e">
        <f aca="false">$U$9*($F$9/12-$W$9)/(2*$K$9)*SIN(2*AH77)*COS(AH77/2)+AP77*AQ77*$N$29*($F$9/12-$S$10)*(SIN(AH77))^2/($J$9*$K$9)</f>
        <v>#VALUE!</v>
      </c>
      <c r="AY77" s="0" t="e">
        <f aca="false">AS77*COS(AH77)+AU77*SIN(AH77)</f>
        <v>#VALUE!</v>
      </c>
      <c r="AZ77" s="0" t="e">
        <f aca="false">AX77</f>
        <v>#VALUE!</v>
      </c>
      <c r="BA77" s="0" t="n">
        <f aca="false">AW77</f>
        <v>68</v>
      </c>
      <c r="BB77" s="0" t="e">
        <f aca="false">IF(AND(AV77&lt;0,AZ77*AZ78&lt;0),BA77+(BA78-BA77)*AZ77/(AZ78-AZ77),"")</f>
        <v>#VALUE!</v>
      </c>
      <c r="BC77" s="0" t="e">
        <f aca="false">IF(AND(AV77&lt;0,AZ77*AZ78&lt;0),AY77+(AY78-AY77)*AZ77/(AZ78-AZ77),"")</f>
        <v>#VALUE!</v>
      </c>
    </row>
    <row r="78" customFormat="false" ht="12.75" hidden="false" customHeight="false" outlineLevel="0" collapsed="false">
      <c r="AG78" s="0" t="n">
        <f aca="false">AG77+1</f>
        <v>69</v>
      </c>
      <c r="AH78" s="0" t="n">
        <f aca="false">AG78*PI()/180</f>
        <v>1.20427718387609</v>
      </c>
      <c r="AI78" s="0" t="n">
        <f aca="false">$D$9*SIN(AH78)</f>
        <v>1.8671608529944</v>
      </c>
      <c r="AJ78" s="19" t="n">
        <f aca="false">$E$9*$Q$10*SIN(AH78)/$K$9</f>
        <v>1651524.16606881</v>
      </c>
      <c r="AK78" s="0" t="e">
        <f aca="false">interpfn($Y$9:$Z$36,AI78,2)</f>
        <v>#VALUE!</v>
      </c>
      <c r="AL78" s="0" t="e">
        <f aca="false">interpfn($AA$9:$AB$27,AJ78,2)</f>
        <v>#VALUE!</v>
      </c>
      <c r="AM78" s="0" t="n">
        <f aca="false">IF(AI78&gt;0.45,1,AL78)</f>
        <v>1</v>
      </c>
      <c r="AO78" s="0" t="e">
        <f aca="false">interpfn($AE$9:$AF$22,AI78,2)</f>
        <v>#VALUE!</v>
      </c>
      <c r="AP78" s="0" t="e">
        <f aca="false">AK78*AM78</f>
        <v>#VALUE!</v>
      </c>
      <c r="AQ78" s="0" t="e">
        <f aca="false">$AN$9*AO78</f>
        <v>#VALUE!</v>
      </c>
      <c r="AS78" s="0" t="e">
        <f aca="false">$T$9*(COS(AH78))^2+$AR$9*(SIN(AH78))^2</f>
        <v>#VALUE!</v>
      </c>
      <c r="AT78" s="0" t="e">
        <f aca="false">($U$9/2)*(2*COS(2*AH78)*COS(AH78/2)-SIN(2*AH78)*SIN(AH78/2)/2)+2*AQ78*AP78*$N$29*SIN(AH78)*COS(AH78)/$J$9</f>
        <v>#VALUE!</v>
      </c>
      <c r="AU78" s="0" t="e">
        <f aca="false">($U$9/2)*(SIN(2*AH78)*COS(AH78/2))+AQ78*AP78*$N$29*(SIN(AH78))^2/$J$9</f>
        <v>#VALUE!</v>
      </c>
      <c r="AV78" s="0" t="e">
        <f aca="false">($U$9*($F$9/12-$W$9)/(2*$K$9))*(2*COS(2*AH78)*COS(AH78/2)-SIN(2*AH78)*SIN(AH78/2)/2)+2*AP78*AQ78*$N$29*($F$9/12-$S$10)*SIN(AH78)*COS(AH78)/($J$9*$K$9)</f>
        <v>#VALUE!</v>
      </c>
      <c r="AW78" s="0" t="n">
        <f aca="false">AG78</f>
        <v>69</v>
      </c>
      <c r="AX78" s="0" t="e">
        <f aca="false">$U$9*($F$9/12-$W$9)/(2*$K$9)*SIN(2*AH78)*COS(AH78/2)+AP78*AQ78*$N$29*($F$9/12-$S$10)*(SIN(AH78))^2/($J$9*$K$9)</f>
        <v>#VALUE!</v>
      </c>
      <c r="AY78" s="0" t="e">
        <f aca="false">AS78*COS(AH78)+AU78*SIN(AH78)</f>
        <v>#VALUE!</v>
      </c>
      <c r="AZ78" s="0" t="e">
        <f aca="false">AX78</f>
        <v>#VALUE!</v>
      </c>
      <c r="BA78" s="0" t="n">
        <f aca="false">AW78</f>
        <v>69</v>
      </c>
      <c r="BB78" s="0" t="e">
        <f aca="false">IF(AND(AV78&lt;0,AZ78*AZ79&lt;0),BA78+(BA79-BA78)*AZ78/(AZ79-AZ78),"")</f>
        <v>#VALUE!</v>
      </c>
      <c r="BC78" s="0" t="e">
        <f aca="false">IF(AND(AV78&lt;0,AZ78*AZ79&lt;0),AY78+(AY79-AY78)*AZ78/(AZ79-AZ78),"")</f>
        <v>#VALUE!</v>
      </c>
    </row>
    <row r="79" customFormat="false" ht="12.75" hidden="false" customHeight="false" outlineLevel="0" collapsed="false">
      <c r="AG79" s="0" t="n">
        <f aca="false">AG78+1</f>
        <v>70</v>
      </c>
      <c r="AH79" s="0" t="n">
        <f aca="false">AG79*PI()/180</f>
        <v>1.22173047639603</v>
      </c>
      <c r="AI79" s="0" t="n">
        <f aca="false">$D$9*SIN(AH79)</f>
        <v>1.87938524157182</v>
      </c>
      <c r="AJ79" s="19" t="n">
        <f aca="false">$E$9*$Q$10*SIN(AH79)/$K$9</f>
        <v>1662336.77127025</v>
      </c>
      <c r="AK79" s="0" t="e">
        <f aca="false">interpfn($Y$9:$Z$36,AI79,2)</f>
        <v>#VALUE!</v>
      </c>
      <c r="AL79" s="0" t="e">
        <f aca="false">interpfn($AA$9:$AB$27,AJ79,2)</f>
        <v>#VALUE!</v>
      </c>
      <c r="AM79" s="0" t="n">
        <f aca="false">IF(AI79&gt;0.45,1,AL79)</f>
        <v>1</v>
      </c>
      <c r="AO79" s="0" t="e">
        <f aca="false">interpfn($AE$9:$AF$22,AI79,2)</f>
        <v>#VALUE!</v>
      </c>
      <c r="AP79" s="0" t="e">
        <f aca="false">AK79*AM79</f>
        <v>#VALUE!</v>
      </c>
      <c r="AQ79" s="0" t="e">
        <f aca="false">$AN$9*AO79</f>
        <v>#VALUE!</v>
      </c>
      <c r="AS79" s="0" t="e">
        <f aca="false">$T$9*(COS(AH79))^2+$AR$9*(SIN(AH79))^2</f>
        <v>#VALUE!</v>
      </c>
      <c r="AT79" s="0" t="e">
        <f aca="false">($U$9/2)*(2*COS(2*AH79)*COS(AH79/2)-SIN(2*AH79)*SIN(AH79/2)/2)+2*AQ79*AP79*$N$29*SIN(AH79)*COS(AH79)/$J$9</f>
        <v>#VALUE!</v>
      </c>
      <c r="AU79" s="0" t="e">
        <f aca="false">($U$9/2)*(SIN(2*AH79)*COS(AH79/2))+AQ79*AP79*$N$29*(SIN(AH79))^2/$J$9</f>
        <v>#VALUE!</v>
      </c>
      <c r="AV79" s="0" t="e">
        <f aca="false">($U$9*($F$9/12-$W$9)/(2*$K$9))*(2*COS(2*AH79)*COS(AH79/2)-SIN(2*AH79)*SIN(AH79/2)/2)+2*AP79*AQ79*$N$29*($F$9/12-$S$10)*SIN(AH79)*COS(AH79)/($J$9*$K$9)</f>
        <v>#VALUE!</v>
      </c>
      <c r="AW79" s="0" t="n">
        <f aca="false">AG79</f>
        <v>70</v>
      </c>
      <c r="AX79" s="0" t="e">
        <f aca="false">$U$9*($F$9/12-$W$9)/(2*$K$9)*SIN(2*AH79)*COS(AH79/2)+AP79*AQ79*$N$29*($F$9/12-$S$10)*(SIN(AH79))^2/($J$9*$K$9)</f>
        <v>#VALUE!</v>
      </c>
      <c r="AY79" s="0" t="e">
        <f aca="false">AS79*COS(AH79)+AU79*SIN(AH79)</f>
        <v>#VALUE!</v>
      </c>
      <c r="AZ79" s="0" t="e">
        <f aca="false">AX79</f>
        <v>#VALUE!</v>
      </c>
      <c r="BA79" s="0" t="n">
        <f aca="false">AW79</f>
        <v>70</v>
      </c>
      <c r="BB79" s="0" t="e">
        <f aca="false">IF(AND(AV79&lt;0,AZ79*AZ80&lt;0),BA79+(BA80-BA79)*AZ79/(AZ80-AZ79),"")</f>
        <v>#VALUE!</v>
      </c>
      <c r="BC79" s="0" t="e">
        <f aca="false">IF(AND(AV79&lt;0,AZ79*AZ80&lt;0),AY79+(AY80-AY79)*AZ79/(AZ80-AZ79),"")</f>
        <v>#VALUE!</v>
      </c>
    </row>
    <row r="80" customFormat="false" ht="12.75" hidden="false" customHeight="false" outlineLevel="0" collapsed="false">
      <c r="AG80" s="0" t="n">
        <f aca="false">AG79+1</f>
        <v>71</v>
      </c>
      <c r="AH80" s="0" t="n">
        <f aca="false">AG80*PI()/180</f>
        <v>1.23918376891597</v>
      </c>
      <c r="AI80" s="0" t="n">
        <f aca="false">$D$9*SIN(AH80)</f>
        <v>1.89103715119863</v>
      </c>
      <c r="AJ80" s="19" t="n">
        <f aca="false">$E$9*$Q$10*SIN(AH80)/$K$9</f>
        <v>1672643.01258774</v>
      </c>
      <c r="AK80" s="0" t="e">
        <f aca="false">interpfn($Y$9:$Z$36,AI80,2)</f>
        <v>#VALUE!</v>
      </c>
      <c r="AL80" s="0" t="e">
        <f aca="false">interpfn($AA$9:$AB$27,AJ80,2)</f>
        <v>#VALUE!</v>
      </c>
      <c r="AM80" s="0" t="n">
        <f aca="false">IF(AI80&gt;0.45,1,AL80)</f>
        <v>1</v>
      </c>
      <c r="AO80" s="0" t="e">
        <f aca="false">interpfn($AE$9:$AF$22,AI80,2)</f>
        <v>#VALUE!</v>
      </c>
      <c r="AP80" s="0" t="e">
        <f aca="false">AK80*AM80</f>
        <v>#VALUE!</v>
      </c>
      <c r="AQ80" s="0" t="e">
        <f aca="false">$AN$9*AO80</f>
        <v>#VALUE!</v>
      </c>
      <c r="AS80" s="0" t="e">
        <f aca="false">$T$9*(COS(AH80))^2+$AR$9*(SIN(AH80))^2</f>
        <v>#VALUE!</v>
      </c>
      <c r="AT80" s="0" t="e">
        <f aca="false">($U$9/2)*(2*COS(2*AH80)*COS(AH80/2)-SIN(2*AH80)*SIN(AH80/2)/2)+2*AQ80*AP80*$N$29*SIN(AH80)*COS(AH80)/$J$9</f>
        <v>#VALUE!</v>
      </c>
      <c r="AU80" s="0" t="e">
        <f aca="false">($U$9/2)*(SIN(2*AH80)*COS(AH80/2))+AQ80*AP80*$N$29*(SIN(AH80))^2/$J$9</f>
        <v>#VALUE!</v>
      </c>
      <c r="AV80" s="0" t="e">
        <f aca="false">($U$9*($F$9/12-$W$9)/(2*$K$9))*(2*COS(2*AH80)*COS(AH80/2)-SIN(2*AH80)*SIN(AH80/2)/2)+2*AP80*AQ80*$N$29*($F$9/12-$S$10)*SIN(AH80)*COS(AH80)/($J$9*$K$9)</f>
        <v>#VALUE!</v>
      </c>
      <c r="AW80" s="0" t="n">
        <f aca="false">AG80</f>
        <v>71</v>
      </c>
      <c r="AX80" s="0" t="e">
        <f aca="false">$U$9*($F$9/12-$W$9)/(2*$K$9)*SIN(2*AH80)*COS(AH80/2)+AP80*AQ80*$N$29*($F$9/12-$S$10)*(SIN(AH80))^2/($J$9*$K$9)</f>
        <v>#VALUE!</v>
      </c>
      <c r="AY80" s="0" t="e">
        <f aca="false">AS80*COS(AH80)+AU80*SIN(AH80)</f>
        <v>#VALUE!</v>
      </c>
      <c r="AZ80" s="0" t="e">
        <f aca="false">AX80</f>
        <v>#VALUE!</v>
      </c>
      <c r="BA80" s="0" t="n">
        <f aca="false">AW80</f>
        <v>71</v>
      </c>
      <c r="BB80" s="0" t="e">
        <f aca="false">IF(AND(AV80&lt;0,AZ80*AZ81&lt;0),BA80+(BA81-BA80)*AZ80/(AZ81-AZ80),"")</f>
        <v>#VALUE!</v>
      </c>
      <c r="BC80" s="0" t="e">
        <f aca="false">IF(AND(AV80&lt;0,AZ80*AZ81&lt;0),AY80+(AY81-AY80)*AZ80/(AZ81-AZ80),"")</f>
        <v>#VALUE!</v>
      </c>
    </row>
    <row r="81" customFormat="false" ht="12.75" hidden="false" customHeight="false" outlineLevel="0" collapsed="false">
      <c r="AG81" s="0" t="n">
        <f aca="false">AG80+1</f>
        <v>72</v>
      </c>
      <c r="AH81" s="0" t="n">
        <f aca="false">AG81*PI()/180</f>
        <v>1.25663706143592</v>
      </c>
      <c r="AI81" s="0" t="n">
        <f aca="false">$D$9*SIN(AH81)</f>
        <v>1.90211303259031</v>
      </c>
      <c r="AJ81" s="19" t="n">
        <f aca="false">$E$9*$Q$10*SIN(AH81)/$K$9</f>
        <v>1682439.75064035</v>
      </c>
      <c r="AK81" s="0" t="e">
        <f aca="false">interpfn($Y$9:$Z$36,AI81,2)</f>
        <v>#VALUE!</v>
      </c>
      <c r="AL81" s="0" t="e">
        <f aca="false">interpfn($AA$9:$AB$27,AJ81,2)</f>
        <v>#VALUE!</v>
      </c>
      <c r="AM81" s="0" t="n">
        <f aca="false">IF(AI81&gt;0.45,1,AL81)</f>
        <v>1</v>
      </c>
      <c r="AO81" s="0" t="e">
        <f aca="false">interpfn($AE$9:$AF$22,AI81,2)</f>
        <v>#VALUE!</v>
      </c>
      <c r="AP81" s="0" t="e">
        <f aca="false">AK81*AM81</f>
        <v>#VALUE!</v>
      </c>
      <c r="AQ81" s="0" t="e">
        <f aca="false">$AN$9*AO81</f>
        <v>#VALUE!</v>
      </c>
      <c r="AS81" s="0" t="e">
        <f aca="false">$T$9*(COS(AH81))^2+$AR$9*(SIN(AH81))^2</f>
        <v>#VALUE!</v>
      </c>
      <c r="AT81" s="0" t="e">
        <f aca="false">($U$9/2)*(2*COS(2*AH81)*COS(AH81/2)-SIN(2*AH81)*SIN(AH81/2)/2)+2*AQ81*AP81*$N$29*SIN(AH81)*COS(AH81)/$J$9</f>
        <v>#VALUE!</v>
      </c>
      <c r="AU81" s="0" t="e">
        <f aca="false">($U$9/2)*(SIN(2*AH81)*COS(AH81/2))+AQ81*AP81*$N$29*(SIN(AH81))^2/$J$9</f>
        <v>#VALUE!</v>
      </c>
      <c r="AV81" s="0" t="e">
        <f aca="false">($U$9*($F$9/12-$W$9)/(2*$K$9))*(2*COS(2*AH81)*COS(AH81/2)-SIN(2*AH81)*SIN(AH81/2)/2)+2*AP81*AQ81*$N$29*($F$9/12-$S$10)*SIN(AH81)*COS(AH81)/($J$9*$K$9)</f>
        <v>#VALUE!</v>
      </c>
      <c r="AW81" s="0" t="n">
        <f aca="false">AG81</f>
        <v>72</v>
      </c>
      <c r="AX81" s="0" t="e">
        <f aca="false">$U$9*($F$9/12-$W$9)/(2*$K$9)*SIN(2*AH81)*COS(AH81/2)+AP81*AQ81*$N$29*($F$9/12-$S$10)*(SIN(AH81))^2/($J$9*$K$9)</f>
        <v>#VALUE!</v>
      </c>
      <c r="AY81" s="0" t="e">
        <f aca="false">AS81*COS(AH81)+AU81*SIN(AH81)</f>
        <v>#VALUE!</v>
      </c>
      <c r="AZ81" s="0" t="e">
        <f aca="false">AX81</f>
        <v>#VALUE!</v>
      </c>
      <c r="BA81" s="0" t="n">
        <f aca="false">AW81</f>
        <v>72</v>
      </c>
      <c r="BB81" s="0" t="e">
        <f aca="false">IF(AND(AV81&lt;0,AZ81*AZ82&lt;0),BA81+(BA82-BA81)*AZ81/(AZ82-AZ81),"")</f>
        <v>#VALUE!</v>
      </c>
      <c r="BC81" s="0" t="e">
        <f aca="false">IF(AND(AV81&lt;0,AZ81*AZ82&lt;0),AY81+(AY82-AY81)*AZ81/(AZ82-AZ81),"")</f>
        <v>#VALUE!</v>
      </c>
    </row>
    <row r="82" customFormat="false" ht="12.75" hidden="false" customHeight="false" outlineLevel="0" collapsed="false">
      <c r="AG82" s="0" t="n">
        <f aca="false">AG81+1</f>
        <v>73</v>
      </c>
      <c r="AH82" s="0" t="n">
        <f aca="false">AG82*PI()/180</f>
        <v>1.27409035395586</v>
      </c>
      <c r="AI82" s="0" t="n">
        <f aca="false">$D$9*SIN(AH82)</f>
        <v>1.91260951192607</v>
      </c>
      <c r="AJ82" s="19" t="n">
        <f aca="false">$E$9*$Q$10*SIN(AH82)/$K$9</f>
        <v>1691724.00124675</v>
      </c>
      <c r="AK82" s="0" t="e">
        <f aca="false">interpfn($Y$9:$Z$36,AI82,2)</f>
        <v>#VALUE!</v>
      </c>
      <c r="AL82" s="0" t="e">
        <f aca="false">interpfn($AA$9:$AB$27,AJ82,2)</f>
        <v>#VALUE!</v>
      </c>
      <c r="AM82" s="0" t="n">
        <f aca="false">IF(AI82&gt;0.45,1,AL82)</f>
        <v>1</v>
      </c>
      <c r="AO82" s="0" t="e">
        <f aca="false">interpfn($AE$9:$AF$22,AI82,2)</f>
        <v>#VALUE!</v>
      </c>
      <c r="AP82" s="0" t="e">
        <f aca="false">AK82*AM82</f>
        <v>#VALUE!</v>
      </c>
      <c r="AQ82" s="0" t="e">
        <f aca="false">$AN$9*AO82</f>
        <v>#VALUE!</v>
      </c>
      <c r="AS82" s="0" t="e">
        <f aca="false">$T$9*(COS(AH82))^2+$AR$9*(SIN(AH82))^2</f>
        <v>#VALUE!</v>
      </c>
      <c r="AT82" s="0" t="e">
        <f aca="false">($U$9/2)*(2*COS(2*AH82)*COS(AH82/2)-SIN(2*AH82)*SIN(AH82/2)/2)+2*AQ82*AP82*$N$29*SIN(AH82)*COS(AH82)/$J$9</f>
        <v>#VALUE!</v>
      </c>
      <c r="AU82" s="0" t="e">
        <f aca="false">($U$9/2)*(SIN(2*AH82)*COS(AH82/2))+AQ82*AP82*$N$29*(SIN(AH82))^2/$J$9</f>
        <v>#VALUE!</v>
      </c>
      <c r="AV82" s="0" t="e">
        <f aca="false">($U$9*($F$9/12-$W$9)/(2*$K$9))*(2*COS(2*AH82)*COS(AH82/2)-SIN(2*AH82)*SIN(AH82/2)/2)+2*AP82*AQ82*$N$29*($F$9/12-$S$10)*SIN(AH82)*COS(AH82)/($J$9*$K$9)</f>
        <v>#VALUE!</v>
      </c>
      <c r="AW82" s="0" t="n">
        <f aca="false">AG82</f>
        <v>73</v>
      </c>
      <c r="AX82" s="0" t="e">
        <f aca="false">$U$9*($F$9/12-$W$9)/(2*$K$9)*SIN(2*AH82)*COS(AH82/2)+AP82*AQ82*$N$29*($F$9/12-$S$10)*(SIN(AH82))^2/($J$9*$K$9)</f>
        <v>#VALUE!</v>
      </c>
      <c r="AY82" s="0" t="e">
        <f aca="false">AS82*COS(AH82)+AU82*SIN(AH82)</f>
        <v>#VALUE!</v>
      </c>
      <c r="AZ82" s="0" t="e">
        <f aca="false">AX82</f>
        <v>#VALUE!</v>
      </c>
      <c r="BA82" s="0" t="n">
        <f aca="false">AW82</f>
        <v>73</v>
      </c>
      <c r="BB82" s="0" t="e">
        <f aca="false">IF(AND(AV82&lt;0,AZ82*AZ83&lt;0),BA82+(BA83-BA82)*AZ82/(AZ83-AZ82),"")</f>
        <v>#VALUE!</v>
      </c>
      <c r="BC82" s="0" t="e">
        <f aca="false">IF(AND(AV82&lt;0,AZ82*AZ83&lt;0),AY82+(AY83-AY82)*AZ82/(AZ83-AZ82),"")</f>
        <v>#VALUE!</v>
      </c>
    </row>
    <row r="83" customFormat="false" ht="12.75" hidden="false" customHeight="false" outlineLevel="0" collapsed="false">
      <c r="AG83" s="0" t="n">
        <f aca="false">AG82+1</f>
        <v>74</v>
      </c>
      <c r="AH83" s="0" t="n">
        <f aca="false">AG83*PI()/180</f>
        <v>1.2915436464758</v>
      </c>
      <c r="AI83" s="0" t="n">
        <f aca="false">$D$9*SIN(AH83)</f>
        <v>1.92252339187664</v>
      </c>
      <c r="AJ83" s="19" t="n">
        <f aca="false">$E$9*$Q$10*SIN(AH83)/$K$9</f>
        <v>1700492.93633427</v>
      </c>
      <c r="AK83" s="0" t="e">
        <f aca="false">interpfn($Y$9:$Z$36,AI83,2)</f>
        <v>#VALUE!</v>
      </c>
      <c r="AL83" s="0" t="e">
        <f aca="false">interpfn($AA$9:$AB$27,AJ83,2)</f>
        <v>#VALUE!</v>
      </c>
      <c r="AM83" s="0" t="n">
        <f aca="false">IF(AI83&gt;0.45,1,AL83)</f>
        <v>1</v>
      </c>
      <c r="AO83" s="0" t="e">
        <f aca="false">interpfn($AE$9:$AF$22,AI83,2)</f>
        <v>#VALUE!</v>
      </c>
      <c r="AP83" s="0" t="e">
        <f aca="false">AK83*AM83</f>
        <v>#VALUE!</v>
      </c>
      <c r="AQ83" s="0" t="e">
        <f aca="false">$AN$9*AO83</f>
        <v>#VALUE!</v>
      </c>
      <c r="AS83" s="0" t="e">
        <f aca="false">$T$9*(COS(AH83))^2+$AR$9*(SIN(AH83))^2</f>
        <v>#VALUE!</v>
      </c>
      <c r="AT83" s="0" t="e">
        <f aca="false">($U$9/2)*(2*COS(2*AH83)*COS(AH83/2)-SIN(2*AH83)*SIN(AH83/2)/2)+2*AQ83*AP83*$N$29*SIN(AH83)*COS(AH83)/$J$9</f>
        <v>#VALUE!</v>
      </c>
      <c r="AU83" s="0" t="e">
        <f aca="false">($U$9/2)*(SIN(2*AH83)*COS(AH83/2))+AQ83*AP83*$N$29*(SIN(AH83))^2/$J$9</f>
        <v>#VALUE!</v>
      </c>
      <c r="AV83" s="0" t="e">
        <f aca="false">($U$9*($F$9/12-$W$9)/(2*$K$9))*(2*COS(2*AH83)*COS(AH83/2)-SIN(2*AH83)*SIN(AH83/2)/2)+2*AP83*AQ83*$N$29*($F$9/12-$S$10)*SIN(AH83)*COS(AH83)/($J$9*$K$9)</f>
        <v>#VALUE!</v>
      </c>
      <c r="AW83" s="0" t="n">
        <f aca="false">AG83</f>
        <v>74</v>
      </c>
      <c r="AX83" s="0" t="e">
        <f aca="false">$U$9*($F$9/12-$W$9)/(2*$K$9)*SIN(2*AH83)*COS(AH83/2)+AP83*AQ83*$N$29*($F$9/12-$S$10)*(SIN(AH83))^2/($J$9*$K$9)</f>
        <v>#VALUE!</v>
      </c>
      <c r="AY83" s="0" t="e">
        <f aca="false">AS83*COS(AH83)+AU83*SIN(AH83)</f>
        <v>#VALUE!</v>
      </c>
      <c r="AZ83" s="0" t="e">
        <f aca="false">AX83</f>
        <v>#VALUE!</v>
      </c>
      <c r="BA83" s="0" t="n">
        <f aca="false">AW83</f>
        <v>74</v>
      </c>
      <c r="BB83" s="0" t="e">
        <f aca="false">IF(AND(AV83&lt;0,AZ83*AZ84&lt;0),BA83+(BA84-BA83)*AZ83/(AZ84-AZ83),"")</f>
        <v>#VALUE!</v>
      </c>
      <c r="BC83" s="0" t="e">
        <f aca="false">IF(AND(AV83&lt;0,AZ83*AZ84&lt;0),AY83+(AY84-AY83)*AZ83/(AZ84-AZ83),"")</f>
        <v>#VALUE!</v>
      </c>
    </row>
    <row r="84" customFormat="false" ht="12.75" hidden="false" customHeight="false" outlineLevel="0" collapsed="false">
      <c r="AG84" s="0" t="n">
        <f aca="false">AG83+1</f>
        <v>75</v>
      </c>
      <c r="AH84" s="0" t="n">
        <f aca="false">AG84*PI()/180</f>
        <v>1.30899693899575</v>
      </c>
      <c r="AI84" s="0" t="n">
        <f aca="false">$D$9*SIN(AH84)</f>
        <v>1.93185165257814</v>
      </c>
      <c r="AJ84" s="19" t="n">
        <f aca="false">$E$9*$Q$10*SIN(AH84)/$K$9</f>
        <v>1708743.88480033</v>
      </c>
      <c r="AK84" s="0" t="e">
        <f aca="false">interpfn($Y$9:$Z$36,AI84,2)</f>
        <v>#VALUE!</v>
      </c>
      <c r="AL84" s="0" t="e">
        <f aca="false">interpfn($AA$9:$AB$27,AJ84,2)</f>
        <v>#VALUE!</v>
      </c>
      <c r="AM84" s="0" t="n">
        <f aca="false">IF(AI84&gt;0.45,1,AL84)</f>
        <v>1</v>
      </c>
      <c r="AO84" s="0" t="e">
        <f aca="false">interpfn($AE$9:$AF$22,AI84,2)</f>
        <v>#VALUE!</v>
      </c>
      <c r="AP84" s="0" t="e">
        <f aca="false">AK84*AM84</f>
        <v>#VALUE!</v>
      </c>
      <c r="AQ84" s="0" t="e">
        <f aca="false">$AN$9*AO84</f>
        <v>#VALUE!</v>
      </c>
      <c r="AS84" s="0" t="e">
        <f aca="false">$T$9*(COS(AH84))^2+$AR$9*(SIN(AH84))^2</f>
        <v>#VALUE!</v>
      </c>
      <c r="AT84" s="0" t="e">
        <f aca="false">($U$9/2)*(2*COS(2*AH84)*COS(AH84/2)-SIN(2*AH84)*SIN(AH84/2)/2)+2*AQ84*AP84*$N$29*SIN(AH84)*COS(AH84)/$J$9</f>
        <v>#VALUE!</v>
      </c>
      <c r="AU84" s="0" t="e">
        <f aca="false">($U$9/2)*(SIN(2*AH84)*COS(AH84/2))+AQ84*AP84*$N$29*(SIN(AH84))^2/$J$9</f>
        <v>#VALUE!</v>
      </c>
      <c r="AV84" s="0" t="e">
        <f aca="false">($U$9*($F$9/12-$W$9)/(2*$K$9))*(2*COS(2*AH84)*COS(AH84/2)-SIN(2*AH84)*SIN(AH84/2)/2)+2*AP84*AQ84*$N$29*($F$9/12-$S$10)*SIN(AH84)*COS(AH84)/($J$9*$K$9)</f>
        <v>#VALUE!</v>
      </c>
      <c r="AW84" s="0" t="n">
        <f aca="false">AG84</f>
        <v>75</v>
      </c>
      <c r="AX84" s="0" t="e">
        <f aca="false">$U$9*($F$9/12-$W$9)/(2*$K$9)*SIN(2*AH84)*COS(AH84/2)+AP84*AQ84*$N$29*($F$9/12-$S$10)*(SIN(AH84))^2/($J$9*$K$9)</f>
        <v>#VALUE!</v>
      </c>
      <c r="AY84" s="0" t="e">
        <f aca="false">AS84*COS(AH84)+AU84*SIN(AH84)</f>
        <v>#VALUE!</v>
      </c>
      <c r="AZ84" s="0" t="e">
        <f aca="false">AX84</f>
        <v>#VALUE!</v>
      </c>
      <c r="BA84" s="0" t="n">
        <f aca="false">AW84</f>
        <v>75</v>
      </c>
      <c r="BB84" s="0" t="e">
        <f aca="false">IF(AND(AV84&lt;0,AZ84*AZ85&lt;0),BA84+(BA85-BA84)*AZ84/(AZ85-AZ84),"")</f>
        <v>#VALUE!</v>
      </c>
      <c r="BC84" s="0" t="e">
        <f aca="false">IF(AND(AV84&lt;0,AZ84*AZ85&lt;0),AY84+(AY85-AY84)*AZ84/(AZ85-AZ84),"")</f>
        <v>#VALUE!</v>
      </c>
    </row>
    <row r="85" customFormat="false" ht="12.75" hidden="false" customHeight="false" outlineLevel="0" collapsed="false">
      <c r="AG85" s="0" t="n">
        <f aca="false">AG84+1</f>
        <v>76</v>
      </c>
      <c r="AH85" s="0" t="n">
        <f aca="false">AG85*PI()/180</f>
        <v>1.32645023151569</v>
      </c>
      <c r="AI85" s="0" t="n">
        <f aca="false">$D$9*SIN(AH85)</f>
        <v>1.94059145255199</v>
      </c>
      <c r="AJ85" s="19" t="n">
        <f aca="false">$E$9*$Q$10*SIN(AH85)/$K$9</f>
        <v>1716474.33332612</v>
      </c>
      <c r="AK85" s="0" t="e">
        <f aca="false">interpfn($Y$9:$Z$36,AI85,2)</f>
        <v>#VALUE!</v>
      </c>
      <c r="AL85" s="0" t="e">
        <f aca="false">interpfn($AA$9:$AB$27,AJ85,2)</f>
        <v>#VALUE!</v>
      </c>
      <c r="AM85" s="0" t="n">
        <f aca="false">IF(AI85&gt;0.45,1,AL85)</f>
        <v>1</v>
      </c>
      <c r="AO85" s="0" t="e">
        <f aca="false">interpfn($AE$9:$AF$22,AI85,2)</f>
        <v>#VALUE!</v>
      </c>
      <c r="AP85" s="0" t="e">
        <f aca="false">AK85*AM85</f>
        <v>#VALUE!</v>
      </c>
      <c r="AQ85" s="0" t="e">
        <f aca="false">$AN$9*AO85</f>
        <v>#VALUE!</v>
      </c>
      <c r="AS85" s="0" t="e">
        <f aca="false">$T$9*(COS(AH85))^2+$AR$9*(SIN(AH85))^2</f>
        <v>#VALUE!</v>
      </c>
      <c r="AT85" s="0" t="e">
        <f aca="false">($U$9/2)*(2*COS(2*AH85)*COS(AH85/2)-SIN(2*AH85)*SIN(AH85/2)/2)+2*AQ85*AP85*$N$29*SIN(AH85)*COS(AH85)/$J$9</f>
        <v>#VALUE!</v>
      </c>
      <c r="AU85" s="0" t="e">
        <f aca="false">($U$9/2)*(SIN(2*AH85)*COS(AH85/2))+AQ85*AP85*$N$29*(SIN(AH85))^2/$J$9</f>
        <v>#VALUE!</v>
      </c>
      <c r="AV85" s="0" t="e">
        <f aca="false">($U$9*($F$9/12-$W$9)/(2*$K$9))*(2*COS(2*AH85)*COS(AH85/2)-SIN(2*AH85)*SIN(AH85/2)/2)+2*AP85*AQ85*$N$29*($F$9/12-$S$10)*SIN(AH85)*COS(AH85)/($J$9*$K$9)</f>
        <v>#VALUE!</v>
      </c>
      <c r="AW85" s="0" t="n">
        <f aca="false">AG85</f>
        <v>76</v>
      </c>
      <c r="AX85" s="0" t="e">
        <f aca="false">$U$9*($F$9/12-$W$9)/(2*$K$9)*SIN(2*AH85)*COS(AH85/2)+AP85*AQ85*$N$29*($F$9/12-$S$10)*(SIN(AH85))^2/($J$9*$K$9)</f>
        <v>#VALUE!</v>
      </c>
      <c r="AY85" s="0" t="e">
        <f aca="false">AS85*COS(AH85)+AU85*SIN(AH85)</f>
        <v>#VALUE!</v>
      </c>
      <c r="AZ85" s="0" t="e">
        <f aca="false">AX85</f>
        <v>#VALUE!</v>
      </c>
      <c r="BA85" s="0" t="n">
        <f aca="false">AW85</f>
        <v>76</v>
      </c>
      <c r="BB85" s="0" t="e">
        <f aca="false">IF(AND(AV85&lt;0,AZ85*AZ86&lt;0),BA85+(BA86-BA85)*AZ85/(AZ86-AZ85),"")</f>
        <v>#VALUE!</v>
      </c>
      <c r="BC85" s="0" t="e">
        <f aca="false">IF(AND(AV85&lt;0,AZ85*AZ86&lt;0),AY85+(AY86-AY85)*AZ85/(AZ86-AZ85),"")</f>
        <v>#VALUE!</v>
      </c>
    </row>
    <row r="86" customFormat="false" ht="12.75" hidden="false" customHeight="false" outlineLevel="0" collapsed="false">
      <c r="AG86" s="0" t="n">
        <f aca="false">AG85+1</f>
        <v>77</v>
      </c>
      <c r="AH86" s="0" t="n">
        <f aca="false">AG86*PI()/180</f>
        <v>1.34390352403563</v>
      </c>
      <c r="AI86" s="0" t="n">
        <f aca="false">$D$9*SIN(AH86)</f>
        <v>1.94874012957047</v>
      </c>
      <c r="AJ86" s="19" t="n">
        <f aca="false">$E$9*$Q$10*SIN(AH86)/$K$9</f>
        <v>1723681.92714211</v>
      </c>
      <c r="AK86" s="0" t="e">
        <f aca="false">interpfn($Y$9:$Z$36,AI86,2)</f>
        <v>#VALUE!</v>
      </c>
      <c r="AL86" s="0" t="e">
        <f aca="false">interpfn($AA$9:$AB$27,AJ86,2)</f>
        <v>#VALUE!</v>
      </c>
      <c r="AM86" s="0" t="n">
        <f aca="false">IF(AI86&gt;0.45,1,AL86)</f>
        <v>1</v>
      </c>
      <c r="AO86" s="0" t="e">
        <f aca="false">interpfn($AE$9:$AF$22,AI86,2)</f>
        <v>#VALUE!</v>
      </c>
      <c r="AP86" s="0" t="e">
        <f aca="false">AK86*AM86</f>
        <v>#VALUE!</v>
      </c>
      <c r="AQ86" s="0" t="e">
        <f aca="false">$AN$9*AO86</f>
        <v>#VALUE!</v>
      </c>
      <c r="AS86" s="0" t="e">
        <f aca="false">$T$9*(COS(AH86))^2+$AR$9*(SIN(AH86))^2</f>
        <v>#VALUE!</v>
      </c>
      <c r="AT86" s="0" t="e">
        <f aca="false">($U$9/2)*(2*COS(2*AH86)*COS(AH86/2)-SIN(2*AH86)*SIN(AH86/2)/2)+2*AQ86*AP86*$N$29*SIN(AH86)*COS(AH86)/$J$9</f>
        <v>#VALUE!</v>
      </c>
      <c r="AU86" s="0" t="e">
        <f aca="false">($U$9/2)*(SIN(2*AH86)*COS(AH86/2))+AQ86*AP86*$N$29*(SIN(AH86))^2/$J$9</f>
        <v>#VALUE!</v>
      </c>
      <c r="AV86" s="0" t="e">
        <f aca="false">($U$9*($F$9/12-$W$9)/(2*$K$9))*(2*COS(2*AH86)*COS(AH86/2)-SIN(2*AH86)*SIN(AH86/2)/2)+2*AP86*AQ86*$N$29*($F$9/12-$S$10)*SIN(AH86)*COS(AH86)/($J$9*$K$9)</f>
        <v>#VALUE!</v>
      </c>
      <c r="AW86" s="0" t="n">
        <f aca="false">AG86</f>
        <v>77</v>
      </c>
      <c r="AX86" s="0" t="e">
        <f aca="false">$U$9*($F$9/12-$W$9)/(2*$K$9)*SIN(2*AH86)*COS(AH86/2)+AP86*AQ86*$N$29*($F$9/12-$S$10)*(SIN(AH86))^2/($J$9*$K$9)</f>
        <v>#VALUE!</v>
      </c>
      <c r="AY86" s="0" t="e">
        <f aca="false">AS86*COS(AH86)+AU86*SIN(AH86)</f>
        <v>#VALUE!</v>
      </c>
      <c r="AZ86" s="0" t="e">
        <f aca="false">AX86</f>
        <v>#VALUE!</v>
      </c>
      <c r="BA86" s="0" t="n">
        <f aca="false">AW86</f>
        <v>77</v>
      </c>
      <c r="BB86" s="0" t="e">
        <f aca="false">IF(AND(AV86&lt;0,AZ86*AZ87&lt;0),BA86+(BA87-BA86)*AZ86/(AZ87-AZ86),"")</f>
        <v>#VALUE!</v>
      </c>
      <c r="BC86" s="0" t="e">
        <f aca="false">IF(AND(AV86&lt;0,AZ86*AZ87&lt;0),AY86+(AY87-AY86)*AZ86/(AZ87-AZ86),"")</f>
        <v>#VALUE!</v>
      </c>
    </row>
    <row r="87" customFormat="false" ht="12.75" hidden="false" customHeight="false" outlineLevel="0" collapsed="false">
      <c r="AG87" s="0" t="n">
        <f aca="false">AG86+1</f>
        <v>78</v>
      </c>
      <c r="AH87" s="0" t="n">
        <f aca="false">AG87*PI()/180</f>
        <v>1.36135681655558</v>
      </c>
      <c r="AI87" s="0" t="n">
        <f aca="false">$D$9*SIN(AH87)</f>
        <v>1.95629520146761</v>
      </c>
      <c r="AJ87" s="19" t="n">
        <f aca="false">$E$9*$Q$10*SIN(AH87)/$K$9</f>
        <v>1730364.47074541</v>
      </c>
      <c r="AK87" s="0" t="e">
        <f aca="false">interpfn($Y$9:$Z$36,AI87,2)</f>
        <v>#VALUE!</v>
      </c>
      <c r="AL87" s="0" t="e">
        <f aca="false">interpfn($AA$9:$AB$27,AJ87,2)</f>
        <v>#VALUE!</v>
      </c>
      <c r="AM87" s="0" t="n">
        <f aca="false">IF(AI87&gt;0.45,1,AL87)</f>
        <v>1</v>
      </c>
      <c r="AO87" s="0" t="e">
        <f aca="false">interpfn($AE$9:$AF$22,AI87,2)</f>
        <v>#VALUE!</v>
      </c>
      <c r="AP87" s="0" t="e">
        <f aca="false">AK87*AM87</f>
        <v>#VALUE!</v>
      </c>
      <c r="AQ87" s="0" t="e">
        <f aca="false">$AN$9*AO87</f>
        <v>#VALUE!</v>
      </c>
      <c r="AS87" s="0" t="e">
        <f aca="false">$T$9*(COS(AH87))^2+$AR$9*(SIN(AH87))^2</f>
        <v>#VALUE!</v>
      </c>
      <c r="AT87" s="0" t="e">
        <f aca="false">($U$9/2)*(2*COS(2*AH87)*COS(AH87/2)-SIN(2*AH87)*SIN(AH87/2)/2)+2*AQ87*AP87*$N$29*SIN(AH87)*COS(AH87)/$J$9</f>
        <v>#VALUE!</v>
      </c>
      <c r="AU87" s="0" t="e">
        <f aca="false">($U$9/2)*(SIN(2*AH87)*COS(AH87/2))+AQ87*AP87*$N$29*(SIN(AH87))^2/$J$9</f>
        <v>#VALUE!</v>
      </c>
      <c r="AV87" s="0" t="e">
        <f aca="false">($U$9*($F$9/12-$W$9)/(2*$K$9))*(2*COS(2*AH87)*COS(AH87/2)-SIN(2*AH87)*SIN(AH87/2)/2)+2*AP87*AQ87*$N$29*($F$9/12-$S$10)*SIN(AH87)*COS(AH87)/($J$9*$K$9)</f>
        <v>#VALUE!</v>
      </c>
      <c r="AW87" s="0" t="n">
        <f aca="false">AG87</f>
        <v>78</v>
      </c>
      <c r="AX87" s="0" t="e">
        <f aca="false">$U$9*($F$9/12-$W$9)/(2*$K$9)*SIN(2*AH87)*COS(AH87/2)+AP87*AQ87*$N$29*($F$9/12-$S$10)*(SIN(AH87))^2/($J$9*$K$9)</f>
        <v>#VALUE!</v>
      </c>
      <c r="AY87" s="0" t="e">
        <f aca="false">AS87*COS(AH87)+AU87*SIN(AH87)</f>
        <v>#VALUE!</v>
      </c>
      <c r="AZ87" s="0" t="e">
        <f aca="false">AX87</f>
        <v>#VALUE!</v>
      </c>
      <c r="BA87" s="0" t="n">
        <f aca="false">AW87</f>
        <v>78</v>
      </c>
      <c r="BB87" s="0" t="e">
        <f aca="false">IF(AND(AV87&lt;0,AZ87*AZ88&lt;0),BA87+(BA88-BA87)*AZ87/(AZ88-AZ87),"")</f>
        <v>#VALUE!</v>
      </c>
      <c r="BC87" s="0" t="e">
        <f aca="false">IF(AND(AV87&lt;0,AZ87*AZ88&lt;0),AY87+(AY88-AY87)*AZ87/(AZ88-AZ87),"")</f>
        <v>#VALUE!</v>
      </c>
    </row>
    <row r="88" customFormat="false" ht="12.75" hidden="false" customHeight="false" outlineLevel="0" collapsed="false">
      <c r="AG88" s="0" t="n">
        <f aca="false">AG87+1</f>
        <v>79</v>
      </c>
      <c r="AH88" s="0" t="n">
        <f aca="false">AG88*PI()/180</f>
        <v>1.37881010907552</v>
      </c>
      <c r="AI88" s="0" t="n">
        <f aca="false">$D$9*SIN(AH88)</f>
        <v>1.96325436689533</v>
      </c>
      <c r="AJ88" s="19" t="n">
        <f aca="false">$E$9*$Q$10*SIN(AH88)/$K$9</f>
        <v>1736519.92856851</v>
      </c>
      <c r="AK88" s="0" t="e">
        <f aca="false">interpfn($Y$9:$Z$36,AI88,2)</f>
        <v>#VALUE!</v>
      </c>
      <c r="AL88" s="0" t="e">
        <f aca="false">interpfn($AA$9:$AB$27,AJ88,2)</f>
        <v>#VALUE!</v>
      </c>
      <c r="AM88" s="0" t="n">
        <f aca="false">IF(AI88&gt;0.45,1,AL88)</f>
        <v>1</v>
      </c>
      <c r="AO88" s="0" t="e">
        <f aca="false">interpfn($AE$9:$AF$22,AI88,2)</f>
        <v>#VALUE!</v>
      </c>
      <c r="AP88" s="0" t="e">
        <f aca="false">AK88*AM88</f>
        <v>#VALUE!</v>
      </c>
      <c r="AQ88" s="0" t="e">
        <f aca="false">$AN$9*AO88</f>
        <v>#VALUE!</v>
      </c>
      <c r="AS88" s="0" t="e">
        <f aca="false">$T$9*(COS(AH88))^2+$AR$9*(SIN(AH88))^2</f>
        <v>#VALUE!</v>
      </c>
      <c r="AT88" s="0" t="e">
        <f aca="false">($U$9/2)*(2*COS(2*AH88)*COS(AH88/2)-SIN(2*AH88)*SIN(AH88/2)/2)+2*AQ88*AP88*$N$29*SIN(AH88)*COS(AH88)/$J$9</f>
        <v>#VALUE!</v>
      </c>
      <c r="AU88" s="0" t="e">
        <f aca="false">($U$9/2)*(SIN(2*AH88)*COS(AH88/2))+AQ88*AP88*$N$29*(SIN(AH88))^2/$J$9</f>
        <v>#VALUE!</v>
      </c>
      <c r="AV88" s="0" t="e">
        <f aca="false">($U$9*($F$9/12-$W$9)/(2*$K$9))*(2*COS(2*AH88)*COS(AH88/2)-SIN(2*AH88)*SIN(AH88/2)/2)+2*AP88*AQ88*$N$29*($F$9/12-$S$10)*SIN(AH88)*COS(AH88)/($J$9*$K$9)</f>
        <v>#VALUE!</v>
      </c>
      <c r="AW88" s="0" t="n">
        <f aca="false">AG88</f>
        <v>79</v>
      </c>
      <c r="AX88" s="0" t="e">
        <f aca="false">$U$9*($F$9/12-$W$9)/(2*$K$9)*SIN(2*AH88)*COS(AH88/2)+AP88*AQ88*$N$29*($F$9/12-$S$10)*(SIN(AH88))^2/($J$9*$K$9)</f>
        <v>#VALUE!</v>
      </c>
      <c r="AY88" s="0" t="e">
        <f aca="false">AS88*COS(AH88)+AU88*SIN(AH88)</f>
        <v>#VALUE!</v>
      </c>
      <c r="AZ88" s="0" t="e">
        <f aca="false">AX88</f>
        <v>#VALUE!</v>
      </c>
      <c r="BA88" s="0" t="n">
        <f aca="false">AW88</f>
        <v>79</v>
      </c>
      <c r="BB88" s="0" t="e">
        <f aca="false">IF(AND(AV88&lt;0,AZ88*AZ89&lt;0),BA88+(BA89-BA88)*AZ88/(AZ89-AZ88),"")</f>
        <v>#VALUE!</v>
      </c>
      <c r="BC88" s="0" t="e">
        <f aca="false">IF(AND(AV88&lt;0,AZ88*AZ89&lt;0),AY88+(AY89-AY88)*AZ88/(AZ89-AZ88),"")</f>
        <v>#VALUE!</v>
      </c>
    </row>
    <row r="89" customFormat="false" ht="12.75" hidden="false" customHeight="false" outlineLevel="0" collapsed="false">
      <c r="AG89" s="0" t="n">
        <f aca="false">AG88+1</f>
        <v>80</v>
      </c>
      <c r="AH89" s="0" t="n">
        <f aca="false">AG89*PI()/180</f>
        <v>1.39626340159546</v>
      </c>
      <c r="AI89" s="0" t="n">
        <f aca="false">$D$9*SIN(AH89)</f>
        <v>1.96961550602442</v>
      </c>
      <c r="AJ89" s="19" t="n">
        <f aca="false">$E$9*$Q$10*SIN(AH89)/$K$9</f>
        <v>1742146.42559932</v>
      </c>
      <c r="AK89" s="0" t="e">
        <f aca="false">interpfn($Y$9:$Z$36,AI89,2)</f>
        <v>#VALUE!</v>
      </c>
      <c r="AL89" s="0" t="e">
        <f aca="false">interpfn($AA$9:$AB$27,AJ89,2)</f>
        <v>#VALUE!</v>
      </c>
      <c r="AM89" s="0" t="n">
        <f aca="false">IF(AI89&gt;0.45,1,AL89)</f>
        <v>1</v>
      </c>
      <c r="AO89" s="0" t="e">
        <f aca="false">interpfn($AE$9:$AF$22,AI89,2)</f>
        <v>#VALUE!</v>
      </c>
      <c r="AP89" s="0" t="e">
        <f aca="false">AK89*AM89</f>
        <v>#VALUE!</v>
      </c>
      <c r="AQ89" s="0" t="e">
        <f aca="false">$AN$9*AO89</f>
        <v>#VALUE!</v>
      </c>
      <c r="AS89" s="0" t="e">
        <f aca="false">$T$9*(COS(AH89))^2+$AR$9*(SIN(AH89))^2</f>
        <v>#VALUE!</v>
      </c>
      <c r="AT89" s="0" t="e">
        <f aca="false">($U$9/2)*(2*COS(2*AH89)*COS(AH89/2)-SIN(2*AH89)*SIN(AH89/2)/2)+2*AQ89*AP89*$N$29*SIN(AH89)*COS(AH89)/$J$9</f>
        <v>#VALUE!</v>
      </c>
      <c r="AU89" s="0" t="e">
        <f aca="false">($U$9/2)*(SIN(2*AH89)*COS(AH89/2))+AQ89*AP89*$N$29*(SIN(AH89))^2/$J$9</f>
        <v>#VALUE!</v>
      </c>
      <c r="AV89" s="0" t="e">
        <f aca="false">($U$9*($F$9/12-$W$9)/(2*$K$9))*(2*COS(2*AH89)*COS(AH89/2)-SIN(2*AH89)*SIN(AH89/2)/2)+2*AP89*AQ89*$N$29*($F$9/12-$S$10)*SIN(AH89)*COS(AH89)/($J$9*$K$9)</f>
        <v>#VALUE!</v>
      </c>
      <c r="AW89" s="0" t="n">
        <f aca="false">AG89</f>
        <v>80</v>
      </c>
      <c r="AX89" s="0" t="e">
        <f aca="false">$U$9*($F$9/12-$W$9)/(2*$K$9)*SIN(2*AH89)*COS(AH89/2)+AP89*AQ89*$N$29*($F$9/12-$S$10)*(SIN(AH89))^2/($J$9*$K$9)</f>
        <v>#VALUE!</v>
      </c>
      <c r="AY89" s="0" t="e">
        <f aca="false">AS89*COS(AH89)+AU89*SIN(AH89)</f>
        <v>#VALUE!</v>
      </c>
      <c r="AZ89" s="0" t="e">
        <f aca="false">AX89</f>
        <v>#VALUE!</v>
      </c>
      <c r="BA89" s="0" t="n">
        <f aca="false">AW89</f>
        <v>80</v>
      </c>
      <c r="BB89" s="0" t="e">
        <f aca="false">IF(AND(AV89&lt;0,AZ89*AZ90&lt;0),BA89+(BA90-BA89)*AZ89/(AZ90-AZ89),"")</f>
        <v>#VALUE!</v>
      </c>
      <c r="BC89" s="0" t="e">
        <f aca="false">IF(AND(AV89&lt;0,AZ89*AZ90&lt;0),AY89+(AY90-AY89)*AZ89/(AZ90-AZ89),"")</f>
        <v>#VALUE!</v>
      </c>
    </row>
    <row r="90" customFormat="false" ht="12.75" hidden="false" customHeight="false" outlineLevel="0" collapsed="false">
      <c r="AG90" s="0" t="n">
        <f aca="false">AG89+1</f>
        <v>81</v>
      </c>
      <c r="AH90" s="0" t="n">
        <f aca="false">AG90*PI()/180</f>
        <v>1.41371669411541</v>
      </c>
      <c r="AI90" s="0" t="n">
        <f aca="false">$D$9*SIN(AH90)</f>
        <v>1.97537668119028</v>
      </c>
      <c r="AJ90" s="19" t="n">
        <f aca="false">$E$9*$Q$10*SIN(AH90)/$K$9</f>
        <v>1747242.24795234</v>
      </c>
      <c r="AK90" s="0" t="e">
        <f aca="false">interpfn($Y$9:$Z$36,AI90,2)</f>
        <v>#VALUE!</v>
      </c>
      <c r="AL90" s="0" t="e">
        <f aca="false">interpfn($AA$9:$AB$27,AJ90,2)</f>
        <v>#VALUE!</v>
      </c>
      <c r="AM90" s="0" t="n">
        <f aca="false">IF(AI90&gt;0.45,1,AL90)</f>
        <v>1</v>
      </c>
      <c r="AO90" s="0" t="e">
        <f aca="false">interpfn($AE$9:$AF$22,AI90,2)</f>
        <v>#VALUE!</v>
      </c>
      <c r="AP90" s="0" t="e">
        <f aca="false">AK90*AM90</f>
        <v>#VALUE!</v>
      </c>
      <c r="AQ90" s="0" t="e">
        <f aca="false">$AN$9*AO90</f>
        <v>#VALUE!</v>
      </c>
      <c r="AS90" s="0" t="e">
        <f aca="false">$T$9*(COS(AH90))^2+$AR$9*(SIN(AH90))^2</f>
        <v>#VALUE!</v>
      </c>
      <c r="AT90" s="0" t="e">
        <f aca="false">($U$9/2)*(2*COS(2*AH90)*COS(AH90/2)-SIN(2*AH90)*SIN(AH90/2)/2)+2*AQ90*AP90*$N$29*SIN(AH90)*COS(AH90)/$J$9</f>
        <v>#VALUE!</v>
      </c>
      <c r="AU90" s="0" t="e">
        <f aca="false">($U$9/2)*(SIN(2*AH90)*COS(AH90/2))+AQ90*AP90*$N$29*(SIN(AH90))^2/$J$9</f>
        <v>#VALUE!</v>
      </c>
      <c r="AV90" s="0" t="e">
        <f aca="false">($U$9*($F$9/12-$W$9)/(2*$K$9))*(2*COS(2*AH90)*COS(AH90/2)-SIN(2*AH90)*SIN(AH90/2)/2)+2*AP90*AQ90*$N$29*($F$9/12-$S$10)*SIN(AH90)*COS(AH90)/($J$9*$K$9)</f>
        <v>#VALUE!</v>
      </c>
      <c r="AW90" s="0" t="n">
        <f aca="false">AG90</f>
        <v>81</v>
      </c>
      <c r="AX90" s="0" t="e">
        <f aca="false">$U$9*($F$9/12-$W$9)/(2*$K$9)*SIN(2*AH90)*COS(AH90/2)+AP90*AQ90*$N$29*($F$9/12-$S$10)*(SIN(AH90))^2/($J$9*$K$9)</f>
        <v>#VALUE!</v>
      </c>
      <c r="AY90" s="0" t="e">
        <f aca="false">AS90*COS(AH90)+AU90*SIN(AH90)</f>
        <v>#VALUE!</v>
      </c>
      <c r="AZ90" s="0" t="e">
        <f aca="false">AX90</f>
        <v>#VALUE!</v>
      </c>
      <c r="BA90" s="0" t="n">
        <f aca="false">AW90</f>
        <v>81</v>
      </c>
      <c r="BB90" s="0" t="e">
        <f aca="false">IF(AND(AV90&lt;0,AZ90*AZ91&lt;0),BA90+(BA91-BA90)*AZ90/(AZ91-AZ90),"")</f>
        <v>#VALUE!</v>
      </c>
      <c r="BC90" s="0" t="e">
        <f aca="false">IF(AND(AV90&lt;0,AZ90*AZ91&lt;0),AY90+(AY91-AY90)*AZ90/(AZ91-AZ90),"")</f>
        <v>#VALUE!</v>
      </c>
    </row>
    <row r="91" customFormat="false" ht="12.75" hidden="false" customHeight="false" outlineLevel="0" collapsed="false">
      <c r="AG91" s="0" t="n">
        <f aca="false">AG90+1</f>
        <v>82</v>
      </c>
      <c r="AH91" s="0" t="n">
        <f aca="false">AG91*PI()/180</f>
        <v>1.43116998663535</v>
      </c>
      <c r="AI91" s="0" t="n">
        <f aca="false">$D$9*SIN(AH91)</f>
        <v>1.98053613748314</v>
      </c>
      <c r="AJ91" s="19" t="n">
        <f aca="false">$E$9*$Q$10*SIN(AH91)/$K$9</f>
        <v>1751805.84339071</v>
      </c>
      <c r="AK91" s="0" t="e">
        <f aca="false">interpfn($Y$9:$Z$36,AI91,2)</f>
        <v>#VALUE!</v>
      </c>
      <c r="AL91" s="0" t="e">
        <f aca="false">interpfn($AA$9:$AB$27,AJ91,2)</f>
        <v>#VALUE!</v>
      </c>
      <c r="AM91" s="0" t="n">
        <f aca="false">IF(AI91&gt;0.45,1,AL91)</f>
        <v>1</v>
      </c>
      <c r="AO91" s="0" t="e">
        <f aca="false">interpfn($AE$9:$AF$22,AI91,2)</f>
        <v>#VALUE!</v>
      </c>
      <c r="AP91" s="0" t="e">
        <f aca="false">AK91*AM91</f>
        <v>#VALUE!</v>
      </c>
      <c r="AQ91" s="0" t="e">
        <f aca="false">$AN$9*AO91</f>
        <v>#VALUE!</v>
      </c>
      <c r="AS91" s="0" t="e">
        <f aca="false">$T$9*(COS(AH91))^2+$AR$9*(SIN(AH91))^2</f>
        <v>#VALUE!</v>
      </c>
      <c r="AT91" s="0" t="e">
        <f aca="false">($U$9/2)*(2*COS(2*AH91)*COS(AH91/2)-SIN(2*AH91)*SIN(AH91/2)/2)+2*AQ91*AP91*$N$29*SIN(AH91)*COS(AH91)/$J$9</f>
        <v>#VALUE!</v>
      </c>
      <c r="AU91" s="0" t="e">
        <f aca="false">($U$9/2)*(SIN(2*AH91)*COS(AH91/2))+AQ91*AP91*$N$29*(SIN(AH91))^2/$J$9</f>
        <v>#VALUE!</v>
      </c>
      <c r="AV91" s="0" t="e">
        <f aca="false">($U$9*($F$9/12-$W$9)/(2*$K$9))*(2*COS(2*AH91)*COS(AH91/2)-SIN(2*AH91)*SIN(AH91/2)/2)+2*AP91*AQ91*$N$29*($F$9/12-$S$10)*SIN(AH91)*COS(AH91)/($J$9*$K$9)</f>
        <v>#VALUE!</v>
      </c>
      <c r="AW91" s="0" t="n">
        <f aca="false">AG91</f>
        <v>82</v>
      </c>
      <c r="AX91" s="0" t="e">
        <f aca="false">$U$9*($F$9/12-$W$9)/(2*$K$9)*SIN(2*AH91)*COS(AH91/2)+AP91*AQ91*$N$29*($F$9/12-$S$10)*(SIN(AH91))^2/($J$9*$K$9)</f>
        <v>#VALUE!</v>
      </c>
      <c r="AY91" s="0" t="e">
        <f aca="false">AS91*COS(AH91)+AU91*SIN(AH91)</f>
        <v>#VALUE!</v>
      </c>
      <c r="AZ91" s="0" t="e">
        <f aca="false">AX91</f>
        <v>#VALUE!</v>
      </c>
      <c r="BA91" s="0" t="n">
        <f aca="false">AW91</f>
        <v>82</v>
      </c>
      <c r="BB91" s="0" t="e">
        <f aca="false">IF(AND(AV91&lt;0,AZ91*AZ92&lt;0),BA91+(BA92-BA91)*AZ91/(AZ92-AZ91),"")</f>
        <v>#VALUE!</v>
      </c>
      <c r="BC91" s="0" t="e">
        <f aca="false">IF(AND(AV91&lt;0,AZ91*AZ92&lt;0),AY91+(AY92-AY91)*AZ91/(AZ92-AZ91),"")</f>
        <v>#VALUE!</v>
      </c>
    </row>
    <row r="92" customFormat="false" ht="12.75" hidden="false" customHeight="false" outlineLevel="0" collapsed="false">
      <c r="AG92" s="0" t="n">
        <f aca="false">AG91+1</f>
        <v>83</v>
      </c>
      <c r="AH92" s="0" t="n">
        <f aca="false">AG92*PI()/180</f>
        <v>1.44862327915529</v>
      </c>
      <c r="AI92" s="0" t="n">
        <f aca="false">$D$9*SIN(AH92)</f>
        <v>1.98509230328264</v>
      </c>
      <c r="AJ92" s="19" t="n">
        <f aca="false">$E$9*$Q$10*SIN(AH92)/$K$9</f>
        <v>1755835.82179907</v>
      </c>
      <c r="AK92" s="0" t="e">
        <f aca="false">interpfn($Y$9:$Z$36,AI92,2)</f>
        <v>#VALUE!</v>
      </c>
      <c r="AL92" s="0" t="e">
        <f aca="false">interpfn($AA$9:$AB$27,AJ92,2)</f>
        <v>#VALUE!</v>
      </c>
      <c r="AM92" s="0" t="n">
        <f aca="false">IF(AI92&gt;0.45,1,AL92)</f>
        <v>1</v>
      </c>
      <c r="AO92" s="0" t="e">
        <f aca="false">interpfn($AE$9:$AF$22,AI92,2)</f>
        <v>#VALUE!</v>
      </c>
      <c r="AP92" s="0" t="e">
        <f aca="false">AK92*AM92</f>
        <v>#VALUE!</v>
      </c>
      <c r="AQ92" s="0" t="e">
        <f aca="false">$AN$9*AO92</f>
        <v>#VALUE!</v>
      </c>
      <c r="AS92" s="0" t="e">
        <f aca="false">$T$9*(COS(AH92))^2+$AR$9*(SIN(AH92))^2</f>
        <v>#VALUE!</v>
      </c>
      <c r="AT92" s="0" t="e">
        <f aca="false">($U$9/2)*(2*COS(2*AH92)*COS(AH92/2)-SIN(2*AH92)*SIN(AH92/2)/2)+2*AQ92*AP92*$N$29*SIN(AH92)*COS(AH92)/$J$9</f>
        <v>#VALUE!</v>
      </c>
      <c r="AU92" s="0" t="e">
        <f aca="false">($U$9/2)*(SIN(2*AH92)*COS(AH92/2))+AQ92*AP92*$N$29*(SIN(AH92))^2/$J$9</f>
        <v>#VALUE!</v>
      </c>
      <c r="AV92" s="0" t="e">
        <f aca="false">($U$9*($F$9/12-$W$9)/(2*$K$9))*(2*COS(2*AH92)*COS(AH92/2)-SIN(2*AH92)*SIN(AH92/2)/2)+2*AP92*AQ92*$N$29*($F$9/12-$S$10)*SIN(AH92)*COS(AH92)/($J$9*$K$9)</f>
        <v>#VALUE!</v>
      </c>
      <c r="AW92" s="0" t="n">
        <f aca="false">AG92</f>
        <v>83</v>
      </c>
      <c r="AX92" s="0" t="e">
        <f aca="false">$U$9*($F$9/12-$W$9)/(2*$K$9)*SIN(2*AH92)*COS(AH92/2)+AP92*AQ92*$N$29*($F$9/12-$S$10)*(SIN(AH92))^2/($J$9*$K$9)</f>
        <v>#VALUE!</v>
      </c>
      <c r="AY92" s="0" t="e">
        <f aca="false">AS92*COS(AH92)+AU92*SIN(AH92)</f>
        <v>#VALUE!</v>
      </c>
      <c r="AZ92" s="0" t="e">
        <f aca="false">AX92</f>
        <v>#VALUE!</v>
      </c>
      <c r="BA92" s="0" t="n">
        <f aca="false">AW92</f>
        <v>83</v>
      </c>
      <c r="BB92" s="0" t="e">
        <f aca="false">IF(AND(AV92&lt;0,AZ92*AZ93&lt;0),BA92+(BA93-BA92)*AZ92/(AZ93-AZ92),"")</f>
        <v>#VALUE!</v>
      </c>
      <c r="BC92" s="0" t="e">
        <f aca="false">IF(AND(AV92&lt;0,AZ92*AZ93&lt;0),AY92+(AY93-AY92)*AZ92/(AZ93-AZ92),"")</f>
        <v>#VALUE!</v>
      </c>
    </row>
    <row r="93" customFormat="false" ht="12.75" hidden="false" customHeight="false" outlineLevel="0" collapsed="false">
      <c r="AG93" s="0" t="n">
        <f aca="false">AG92+1</f>
        <v>84</v>
      </c>
      <c r="AH93" s="0" t="n">
        <f aca="false">AG93*PI()/180</f>
        <v>1.46607657167524</v>
      </c>
      <c r="AI93" s="0" t="n">
        <f aca="false">$D$9*SIN(AH93)</f>
        <v>1.98904379073655</v>
      </c>
      <c r="AJ93" s="19" t="n">
        <f aca="false">$E$9*$Q$10*SIN(AH93)/$K$9</f>
        <v>1759330.95560694</v>
      </c>
      <c r="AK93" s="0" t="e">
        <f aca="false">interpfn($Y$9:$Z$36,AI93,2)</f>
        <v>#VALUE!</v>
      </c>
      <c r="AL93" s="0" t="e">
        <f aca="false">interpfn($AA$9:$AB$27,AJ93,2)</f>
        <v>#VALUE!</v>
      </c>
      <c r="AM93" s="0" t="n">
        <f aca="false">IF(AI93&gt;0.45,1,AL93)</f>
        <v>1</v>
      </c>
      <c r="AO93" s="0" t="e">
        <f aca="false">interpfn($AE$9:$AF$22,AI93,2)</f>
        <v>#VALUE!</v>
      </c>
      <c r="AP93" s="0" t="e">
        <f aca="false">AK93*AM93</f>
        <v>#VALUE!</v>
      </c>
      <c r="AQ93" s="0" t="e">
        <f aca="false">$AN$9*AO93</f>
        <v>#VALUE!</v>
      </c>
      <c r="AS93" s="0" t="e">
        <f aca="false">$T$9*(COS(AH93))^2+$AR$9*(SIN(AH93))^2</f>
        <v>#VALUE!</v>
      </c>
      <c r="AT93" s="0" t="e">
        <f aca="false">($U$9/2)*(2*COS(2*AH93)*COS(AH93/2)-SIN(2*AH93)*SIN(AH93/2)/2)+2*AQ93*AP93*$N$29*SIN(AH93)*COS(AH93)/$J$9</f>
        <v>#VALUE!</v>
      </c>
      <c r="AU93" s="0" t="e">
        <f aca="false">($U$9/2)*(SIN(2*AH93)*COS(AH93/2))+AQ93*AP93*$N$29*(SIN(AH93))^2/$J$9</f>
        <v>#VALUE!</v>
      </c>
      <c r="AV93" s="0" t="e">
        <f aca="false">($U$9*($F$9/12-$W$9)/(2*$K$9))*(2*COS(2*AH93)*COS(AH93/2)-SIN(2*AH93)*SIN(AH93/2)/2)+2*AP93*AQ93*$N$29*($F$9/12-$S$10)*SIN(AH93)*COS(AH93)/($J$9*$K$9)</f>
        <v>#VALUE!</v>
      </c>
      <c r="AW93" s="0" t="n">
        <f aca="false">AG93</f>
        <v>84</v>
      </c>
      <c r="AX93" s="0" t="e">
        <f aca="false">$U$9*($F$9/12-$W$9)/(2*$K$9)*SIN(2*AH93)*COS(AH93/2)+AP93*AQ93*$N$29*($F$9/12-$S$10)*(SIN(AH93))^2/($J$9*$K$9)</f>
        <v>#VALUE!</v>
      </c>
      <c r="AY93" s="0" t="e">
        <f aca="false">AS93*COS(AH93)+AU93*SIN(AH93)</f>
        <v>#VALUE!</v>
      </c>
      <c r="AZ93" s="0" t="e">
        <f aca="false">AX93</f>
        <v>#VALUE!</v>
      </c>
      <c r="BA93" s="0" t="n">
        <f aca="false">AW93</f>
        <v>84</v>
      </c>
      <c r="BB93" s="0" t="e">
        <f aca="false">IF(AND(AV93&lt;0,AZ93*AZ94&lt;0),BA93+(BA94-BA93)*AZ93/(AZ94-AZ93),"")</f>
        <v>#VALUE!</v>
      </c>
      <c r="BC93" s="0" t="e">
        <f aca="false">IF(AND(AV93&lt;0,AZ93*AZ94&lt;0),AY93+(AY94-AY93)*AZ93/(AZ94-AZ93),"")</f>
        <v>#VALUE!</v>
      </c>
    </row>
    <row r="94" customFormat="false" ht="12.75" hidden="false" customHeight="false" outlineLevel="0" collapsed="false">
      <c r="AG94" s="0" t="n">
        <f aca="false">AG93+1</f>
        <v>85</v>
      </c>
      <c r="AH94" s="0" t="n">
        <f aca="false">AG94*PI()/180</f>
        <v>1.48352986419518</v>
      </c>
      <c r="AI94" s="0" t="n">
        <f aca="false">$D$9*SIN(AH94)</f>
        <v>1.99238939618349</v>
      </c>
      <c r="AJ94" s="19" t="n">
        <f aca="false">$E$9*$Q$10*SIN(AH94)/$K$9</f>
        <v>1762290.18016272</v>
      </c>
      <c r="AK94" s="0" t="e">
        <f aca="false">interpfn($Y$9:$Z$36,AI94,2)</f>
        <v>#VALUE!</v>
      </c>
      <c r="AL94" s="0" t="e">
        <f aca="false">interpfn($AA$9:$AB$27,AJ94,2)</f>
        <v>#VALUE!</v>
      </c>
      <c r="AM94" s="0" t="n">
        <f aca="false">IF(AI94&gt;0.45,1,AL94)</f>
        <v>1</v>
      </c>
      <c r="AO94" s="0" t="e">
        <f aca="false">interpfn($AE$9:$AF$22,AI94,2)</f>
        <v>#VALUE!</v>
      </c>
      <c r="AP94" s="0" t="e">
        <f aca="false">AK94*AM94</f>
        <v>#VALUE!</v>
      </c>
      <c r="AQ94" s="0" t="e">
        <f aca="false">$AN$9*AO94</f>
        <v>#VALUE!</v>
      </c>
      <c r="AS94" s="0" t="e">
        <f aca="false">$T$9*(COS(AH94))^2+$AR$9*(SIN(AH94))^2</f>
        <v>#VALUE!</v>
      </c>
      <c r="AT94" s="0" t="e">
        <f aca="false">($U$9/2)*(2*COS(2*AH94)*COS(AH94/2)-SIN(2*AH94)*SIN(AH94/2)/2)+2*AQ94*AP94*$N$29*SIN(AH94)*COS(AH94)/$J$9</f>
        <v>#VALUE!</v>
      </c>
      <c r="AU94" s="0" t="e">
        <f aca="false">($U$9/2)*(SIN(2*AH94)*COS(AH94/2))+AQ94*AP94*$N$29*(SIN(AH94))^2/$J$9</f>
        <v>#VALUE!</v>
      </c>
      <c r="AV94" s="0" t="e">
        <f aca="false">($U$9*($F$9/12-$W$9)/(2*$K$9))*(2*COS(2*AH94)*COS(AH94/2)-SIN(2*AH94)*SIN(AH94/2)/2)+2*AP94*AQ94*$N$29*($F$9/12-$S$10)*SIN(AH94)*COS(AH94)/($J$9*$K$9)</f>
        <v>#VALUE!</v>
      </c>
      <c r="AW94" s="0" t="n">
        <f aca="false">AG94</f>
        <v>85</v>
      </c>
      <c r="AX94" s="0" t="e">
        <f aca="false">$U$9*($F$9/12-$W$9)/(2*$K$9)*SIN(2*AH94)*COS(AH94/2)+AP94*AQ94*$N$29*($F$9/12-$S$10)*(SIN(AH94))^2/($J$9*$K$9)</f>
        <v>#VALUE!</v>
      </c>
      <c r="AY94" s="0" t="e">
        <f aca="false">AS94*COS(AH94)+AU94*SIN(AH94)</f>
        <v>#VALUE!</v>
      </c>
      <c r="AZ94" s="0" t="e">
        <f aca="false">AX94</f>
        <v>#VALUE!</v>
      </c>
      <c r="BA94" s="0" t="n">
        <f aca="false">AW94</f>
        <v>85</v>
      </c>
      <c r="BB94" s="0" t="e">
        <f aca="false">IF(AND(AV94&lt;0,AZ94*AZ95&lt;0),BA94+(BA95-BA94)*AZ94/(AZ95-AZ94),"")</f>
        <v>#VALUE!</v>
      </c>
      <c r="BC94" s="0" t="e">
        <f aca="false">IF(AND(AV94&lt;0,AZ94*AZ95&lt;0),AY94+(AY95-AY94)*AZ94/(AZ95-AZ94),"")</f>
        <v>#VALUE!</v>
      </c>
    </row>
    <row r="95" customFormat="false" ht="12.75" hidden="false" customHeight="false" outlineLevel="0" collapsed="false">
      <c r="AG95" s="0" t="n">
        <f aca="false">AG94+1</f>
        <v>86</v>
      </c>
      <c r="AH95" s="0" t="n">
        <f aca="false">AG95*PI()/180</f>
        <v>1.50098315671512</v>
      </c>
      <c r="AI95" s="0" t="n">
        <f aca="false">$D$9*SIN(AH95)</f>
        <v>1.99512810051965</v>
      </c>
      <c r="AJ95" s="19" t="n">
        <f aca="false">$E$9*$Q$10*SIN(AH95)/$K$9</f>
        <v>1764712.59405793</v>
      </c>
      <c r="AK95" s="0" t="e">
        <f aca="false">interpfn($Y$9:$Z$36,AI95,2)</f>
        <v>#VALUE!</v>
      </c>
      <c r="AL95" s="0" t="e">
        <f aca="false">interpfn($AA$9:$AB$27,AJ95,2)</f>
        <v>#VALUE!</v>
      </c>
      <c r="AM95" s="0" t="n">
        <f aca="false">IF(AI95&gt;0.45,1,AL95)</f>
        <v>1</v>
      </c>
      <c r="AO95" s="0" t="e">
        <f aca="false">interpfn($AE$9:$AF$22,AI95,2)</f>
        <v>#VALUE!</v>
      </c>
      <c r="AP95" s="0" t="e">
        <f aca="false">AK95*AM95</f>
        <v>#VALUE!</v>
      </c>
      <c r="AQ95" s="0" t="e">
        <f aca="false">$AN$9*AO95</f>
        <v>#VALUE!</v>
      </c>
      <c r="AS95" s="0" t="e">
        <f aca="false">$T$9*(COS(AH95))^2+$AR$9*(SIN(AH95))^2</f>
        <v>#VALUE!</v>
      </c>
      <c r="AT95" s="0" t="e">
        <f aca="false">($U$9/2)*(2*COS(2*AH95)*COS(AH95/2)-SIN(2*AH95)*SIN(AH95/2)/2)+2*AQ95*AP95*$N$29*SIN(AH95)*COS(AH95)/$J$9</f>
        <v>#VALUE!</v>
      </c>
      <c r="AU95" s="0" t="e">
        <f aca="false">($U$9/2)*(SIN(2*AH95)*COS(AH95/2))+AQ95*AP95*$N$29*(SIN(AH95))^2/$J$9</f>
        <v>#VALUE!</v>
      </c>
      <c r="AV95" s="0" t="e">
        <f aca="false">($U$9*($F$9/12-$W$9)/(2*$K$9))*(2*COS(2*AH95)*COS(AH95/2)-SIN(2*AH95)*SIN(AH95/2)/2)+2*AP95*AQ95*$N$29*($F$9/12-$S$10)*SIN(AH95)*COS(AH95)/($J$9*$K$9)</f>
        <v>#VALUE!</v>
      </c>
      <c r="AW95" s="0" t="n">
        <f aca="false">AG95</f>
        <v>86</v>
      </c>
      <c r="AX95" s="0" t="e">
        <f aca="false">$U$9*($F$9/12-$W$9)/(2*$K$9)*SIN(2*AH95)*COS(AH95/2)+AP95*AQ95*$N$29*($F$9/12-$S$10)*(SIN(AH95))^2/($J$9*$K$9)</f>
        <v>#VALUE!</v>
      </c>
      <c r="AY95" s="0" t="e">
        <f aca="false">AS95*COS(AH95)+AU95*SIN(AH95)</f>
        <v>#VALUE!</v>
      </c>
      <c r="AZ95" s="0" t="e">
        <f aca="false">AX95</f>
        <v>#VALUE!</v>
      </c>
      <c r="BA95" s="0" t="n">
        <f aca="false">AW95</f>
        <v>86</v>
      </c>
      <c r="BB95" s="0" t="e">
        <f aca="false">IF(AND(AV95&lt;0,AZ95*AZ96&lt;0),BA95+(BA96-BA95)*AZ95/(AZ96-AZ95),"")</f>
        <v>#VALUE!</v>
      </c>
      <c r="BC95" s="0" t="e">
        <f aca="false">IF(AND(AV95&lt;0,AZ95*AZ96&lt;0),AY95+(AY96-AY95)*AZ95/(AZ96-AZ95),"")</f>
        <v>#VALUE!</v>
      </c>
    </row>
    <row r="96" customFormat="false" ht="12.75" hidden="false" customHeight="false" outlineLevel="0" collapsed="false">
      <c r="AG96" s="0" t="n">
        <f aca="false">AG95+1</f>
        <v>87</v>
      </c>
      <c r="AH96" s="0" t="n">
        <f aca="false">AG96*PI()/180</f>
        <v>1.51843644923507</v>
      </c>
      <c r="AI96" s="0" t="n">
        <f aca="false">$D$9*SIN(AH96)</f>
        <v>1.99725906950915</v>
      </c>
      <c r="AJ96" s="19" t="n">
        <f aca="false">$E$9*$Q$10*SIN(AH96)/$K$9</f>
        <v>1766597.45940183</v>
      </c>
      <c r="AK96" s="0" t="e">
        <f aca="false">interpfn($Y$9:$Z$36,AI96,2)</f>
        <v>#VALUE!</v>
      </c>
      <c r="AL96" s="0" t="e">
        <f aca="false">interpfn($AA$9:$AB$27,AJ96,2)</f>
        <v>#VALUE!</v>
      </c>
      <c r="AM96" s="0" t="n">
        <f aca="false">IF(AI96&gt;0.45,1,AL96)</f>
        <v>1</v>
      </c>
      <c r="AO96" s="0" t="e">
        <f aca="false">interpfn($AE$9:$AF$22,AI96,2)</f>
        <v>#VALUE!</v>
      </c>
      <c r="AP96" s="0" t="e">
        <f aca="false">AK96*AM96</f>
        <v>#VALUE!</v>
      </c>
      <c r="AQ96" s="0" t="e">
        <f aca="false">$AN$9*AO96</f>
        <v>#VALUE!</v>
      </c>
      <c r="AS96" s="0" t="e">
        <f aca="false">$T$9*(COS(AH96))^2+$AR$9*(SIN(AH96))^2</f>
        <v>#VALUE!</v>
      </c>
      <c r="AT96" s="0" t="e">
        <f aca="false">($U$9/2)*(2*COS(2*AH96)*COS(AH96/2)-SIN(2*AH96)*SIN(AH96/2)/2)+2*AQ96*AP96*$N$29*SIN(AH96)*COS(AH96)/$J$9</f>
        <v>#VALUE!</v>
      </c>
      <c r="AU96" s="0" t="e">
        <f aca="false">($U$9/2)*(SIN(2*AH96)*COS(AH96/2))+AQ96*AP96*$N$29*(SIN(AH96))^2/$J$9</f>
        <v>#VALUE!</v>
      </c>
      <c r="AV96" s="0" t="e">
        <f aca="false">($U$9*($F$9/12-$W$9)/(2*$K$9))*(2*COS(2*AH96)*COS(AH96/2)-SIN(2*AH96)*SIN(AH96/2)/2)+2*AP96*AQ96*$N$29*($F$9/12-$S$10)*SIN(AH96)*COS(AH96)/($J$9*$K$9)</f>
        <v>#VALUE!</v>
      </c>
      <c r="AW96" s="0" t="n">
        <f aca="false">AG96</f>
        <v>87</v>
      </c>
      <c r="AX96" s="0" t="e">
        <f aca="false">$U$9*($F$9/12-$W$9)/(2*$K$9)*SIN(2*AH96)*COS(AH96/2)+AP96*AQ96*$N$29*($F$9/12-$S$10)*(SIN(AH96))^2/($J$9*$K$9)</f>
        <v>#VALUE!</v>
      </c>
      <c r="AY96" s="0" t="e">
        <f aca="false">AS96*COS(AH96)+AU96*SIN(AH96)</f>
        <v>#VALUE!</v>
      </c>
      <c r="AZ96" s="0" t="e">
        <f aca="false">AX96</f>
        <v>#VALUE!</v>
      </c>
      <c r="BA96" s="0" t="n">
        <f aca="false">AW96</f>
        <v>87</v>
      </c>
      <c r="BB96" s="0" t="e">
        <f aca="false">IF(AND(AV96&lt;0,AZ96*AZ97&lt;0),BA96+(BA97-BA96)*AZ96/(AZ97-AZ96),"")</f>
        <v>#VALUE!</v>
      </c>
      <c r="BC96" s="0" t="e">
        <f aca="false">IF(AND(AV96&lt;0,AZ96*AZ97&lt;0),AY96+(AY97-AY96)*AZ96/(AZ97-AZ96),"")</f>
        <v>#VALUE!</v>
      </c>
    </row>
    <row r="97" customFormat="false" ht="12.75" hidden="false" customHeight="false" outlineLevel="0" collapsed="false">
      <c r="AG97" s="0" t="n">
        <f aca="false">AG96+1</f>
        <v>88</v>
      </c>
      <c r="AH97" s="0" t="n">
        <f aca="false">AG97*PI()/180</f>
        <v>1.53588974175501</v>
      </c>
      <c r="AI97" s="0" t="n">
        <f aca="false">$D$9*SIN(AH97)</f>
        <v>1.99878165403819</v>
      </c>
      <c r="AJ97" s="19" t="n">
        <f aca="false">$E$9*$Q$10*SIN(AH97)/$K$9</f>
        <v>1767944.20204618</v>
      </c>
      <c r="AK97" s="0" t="e">
        <f aca="false">interpfn($Y$9:$Z$36,AI97,2)</f>
        <v>#VALUE!</v>
      </c>
      <c r="AL97" s="0" t="e">
        <f aca="false">interpfn($AA$9:$AB$27,AJ97,2)</f>
        <v>#VALUE!</v>
      </c>
      <c r="AM97" s="0" t="n">
        <f aca="false">IF(AI97&gt;0.45,1,AL97)</f>
        <v>1</v>
      </c>
      <c r="AO97" s="0" t="e">
        <f aca="false">interpfn($AE$9:$AF$22,AI97,2)</f>
        <v>#VALUE!</v>
      </c>
      <c r="AP97" s="0" t="e">
        <f aca="false">AK97*AM97</f>
        <v>#VALUE!</v>
      </c>
      <c r="AQ97" s="0" t="e">
        <f aca="false">$AN$9*AO97</f>
        <v>#VALUE!</v>
      </c>
      <c r="AS97" s="0" t="e">
        <f aca="false">$T$9*(COS(AH97))^2+$AR$9*(SIN(AH97))^2</f>
        <v>#VALUE!</v>
      </c>
      <c r="AT97" s="0" t="e">
        <f aca="false">($U$9/2)*(2*COS(2*AH97)*COS(AH97/2)-SIN(2*AH97)*SIN(AH97/2)/2)+2*AQ97*AP97*$N$29*SIN(AH97)*COS(AH97)/$J$9</f>
        <v>#VALUE!</v>
      </c>
      <c r="AU97" s="0" t="e">
        <f aca="false">($U$9/2)*(SIN(2*AH97)*COS(AH97/2))+AQ97*AP97*$N$29*(SIN(AH97))^2/$J$9</f>
        <v>#VALUE!</v>
      </c>
      <c r="AV97" s="0" t="e">
        <f aca="false">($U$9*($F$9/12-$W$9)/(2*$K$9))*(2*COS(2*AH97)*COS(AH97/2)-SIN(2*AH97)*SIN(AH97/2)/2)+2*AP97*AQ97*$N$29*($F$9/12-$S$10)*SIN(AH97)*COS(AH97)/($J$9*$K$9)</f>
        <v>#VALUE!</v>
      </c>
      <c r="AW97" s="0" t="n">
        <f aca="false">AG97</f>
        <v>88</v>
      </c>
      <c r="AX97" s="0" t="e">
        <f aca="false">$U$9*($F$9/12-$W$9)/(2*$K$9)*SIN(2*AH97)*COS(AH97/2)+AP97*AQ97*$N$29*($F$9/12-$S$10)*(SIN(AH97))^2/($J$9*$K$9)</f>
        <v>#VALUE!</v>
      </c>
      <c r="AY97" s="0" t="e">
        <f aca="false">AS97*COS(AH97)+AU97*SIN(AH97)</f>
        <v>#VALUE!</v>
      </c>
      <c r="AZ97" s="0" t="e">
        <f aca="false">AX97</f>
        <v>#VALUE!</v>
      </c>
      <c r="BA97" s="0" t="n">
        <f aca="false">AW97</f>
        <v>88</v>
      </c>
      <c r="BB97" s="0" t="e">
        <f aca="false">IF(AND(AV97&lt;0,AZ97*AZ98&lt;0),BA97+(BA98-BA97)*AZ97/(AZ98-AZ97),"")</f>
        <v>#VALUE!</v>
      </c>
      <c r="BC97" s="0" t="e">
        <f aca="false">IF(AND(AV97&lt;0,AZ97*AZ98&lt;0),AY97+(AY98-AY97)*AZ97/(AZ98-AZ97),"")</f>
        <v>#VALUE!</v>
      </c>
    </row>
    <row r="98" customFormat="false" ht="12.75" hidden="false" customHeight="false" outlineLevel="0" collapsed="false">
      <c r="AG98" s="0" t="n">
        <f aca="false">AG97+1</f>
        <v>89</v>
      </c>
      <c r="AH98" s="0" t="n">
        <f aca="false">AG98*PI()/180</f>
        <v>1.55334303427495</v>
      </c>
      <c r="AI98" s="0" t="n">
        <f aca="false">$D$9*SIN(AH98)</f>
        <v>1.99969539031278</v>
      </c>
      <c r="AJ98" s="19" t="n">
        <f aca="false">$E$9*$Q$10*SIN(AH98)/$K$9</f>
        <v>1768752.41176014</v>
      </c>
      <c r="AK98" s="0" t="e">
        <f aca="false">interpfn($Y$9:$Z$36,AI98,2)</f>
        <v>#VALUE!</v>
      </c>
      <c r="AL98" s="0" t="e">
        <f aca="false">interpfn($AA$9:$AB$27,AJ98,2)</f>
        <v>#VALUE!</v>
      </c>
      <c r="AM98" s="0" t="n">
        <f aca="false">IF(AI98&gt;0.45,1,AL98)</f>
        <v>1</v>
      </c>
      <c r="AO98" s="0" t="e">
        <f aca="false">interpfn($AE$9:$AF$22,AI98,2)</f>
        <v>#VALUE!</v>
      </c>
      <c r="AP98" s="0" t="e">
        <f aca="false">AK98*AM98</f>
        <v>#VALUE!</v>
      </c>
      <c r="AQ98" s="0" t="e">
        <f aca="false">$AN$9*AO98</f>
        <v>#VALUE!</v>
      </c>
      <c r="AS98" s="0" t="e">
        <f aca="false">$T$9*(COS(AH98))^2+$AR$9*(SIN(AH98))^2</f>
        <v>#VALUE!</v>
      </c>
      <c r="AT98" s="0" t="e">
        <f aca="false">($U$9/2)*(2*COS(2*AH98)*COS(AH98/2)-SIN(2*AH98)*SIN(AH98/2)/2)+2*AQ98*AP98*$N$29*SIN(AH98)*COS(AH98)/$J$9</f>
        <v>#VALUE!</v>
      </c>
      <c r="AU98" s="0" t="e">
        <f aca="false">($U$9/2)*(SIN(2*AH98)*COS(AH98/2))+AQ98*AP98*$N$29*(SIN(AH98))^2/$J$9</f>
        <v>#VALUE!</v>
      </c>
      <c r="AV98" s="0" t="e">
        <f aca="false">($U$9*($F$9/12-$W$9)/(2*$K$9))*(2*COS(2*AH98)*COS(AH98/2)-SIN(2*AH98)*SIN(AH98/2)/2)+2*AP98*AQ98*$N$29*($F$9/12-$S$10)*SIN(AH98)*COS(AH98)/($J$9*$K$9)</f>
        <v>#VALUE!</v>
      </c>
      <c r="AW98" s="0" t="n">
        <f aca="false">AG98</f>
        <v>89</v>
      </c>
      <c r="AX98" s="0" t="e">
        <f aca="false">$U$9*($F$9/12-$W$9)/(2*$K$9)*SIN(2*AH98)*COS(AH98/2)+AP98*AQ98*$N$29*($F$9/12-$S$10)*(SIN(AH98))^2/($J$9*$K$9)</f>
        <v>#VALUE!</v>
      </c>
      <c r="AY98" s="0" t="e">
        <f aca="false">AS98*COS(AH98)+AU98*SIN(AH98)</f>
        <v>#VALUE!</v>
      </c>
      <c r="AZ98" s="0" t="e">
        <f aca="false">AX98</f>
        <v>#VALUE!</v>
      </c>
      <c r="BA98" s="0" t="n">
        <f aca="false">AW98</f>
        <v>89</v>
      </c>
      <c r="BB98" s="0" t="e">
        <f aca="false">IF(AND(AV98&lt;0,AZ98*AZ99&lt;0),BA98+(BA99-BA98)*AZ98/(AZ99-AZ98),"")</f>
        <v>#VALUE!</v>
      </c>
      <c r="BC98" s="0" t="e">
        <f aca="false">IF(AND(AV98&lt;0,AZ98*AZ99&lt;0),AY98+(AY99-AY98)*AZ98/(AZ99-AZ98),"")</f>
        <v>#VALUE!</v>
      </c>
    </row>
    <row r="99" customFormat="false" ht="12.75" hidden="false" customHeight="false" outlineLevel="0" collapsed="false">
      <c r="AG99" s="0" t="n">
        <f aca="false">AG98+1</f>
        <v>90</v>
      </c>
      <c r="AH99" s="0" t="n">
        <f aca="false">AG99*PI()/180</f>
        <v>1.5707963267949</v>
      </c>
      <c r="AI99" s="0" t="n">
        <f aca="false">$D$9*SIN(AH99)</f>
        <v>2</v>
      </c>
      <c r="AJ99" s="19" t="n">
        <f aca="false">$E$9*$Q$10*SIN(AH99)/$K$9</f>
        <v>1769021.84235518</v>
      </c>
      <c r="AK99" s="0" t="e">
        <f aca="false">interpfn($Y$9:$Z$36,AI99,2)</f>
        <v>#VALUE!</v>
      </c>
      <c r="AL99" s="0" t="e">
        <f aca="false">interpfn($AA$9:$AB$27,AJ99,2)</f>
        <v>#VALUE!</v>
      </c>
      <c r="AM99" s="0" t="n">
        <f aca="false">IF(AI99&gt;0.45,1,AL99)</f>
        <v>1</v>
      </c>
      <c r="AO99" s="0" t="e">
        <f aca="false">interpfn($AE$9:$AF$22,AI99,2)</f>
        <v>#VALUE!</v>
      </c>
      <c r="AP99" s="0" t="e">
        <f aca="false">AK99*AM99</f>
        <v>#VALUE!</v>
      </c>
      <c r="AQ99" s="0" t="e">
        <f aca="false">$AN$9*AO99</f>
        <v>#VALUE!</v>
      </c>
      <c r="AS99" s="0" t="e">
        <f aca="false">$T$9*(COS(AH99))^2+$AR$9*(SIN(AH99))^2</f>
        <v>#VALUE!</v>
      </c>
      <c r="AT99" s="0" t="e">
        <f aca="false">($U$9/2)*(2*COS(2*AH99)*COS(AH99/2)-SIN(2*AH99)*SIN(AH99/2)/2)+2*AQ99*AP99*$N$29*SIN(AH99)*COS(AH99)/$J$9</f>
        <v>#VALUE!</v>
      </c>
      <c r="AU99" s="0" t="e">
        <f aca="false">($U$9/2)*(SIN(2*AH99)*COS(AH99/2))+AQ99*AP99*$N$29*(SIN(AH99))^2/$J$9</f>
        <v>#VALUE!</v>
      </c>
      <c r="AV99" s="0" t="e">
        <f aca="false">($U$9*($F$9/12-$W$9)/(2*$K$9))*(2*COS(2*AH99)*COS(AH99/2)-SIN(2*AH99)*SIN(AH99/2)/2)+2*AP99*AQ99*$N$29*($F$9/12-$S$10)*SIN(AH99)*COS(AH99)/($J$9*$K$9)</f>
        <v>#VALUE!</v>
      </c>
      <c r="AW99" s="0" t="n">
        <f aca="false">AG99</f>
        <v>90</v>
      </c>
      <c r="AX99" s="0" t="e">
        <f aca="false">$U$9*($F$9/12-$W$9)/(2*$K$9)*SIN(2*AH99)*COS(AH99/2)+AP99*AQ99*$N$29*($F$9/12-$S$10)*(SIN(AH99))^2/($J$9*$K$9)</f>
        <v>#VALUE!</v>
      </c>
      <c r="AY99" s="0" t="e">
        <f aca="false">AS99*COS(AH99)+AU99*SIN(AH99)</f>
        <v>#VALUE!</v>
      </c>
      <c r="AZ99" s="0" t="e">
        <f aca="false">AX99</f>
        <v>#VALUE!</v>
      </c>
      <c r="BA99" s="0" t="n">
        <f aca="false">AW99</f>
        <v>90</v>
      </c>
      <c r="BB99" s="0" t="e">
        <f aca="false">IF(AND(AV99&lt;0,AZ99*AZ100&lt;0),BA99+(BA100-BA99)*AZ99/(AZ100-AZ99),"")</f>
        <v>#VALUE!</v>
      </c>
      <c r="BC99" s="0" t="e">
        <f aca="false">IF(AND(AV99&lt;0,AZ99*AZ100&lt;0),AY99+(AY100-AY99)*AZ99/(AZ100-AZ99),"")</f>
        <v>#VALUE!</v>
      </c>
    </row>
    <row r="100" customFormat="false" ht="12.75" hidden="false" customHeight="false" outlineLevel="0" collapsed="false">
      <c r="AG100" s="0" t="n">
        <f aca="false">AG99+1</f>
        <v>91</v>
      </c>
      <c r="AH100" s="0" t="n">
        <f aca="false">AG100*PI()/180</f>
        <v>1.58824961931484</v>
      </c>
      <c r="AI100" s="0" t="n">
        <f aca="false">$D$9*SIN(AH100)</f>
        <v>1.99969539031278</v>
      </c>
      <c r="AJ100" s="19" t="n">
        <f aca="false">$E$9*$Q$10*SIN(AH100)/$K$9</f>
        <v>1768752.41176014</v>
      </c>
      <c r="AK100" s="0" t="e">
        <f aca="false">interpfn($Y$9:$Z$36,AI100,2)</f>
        <v>#VALUE!</v>
      </c>
      <c r="AL100" s="0" t="e">
        <f aca="false">interpfn($AA$9:$AB$27,AJ100,2)</f>
        <v>#VALUE!</v>
      </c>
      <c r="AM100" s="0" t="n">
        <f aca="false">IF(AI100&gt;0.45,1,AL100)</f>
        <v>1</v>
      </c>
      <c r="AO100" s="0" t="e">
        <f aca="false">interpfn($AE$9:$AF$22,AI100,2)</f>
        <v>#VALUE!</v>
      </c>
      <c r="AP100" s="0" t="e">
        <f aca="false">AK100*AM100</f>
        <v>#VALUE!</v>
      </c>
      <c r="AQ100" s="0" t="e">
        <f aca="false">$AN$9*AO100</f>
        <v>#VALUE!</v>
      </c>
      <c r="AS100" s="0" t="e">
        <f aca="false">-$T$14*(COS(AH100))^2+$AR$9*(SIN(AH100))^2</f>
        <v>#VALUE!</v>
      </c>
      <c r="AT100" s="0" t="e">
        <f aca="false">-($U$14/2)*(2*COS(2*AH100)*SIN(AH100/2)+SIN(2*AH100)*COS(AH100/2)/2)+2*AQ9*AP9*$N$29*SIN(AH100)*COS(AH100)/$J$9</f>
        <v>#VALUE!</v>
      </c>
      <c r="AU100" s="0" t="e">
        <f aca="false">-($U$14/2)*SIN(2*AH100)*SIN(AH100/2)+AQ100*AP100*$N$29*(SIN(AH100)^2)/$J$9</f>
        <v>#VALUE!</v>
      </c>
      <c r="AV100" s="0" t="e">
        <f aca="false">($U$14*($F$9/12-$W$14)/(2*$K$9))*(2*COS(2*AH100)*SIN(AH100/2)/2+SIN(2*AH100)*COS(AH100/2)/2)+2*AP9*AQ9*$N$29*($F$9/12-$S$10)*SIN(AH100)*COS(AH100)/($J$9*$K$9)</f>
        <v>#VALUE!</v>
      </c>
      <c r="AW100" s="0" t="n">
        <f aca="false">AG100</f>
        <v>91</v>
      </c>
      <c r="AX100" s="0" t="e">
        <f aca="false">($U$14*($F$9/12-$W$14)/(2*$K$9)*SIN(2*AH100)*SIN(AH100/2)+AP100*AQ100*$N$29*($F$9/12-$S$10)*(SIN(AH100))^2/($J$9*$K$9))</f>
        <v>#VALUE!</v>
      </c>
      <c r="AY100" s="0" t="e">
        <f aca="false">AS100*COS(AH100)+AU100*SIN(AH100)</f>
        <v>#VALUE!</v>
      </c>
      <c r="AZ100" s="0" t="e">
        <f aca="false">AX100</f>
        <v>#VALUE!</v>
      </c>
      <c r="BA100" s="0" t="n">
        <f aca="false">AW100</f>
        <v>91</v>
      </c>
      <c r="BB100" s="0" t="e">
        <f aca="false">IF(AND(AV100&lt;0,AZ100*AZ101&lt;0),BA100+(BA101-BA100)*AZ100/(AZ101-AZ100),"")</f>
        <v>#VALUE!</v>
      </c>
      <c r="BC100" s="0" t="e">
        <f aca="false">IF(AND(AV100&lt;0,AZ100*AZ101&lt;0),AY100+(AY101-AY100)*AZ100/(AZ101-AZ100),"")</f>
        <v>#VALUE!</v>
      </c>
    </row>
    <row r="101" customFormat="false" ht="12.75" hidden="false" customHeight="false" outlineLevel="0" collapsed="false">
      <c r="AG101" s="0" t="n">
        <f aca="false">AG100+1</f>
        <v>92</v>
      </c>
      <c r="AH101" s="0" t="n">
        <f aca="false">AG101*PI()/180</f>
        <v>1.60570291183478</v>
      </c>
      <c r="AI101" s="0" t="n">
        <f aca="false">$D$9*SIN(AH101)</f>
        <v>1.99878165403819</v>
      </c>
      <c r="AJ101" s="19" t="n">
        <f aca="false">$E$9*$Q$10*SIN(AH101)/$K$9</f>
        <v>1767944.20204618</v>
      </c>
      <c r="AK101" s="0" t="e">
        <f aca="false">interpfn($Y$9:$Z$36,AI101,2)</f>
        <v>#VALUE!</v>
      </c>
      <c r="AL101" s="0" t="e">
        <f aca="false">interpfn($AA$9:$AB$27,AJ101,2)</f>
        <v>#VALUE!</v>
      </c>
      <c r="AM101" s="0" t="n">
        <f aca="false">IF(AI101&gt;0.45,1,AL101)</f>
        <v>1</v>
      </c>
      <c r="AO101" s="0" t="e">
        <f aca="false">interpfn($AE$9:$AF$22,AI101,2)</f>
        <v>#VALUE!</v>
      </c>
      <c r="AP101" s="0" t="e">
        <f aca="false">AK101*AM101</f>
        <v>#VALUE!</v>
      </c>
      <c r="AQ101" s="0" t="e">
        <f aca="false">$AN$9*AO101</f>
        <v>#VALUE!</v>
      </c>
      <c r="AS101" s="0" t="e">
        <f aca="false">-$T$14*(COS(AH101))^2+$AR$9*(SIN(AH101))^2</f>
        <v>#VALUE!</v>
      </c>
      <c r="AT101" s="0" t="e">
        <f aca="false">-($U$14/2)*(2*COS(2*AH101)*SIN(AH101/2)+SIN(2*AH101)*COS(AH101/2)/2)+2*AQ10*AP10*$N$29*SIN(AH101)*COS(AH101)/$J$9</f>
        <v>#VALUE!</v>
      </c>
      <c r="AU101" s="0" t="e">
        <f aca="false">-($U$14/2)*SIN(2*AH101)*SIN(AH101/2)+AQ101*AP101*$N$29*(SIN(AH101)^2)/$J$9</f>
        <v>#VALUE!</v>
      </c>
      <c r="AV101" s="0" t="e">
        <f aca="false">($U$14*($F$9/12-$W$14)/(2*$K$9))*(2*COS(2*AH101)*SIN(AH101/2)/2+SIN(2*AH101)*COS(AH101/2)/2)+2*AP10*AQ10*$N$29*($F$9/12-$S$10)*SIN(AH101)*COS(AH101)/($J$9*$K$9)</f>
        <v>#VALUE!</v>
      </c>
      <c r="AW101" s="0" t="n">
        <f aca="false">AG101</f>
        <v>92</v>
      </c>
      <c r="AX101" s="0" t="e">
        <f aca="false">($U$14*($F$9/12-$W$14)/(2*$K$9)*SIN(2*AH101)*SIN(AH101/2)+AP101*AQ101*$N$29*($F$9/12-$S$10)*(SIN(AH101))^2/($J$9*$K$9))</f>
        <v>#VALUE!</v>
      </c>
      <c r="AY101" s="0" t="e">
        <f aca="false">AS101*COS(AH101)+AU101*SIN(AH101)</f>
        <v>#VALUE!</v>
      </c>
      <c r="AZ101" s="0" t="e">
        <f aca="false">AX101</f>
        <v>#VALUE!</v>
      </c>
      <c r="BA101" s="0" t="n">
        <f aca="false">AW101</f>
        <v>92</v>
      </c>
      <c r="BB101" s="0" t="e">
        <f aca="false">IF(AND(AV101&lt;0,AZ101*AZ102&lt;0),BA101+(BA102-BA101)*AZ101/(AZ102-AZ101),"")</f>
        <v>#VALUE!</v>
      </c>
      <c r="BC101" s="0" t="e">
        <f aca="false">IF(AND(AV101&lt;0,AZ101*AZ102&lt;0),AY101+(AY102-AY101)*AZ101/(AZ102-AZ101),"")</f>
        <v>#VALUE!</v>
      </c>
    </row>
    <row r="102" customFormat="false" ht="12.75" hidden="false" customHeight="false" outlineLevel="0" collapsed="false">
      <c r="AG102" s="0" t="n">
        <f aca="false">AG101+1</f>
        <v>93</v>
      </c>
      <c r="AH102" s="0" t="n">
        <f aca="false">AG102*PI()/180</f>
        <v>1.62315620435473</v>
      </c>
      <c r="AI102" s="0" t="n">
        <f aca="false">$D$9*SIN(AH102)</f>
        <v>1.99725906950915</v>
      </c>
      <c r="AJ102" s="19" t="n">
        <f aca="false">$E$9*$Q$10*SIN(AH102)/$K$9</f>
        <v>1766597.45940183</v>
      </c>
      <c r="AK102" s="0" t="e">
        <f aca="false">interpfn($Y$9:$Z$36,AI102,2)</f>
        <v>#VALUE!</v>
      </c>
      <c r="AL102" s="0" t="e">
        <f aca="false">interpfn($AA$9:$AB$27,AJ102,2)</f>
        <v>#VALUE!</v>
      </c>
      <c r="AM102" s="0" t="n">
        <f aca="false">IF(AI102&gt;0.45,1,AL102)</f>
        <v>1</v>
      </c>
      <c r="AO102" s="0" t="e">
        <f aca="false">interpfn($AE$9:$AF$22,AI102,2)</f>
        <v>#VALUE!</v>
      </c>
      <c r="AP102" s="0" t="e">
        <f aca="false">AK102*AM102</f>
        <v>#VALUE!</v>
      </c>
      <c r="AQ102" s="0" t="e">
        <f aca="false">$AN$9*AO102</f>
        <v>#VALUE!</v>
      </c>
      <c r="AS102" s="0" t="e">
        <f aca="false">-$T$14*(COS(AH102))^2+$AR$9*(SIN(AH102))^2</f>
        <v>#VALUE!</v>
      </c>
      <c r="AT102" s="0" t="e">
        <f aca="false">-($U$14/2)*(2*COS(2*AH102)*SIN(AH102/2)+SIN(2*AH102)*COS(AH102/2)/2)+2*AQ11*AP11*$N$29*SIN(AH102)*COS(AH102)/$J$9</f>
        <v>#VALUE!</v>
      </c>
      <c r="AU102" s="0" t="e">
        <f aca="false">-($U$14/2)*SIN(2*AH102)*SIN(AH102/2)+AQ102*AP102*$N$29*(SIN(AH102)^2)/$J$9</f>
        <v>#VALUE!</v>
      </c>
      <c r="AV102" s="0" t="e">
        <f aca="false">($U$14*($F$9/12-$W$14)/(2*$K$9))*(2*COS(2*AH102)*SIN(AH102/2)/2+SIN(2*AH102)*COS(AH102/2)/2)+2*AP11*AQ11*$N$29*($F$9/12-$S$10)*SIN(AH102)*COS(AH102)/($J$9*$K$9)</f>
        <v>#VALUE!</v>
      </c>
      <c r="AW102" s="0" t="n">
        <f aca="false">AG102</f>
        <v>93</v>
      </c>
      <c r="AX102" s="0" t="e">
        <f aca="false">($U$14*($F$9/12-$W$14)/(2*$K$9)*SIN(2*AH102)*SIN(AH102/2)+AP102*AQ102*$N$29*($F$9/12-$S$10)*(SIN(AH102))^2/($J$9*$K$9))</f>
        <v>#VALUE!</v>
      </c>
      <c r="AY102" s="0" t="e">
        <f aca="false">AS102*COS(AH102)+AU102*SIN(AH102)</f>
        <v>#VALUE!</v>
      </c>
      <c r="AZ102" s="0" t="e">
        <f aca="false">AX102</f>
        <v>#VALUE!</v>
      </c>
      <c r="BA102" s="0" t="n">
        <f aca="false">AW102</f>
        <v>93</v>
      </c>
      <c r="BB102" s="0" t="e">
        <f aca="false">IF(AND(AV102&lt;0,AZ102*AZ103&lt;0),BA102+(BA103-BA102)*AZ102/(AZ103-AZ102),"")</f>
        <v>#VALUE!</v>
      </c>
      <c r="BC102" s="0" t="e">
        <f aca="false">IF(AND(AV102&lt;0,AZ102*AZ103&lt;0),AY102+(AY103-AY102)*AZ102/(AZ103-AZ102),"")</f>
        <v>#VALUE!</v>
      </c>
    </row>
    <row r="103" customFormat="false" ht="12.75" hidden="false" customHeight="false" outlineLevel="0" collapsed="false">
      <c r="AG103" s="0" t="n">
        <f aca="false">AG102+1</f>
        <v>94</v>
      </c>
      <c r="AH103" s="0" t="n">
        <f aca="false">AG103*PI()/180</f>
        <v>1.64060949687467</v>
      </c>
      <c r="AI103" s="0" t="n">
        <f aca="false">$D$9*SIN(AH103)</f>
        <v>1.99512810051965</v>
      </c>
      <c r="AJ103" s="19" t="n">
        <f aca="false">$E$9*$Q$10*SIN(AH103)/$K$9</f>
        <v>1764712.59405793</v>
      </c>
      <c r="AK103" s="0" t="e">
        <f aca="false">interpfn($Y$9:$Z$36,AI103,2)</f>
        <v>#VALUE!</v>
      </c>
      <c r="AL103" s="0" t="e">
        <f aca="false">interpfn($AA$9:$AB$27,AJ103,2)</f>
        <v>#VALUE!</v>
      </c>
      <c r="AM103" s="0" t="n">
        <f aca="false">IF(AI103&gt;0.45,1,AL103)</f>
        <v>1</v>
      </c>
      <c r="AO103" s="0" t="e">
        <f aca="false">interpfn($AE$9:$AF$22,AI103,2)</f>
        <v>#VALUE!</v>
      </c>
      <c r="AP103" s="0" t="e">
        <f aca="false">AK103*AM103</f>
        <v>#VALUE!</v>
      </c>
      <c r="AQ103" s="0" t="e">
        <f aca="false">$AN$9*AO103</f>
        <v>#VALUE!</v>
      </c>
      <c r="AS103" s="0" t="e">
        <f aca="false">-$T$14*(COS(AH103))^2+$AR$9*(SIN(AH103))^2</f>
        <v>#VALUE!</v>
      </c>
      <c r="AT103" s="0" t="e">
        <f aca="false">-($U$14/2)*(2*COS(2*AH103)*SIN(AH103/2)+SIN(2*AH103)*COS(AH103/2)/2)+2*AQ12*AP12*$N$29*SIN(AH103)*COS(AH103)/$J$9</f>
        <v>#VALUE!</v>
      </c>
      <c r="AU103" s="0" t="e">
        <f aca="false">-($U$14/2)*SIN(2*AH103)*SIN(AH103/2)+AQ103*AP103*$N$29*(SIN(AH103)^2)/$J$9</f>
        <v>#VALUE!</v>
      </c>
      <c r="AV103" s="0" t="e">
        <f aca="false">($U$14*($F$9/12-$W$14)/(2*$K$9))*(2*COS(2*AH103)*SIN(AH103/2)/2+SIN(2*AH103)*COS(AH103/2)/2)+2*AP12*AQ12*$N$29*($F$9/12-$S$10)*SIN(AH103)*COS(AH103)/($J$9*$K$9)</f>
        <v>#VALUE!</v>
      </c>
      <c r="AW103" s="0" t="n">
        <f aca="false">AG103</f>
        <v>94</v>
      </c>
      <c r="AX103" s="0" t="e">
        <f aca="false">($U$14*($F$9/12-$W$14)/(2*$K$9)*SIN(2*AH103)*SIN(AH103/2)+AP103*AQ103*$N$29*($F$9/12-$S$10)*(SIN(AH103))^2/($J$9*$K$9))</f>
        <v>#VALUE!</v>
      </c>
      <c r="AY103" s="0" t="e">
        <f aca="false">AS103*COS(AH103)+AU103*SIN(AH103)</f>
        <v>#VALUE!</v>
      </c>
      <c r="AZ103" s="0" t="e">
        <f aca="false">AX103</f>
        <v>#VALUE!</v>
      </c>
      <c r="BA103" s="0" t="n">
        <f aca="false">AW103</f>
        <v>94</v>
      </c>
      <c r="BB103" s="0" t="e">
        <f aca="false">IF(AND(AV103&lt;0,AZ103*AZ104&lt;0),BA103+(BA104-BA103)*AZ103/(AZ104-AZ103),"")</f>
        <v>#VALUE!</v>
      </c>
      <c r="BC103" s="0" t="e">
        <f aca="false">IF(AND(AV103&lt;0,AZ103*AZ104&lt;0),AY103+(AY104-AY103)*AZ103/(AZ104-AZ103),"")</f>
        <v>#VALUE!</v>
      </c>
    </row>
    <row r="104" customFormat="false" ht="12.75" hidden="false" customHeight="false" outlineLevel="0" collapsed="false">
      <c r="AG104" s="0" t="n">
        <f aca="false">AG103+1</f>
        <v>95</v>
      </c>
      <c r="AH104" s="0" t="n">
        <f aca="false">AG104*PI()/180</f>
        <v>1.65806278939461</v>
      </c>
      <c r="AI104" s="0" t="n">
        <f aca="false">$D$9*SIN(AH104)</f>
        <v>1.99238939618349</v>
      </c>
      <c r="AJ104" s="19" t="n">
        <f aca="false">$E$9*$Q$10*SIN(AH104)/$K$9</f>
        <v>1762290.18016272</v>
      </c>
      <c r="AK104" s="0" t="e">
        <f aca="false">interpfn($Y$9:$Z$36,AI104,2)</f>
        <v>#VALUE!</v>
      </c>
      <c r="AL104" s="0" t="e">
        <f aca="false">interpfn($AA$9:$AB$27,AJ104,2)</f>
        <v>#VALUE!</v>
      </c>
      <c r="AM104" s="0" t="n">
        <f aca="false">IF(AI104&gt;0.45,1,AL104)</f>
        <v>1</v>
      </c>
      <c r="AO104" s="0" t="e">
        <f aca="false">interpfn($AE$9:$AF$22,AI104,2)</f>
        <v>#VALUE!</v>
      </c>
      <c r="AP104" s="0" t="e">
        <f aca="false">AK104*AM104</f>
        <v>#VALUE!</v>
      </c>
      <c r="AQ104" s="0" t="e">
        <f aca="false">$AN$9*AO104</f>
        <v>#VALUE!</v>
      </c>
      <c r="AS104" s="0" t="e">
        <f aca="false">-$T$14*(COS(AH104))^2+$AR$9*(SIN(AH104))^2</f>
        <v>#VALUE!</v>
      </c>
      <c r="AT104" s="0" t="e">
        <f aca="false">-($U$14/2)*(2*COS(2*AH104)*SIN(AH104/2)+SIN(2*AH104)*COS(AH104/2)/2)+2*AQ13*AP13*$N$29*SIN(AH104)*COS(AH104)/$J$9</f>
        <v>#VALUE!</v>
      </c>
      <c r="AU104" s="0" t="e">
        <f aca="false">-($U$14/2)*SIN(2*AH104)*SIN(AH104/2)+AQ104*AP104*$N$29*(SIN(AH104)^2)/$J$9</f>
        <v>#VALUE!</v>
      </c>
      <c r="AV104" s="0" t="e">
        <f aca="false">($U$14*($F$9/12-$W$14)/(2*$K$9))*(2*COS(2*AH104)*SIN(AH104/2)/2+SIN(2*AH104)*COS(AH104/2)/2)+2*AP13*AQ13*$N$29*($F$9/12-$S$10)*SIN(AH104)*COS(AH104)/($J$9*$K$9)</f>
        <v>#VALUE!</v>
      </c>
      <c r="AW104" s="0" t="n">
        <f aca="false">AG104</f>
        <v>95</v>
      </c>
      <c r="AX104" s="0" t="e">
        <f aca="false">($U$14*($F$9/12-$W$14)/(2*$K$9)*SIN(2*AH104)*SIN(AH104/2)+AP104*AQ104*$N$29*($F$9/12-$S$10)*(SIN(AH104))^2/($J$9*$K$9))</f>
        <v>#VALUE!</v>
      </c>
      <c r="AY104" s="0" t="e">
        <f aca="false">AS104*COS(AH104)+AU104*SIN(AH104)</f>
        <v>#VALUE!</v>
      </c>
      <c r="AZ104" s="0" t="e">
        <f aca="false">AX104</f>
        <v>#VALUE!</v>
      </c>
      <c r="BA104" s="0" t="n">
        <f aca="false">AW104</f>
        <v>95</v>
      </c>
      <c r="BB104" s="0" t="e">
        <f aca="false">IF(AND(AV104&lt;0,AZ104*AZ105&lt;0),BA104+(BA105-BA104)*AZ104/(AZ105-AZ104),"")</f>
        <v>#VALUE!</v>
      </c>
      <c r="BC104" s="0" t="e">
        <f aca="false">IF(AND(AV104&lt;0,AZ104*AZ105&lt;0),AY104+(AY105-AY104)*AZ104/(AZ105-AZ104),"")</f>
        <v>#VALUE!</v>
      </c>
    </row>
    <row r="105" customFormat="false" ht="12.75" hidden="false" customHeight="false" outlineLevel="0" collapsed="false">
      <c r="AG105" s="0" t="n">
        <f aca="false">AG104+1</f>
        <v>96</v>
      </c>
      <c r="AH105" s="0" t="n">
        <f aca="false">AG105*PI()/180</f>
        <v>1.67551608191456</v>
      </c>
      <c r="AI105" s="0" t="n">
        <f aca="false">$D$9*SIN(AH105)</f>
        <v>1.98904379073655</v>
      </c>
      <c r="AJ105" s="19" t="n">
        <f aca="false">$E$9*$Q$10*SIN(AH105)/$K$9</f>
        <v>1759330.95560694</v>
      </c>
      <c r="AK105" s="0" t="e">
        <f aca="false">interpfn($Y$9:$Z$36,AI105,2)</f>
        <v>#VALUE!</v>
      </c>
      <c r="AL105" s="0" t="e">
        <f aca="false">interpfn($AA$9:$AB$27,AJ105,2)</f>
        <v>#VALUE!</v>
      </c>
      <c r="AM105" s="0" t="n">
        <f aca="false">IF(AI105&gt;0.45,1,AL105)</f>
        <v>1</v>
      </c>
      <c r="AO105" s="0" t="e">
        <f aca="false">interpfn($AE$9:$AF$22,AI105,2)</f>
        <v>#VALUE!</v>
      </c>
      <c r="AP105" s="0" t="e">
        <f aca="false">AK105*AM105</f>
        <v>#VALUE!</v>
      </c>
      <c r="AQ105" s="0" t="e">
        <f aca="false">$AN$9*AO105</f>
        <v>#VALUE!</v>
      </c>
      <c r="AS105" s="0" t="e">
        <f aca="false">-$T$14*(COS(AH105))^2+$AR$9*(SIN(AH105))^2</f>
        <v>#VALUE!</v>
      </c>
      <c r="AT105" s="0" t="e">
        <f aca="false">-($U$14/2)*(2*COS(2*AH105)*SIN(AH105/2)+SIN(2*AH105)*COS(AH105/2)/2)+2*AQ14*AP14*$N$29*SIN(AH105)*COS(AH105)/$J$9</f>
        <v>#VALUE!</v>
      </c>
      <c r="AU105" s="0" t="e">
        <f aca="false">-($U$14/2)*SIN(2*AH105)*SIN(AH105/2)+AQ105*AP105*$N$29*(SIN(AH105)^2)/$J$9</f>
        <v>#VALUE!</v>
      </c>
      <c r="AV105" s="0" t="e">
        <f aca="false">($U$14*($F$9/12-$W$14)/(2*$K$9))*(2*COS(2*AH105)*SIN(AH105/2)/2+SIN(2*AH105)*COS(AH105/2)/2)+2*AP14*AQ14*$N$29*($F$9/12-$S$10)*SIN(AH105)*COS(AH105)/($J$9*$K$9)</f>
        <v>#VALUE!</v>
      </c>
      <c r="AW105" s="0" t="n">
        <f aca="false">AG105</f>
        <v>96</v>
      </c>
      <c r="AX105" s="0" t="e">
        <f aca="false">($U$14*($F$9/12-$W$14)/(2*$K$9)*SIN(2*AH105)*SIN(AH105/2)+AP105*AQ105*$N$29*($F$9/12-$S$10)*(SIN(AH105))^2/($J$9*$K$9))</f>
        <v>#VALUE!</v>
      </c>
      <c r="AY105" s="0" t="e">
        <f aca="false">AS105*COS(AH105)+AU105*SIN(AH105)</f>
        <v>#VALUE!</v>
      </c>
      <c r="AZ105" s="0" t="e">
        <f aca="false">AX105</f>
        <v>#VALUE!</v>
      </c>
      <c r="BA105" s="0" t="n">
        <f aca="false">AW105</f>
        <v>96</v>
      </c>
      <c r="BB105" s="0" t="e">
        <f aca="false">IF(AND(AV105&lt;0,AZ105*AZ106&lt;0),BA105+(BA106-BA105)*AZ105/(AZ106-AZ105),"")</f>
        <v>#VALUE!</v>
      </c>
      <c r="BC105" s="0" t="e">
        <f aca="false">IF(AND(AV105&lt;0,AZ105*AZ106&lt;0),AY105+(AY106-AY105)*AZ105/(AZ106-AZ105),"")</f>
        <v>#VALUE!</v>
      </c>
    </row>
    <row r="106" customFormat="false" ht="12.75" hidden="false" customHeight="false" outlineLevel="0" collapsed="false">
      <c r="AG106" s="0" t="n">
        <f aca="false">AG105+1</f>
        <v>97</v>
      </c>
      <c r="AH106" s="0" t="n">
        <f aca="false">AG106*PI()/180</f>
        <v>1.6929693744345</v>
      </c>
      <c r="AI106" s="0" t="n">
        <f aca="false">$D$9*SIN(AH106)</f>
        <v>1.98509230328264</v>
      </c>
      <c r="AJ106" s="19" t="n">
        <f aca="false">$E$9*$Q$10*SIN(AH106)/$K$9</f>
        <v>1755835.82179907</v>
      </c>
      <c r="AK106" s="0" t="e">
        <f aca="false">interpfn($Y$9:$Z$36,AI106,2)</f>
        <v>#VALUE!</v>
      </c>
      <c r="AL106" s="0" t="e">
        <f aca="false">interpfn($AA$9:$AB$27,AJ106,2)</f>
        <v>#VALUE!</v>
      </c>
      <c r="AM106" s="0" t="n">
        <f aca="false">IF(AI106&gt;0.45,1,AL106)</f>
        <v>1</v>
      </c>
      <c r="AO106" s="0" t="e">
        <f aca="false">interpfn($AE$9:$AF$22,AI106,2)</f>
        <v>#VALUE!</v>
      </c>
      <c r="AP106" s="0" t="e">
        <f aca="false">AK106*AM106</f>
        <v>#VALUE!</v>
      </c>
      <c r="AQ106" s="0" t="e">
        <f aca="false">$AN$9*AO106</f>
        <v>#VALUE!</v>
      </c>
      <c r="AS106" s="0" t="e">
        <f aca="false">-$T$14*(COS(AH106))^2+$AR$9*(SIN(AH106))^2</f>
        <v>#VALUE!</v>
      </c>
      <c r="AT106" s="0" t="e">
        <f aca="false">-($U$14/2)*(2*COS(2*AH106)*SIN(AH106/2)+SIN(2*AH106)*COS(AH106/2)/2)+2*AQ15*AP15*$N$29*SIN(AH106)*COS(AH106)/$J$9</f>
        <v>#VALUE!</v>
      </c>
      <c r="AU106" s="0" t="e">
        <f aca="false">-($U$14/2)*SIN(2*AH106)*SIN(AH106/2)+AQ106*AP106*$N$29*(SIN(AH106)^2)/$J$9</f>
        <v>#VALUE!</v>
      </c>
      <c r="AV106" s="0" t="e">
        <f aca="false">($U$14*($F$9/12-$W$14)/(2*$K$9))*(2*COS(2*AH106)*SIN(AH106/2)/2+SIN(2*AH106)*COS(AH106/2)/2)+2*AP15*AQ15*$N$29*($F$9/12-$S$10)*SIN(AH106)*COS(AH106)/($J$9*$K$9)</f>
        <v>#VALUE!</v>
      </c>
      <c r="AW106" s="0" t="n">
        <f aca="false">AG106</f>
        <v>97</v>
      </c>
      <c r="AX106" s="0" t="e">
        <f aca="false">($U$14*($F$9/12-$W$14)/(2*$K$9)*SIN(2*AH106)*SIN(AH106/2)+AP106*AQ106*$N$29*($F$9/12-$S$10)*(SIN(AH106))^2/($J$9*$K$9))</f>
        <v>#VALUE!</v>
      </c>
      <c r="AY106" s="0" t="e">
        <f aca="false">AS106*COS(AH106)+AU106*SIN(AH106)</f>
        <v>#VALUE!</v>
      </c>
      <c r="AZ106" s="0" t="e">
        <f aca="false">AX106</f>
        <v>#VALUE!</v>
      </c>
      <c r="BA106" s="0" t="n">
        <f aca="false">AW106</f>
        <v>97</v>
      </c>
      <c r="BB106" s="0" t="e">
        <f aca="false">IF(AND(AV106&lt;0,AZ106*AZ107&lt;0),BA106+(BA107-BA106)*AZ106/(AZ107-AZ106),"")</f>
        <v>#VALUE!</v>
      </c>
      <c r="BC106" s="0" t="e">
        <f aca="false">IF(AND(AV106&lt;0,AZ106*AZ107&lt;0),AY106+(AY107-AY106)*AZ106/(AZ107-AZ106),"")</f>
        <v>#VALUE!</v>
      </c>
    </row>
    <row r="107" customFormat="false" ht="12.75" hidden="false" customHeight="false" outlineLevel="0" collapsed="false">
      <c r="AG107" s="0" t="n">
        <f aca="false">AG106+1</f>
        <v>98</v>
      </c>
      <c r="AH107" s="0" t="n">
        <f aca="false">AG107*PI()/180</f>
        <v>1.71042266695444</v>
      </c>
      <c r="AI107" s="0" t="n">
        <f aca="false">$D$9*SIN(AH107)</f>
        <v>1.98053613748314</v>
      </c>
      <c r="AJ107" s="19" t="n">
        <f aca="false">$E$9*$Q$10*SIN(AH107)/$K$9</f>
        <v>1751805.84339071</v>
      </c>
      <c r="AK107" s="0" t="e">
        <f aca="false">interpfn($Y$9:$Z$36,AI107,2)</f>
        <v>#VALUE!</v>
      </c>
      <c r="AL107" s="0" t="e">
        <f aca="false">interpfn($AA$9:$AB$27,AJ107,2)</f>
        <v>#VALUE!</v>
      </c>
      <c r="AM107" s="0" t="n">
        <f aca="false">IF(AI107&gt;0.45,1,AL107)</f>
        <v>1</v>
      </c>
      <c r="AO107" s="0" t="e">
        <f aca="false">interpfn($AE$9:$AF$22,AI107,2)</f>
        <v>#VALUE!</v>
      </c>
      <c r="AP107" s="0" t="e">
        <f aca="false">AK107*AM107</f>
        <v>#VALUE!</v>
      </c>
      <c r="AQ107" s="0" t="e">
        <f aca="false">$AN$9*AO107</f>
        <v>#VALUE!</v>
      </c>
      <c r="AS107" s="0" t="e">
        <f aca="false">-$T$14*(COS(AH107))^2+$AR$9*(SIN(AH107))^2</f>
        <v>#VALUE!</v>
      </c>
      <c r="AT107" s="0" t="e">
        <f aca="false">-($U$14/2)*(2*COS(2*AH107)*SIN(AH107/2)+SIN(2*AH107)*COS(AH107/2)/2)+2*AQ16*AP16*$N$29*SIN(AH107)*COS(AH107)/$J$9</f>
        <v>#VALUE!</v>
      </c>
      <c r="AU107" s="0" t="e">
        <f aca="false">-($U$14/2)*SIN(2*AH107)*SIN(AH107/2)+AQ107*AP107*$N$29*(SIN(AH107)^2)/$J$9</f>
        <v>#VALUE!</v>
      </c>
      <c r="AV107" s="0" t="e">
        <f aca="false">($U$14*($F$9/12-$W$14)/(2*$K$9))*(2*COS(2*AH107)*SIN(AH107/2)/2+SIN(2*AH107)*COS(AH107/2)/2)+2*AP16*AQ16*$N$29*($F$9/12-$S$10)*SIN(AH107)*COS(AH107)/($J$9*$K$9)</f>
        <v>#VALUE!</v>
      </c>
      <c r="AW107" s="0" t="n">
        <f aca="false">AG107</f>
        <v>98</v>
      </c>
      <c r="AX107" s="0" t="e">
        <f aca="false">($U$14*($F$9/12-$W$14)/(2*$K$9)*SIN(2*AH107)*SIN(AH107/2)+AP107*AQ107*$N$29*($F$9/12-$S$10)*(SIN(AH107))^2/($J$9*$K$9))</f>
        <v>#VALUE!</v>
      </c>
      <c r="AY107" s="0" t="e">
        <f aca="false">AS107*COS(AH107)+AU107*SIN(AH107)</f>
        <v>#VALUE!</v>
      </c>
      <c r="AZ107" s="0" t="e">
        <f aca="false">AX107</f>
        <v>#VALUE!</v>
      </c>
      <c r="BA107" s="0" t="n">
        <f aca="false">AW107</f>
        <v>98</v>
      </c>
      <c r="BB107" s="0" t="e">
        <f aca="false">IF(AND(AV107&lt;0,AZ107*AZ108&lt;0),BA107+(BA108-BA107)*AZ107/(AZ108-AZ107),"")</f>
        <v>#VALUE!</v>
      </c>
      <c r="BC107" s="0" t="e">
        <f aca="false">IF(AND(AV107&lt;0,AZ107*AZ108&lt;0),AY107+(AY108-AY107)*AZ107/(AZ108-AZ107),"")</f>
        <v>#VALUE!</v>
      </c>
    </row>
    <row r="108" customFormat="false" ht="12.75" hidden="false" customHeight="false" outlineLevel="0" collapsed="false">
      <c r="AG108" s="0" t="n">
        <f aca="false">AG107+1</f>
        <v>99</v>
      </c>
      <c r="AH108" s="0" t="n">
        <f aca="false">AG108*PI()/180</f>
        <v>1.72787595947439</v>
      </c>
      <c r="AI108" s="0" t="n">
        <f aca="false">$D$9*SIN(AH108)</f>
        <v>1.97537668119028</v>
      </c>
      <c r="AJ108" s="19" t="n">
        <f aca="false">$E$9*$Q$10*SIN(AH108)/$K$9</f>
        <v>1747242.24795234</v>
      </c>
      <c r="AK108" s="0" t="e">
        <f aca="false">interpfn($Y$9:$Z$36,AI108,2)</f>
        <v>#VALUE!</v>
      </c>
      <c r="AL108" s="0" t="e">
        <f aca="false">interpfn($AA$9:$AB$27,AJ108,2)</f>
        <v>#VALUE!</v>
      </c>
      <c r="AM108" s="0" t="n">
        <f aca="false">IF(AI108&gt;0.45,1,AL108)</f>
        <v>1</v>
      </c>
      <c r="AO108" s="0" t="e">
        <f aca="false">interpfn($AE$9:$AF$22,AI108,2)</f>
        <v>#VALUE!</v>
      </c>
      <c r="AP108" s="0" t="e">
        <f aca="false">AK108*AM108</f>
        <v>#VALUE!</v>
      </c>
      <c r="AQ108" s="0" t="e">
        <f aca="false">$AN$9*AO108</f>
        <v>#VALUE!</v>
      </c>
      <c r="AS108" s="0" t="e">
        <f aca="false">-$T$14*(COS(AH108))^2+$AR$9*(SIN(AH108))^2</f>
        <v>#VALUE!</v>
      </c>
      <c r="AT108" s="0" t="e">
        <f aca="false">-($U$14/2)*(2*COS(2*AH108)*SIN(AH108/2)+SIN(2*AH108)*COS(AH108/2)/2)+2*AQ17*AP17*$N$29*SIN(AH108)*COS(AH108)/$J$9</f>
        <v>#VALUE!</v>
      </c>
      <c r="AU108" s="0" t="e">
        <f aca="false">-($U$14/2)*SIN(2*AH108)*SIN(AH108/2)+AQ108*AP108*$N$29*(SIN(AH108)^2)/$J$9</f>
        <v>#VALUE!</v>
      </c>
      <c r="AV108" s="0" t="e">
        <f aca="false">($U$14*($F$9/12-$W$14)/(2*$K$9))*(2*COS(2*AH108)*SIN(AH108/2)/2+SIN(2*AH108)*COS(AH108/2)/2)+2*AP17*AQ17*$N$29*($F$9/12-$S$10)*SIN(AH108)*COS(AH108)/($J$9*$K$9)</f>
        <v>#VALUE!</v>
      </c>
      <c r="AW108" s="0" t="n">
        <f aca="false">AG108</f>
        <v>99</v>
      </c>
      <c r="AX108" s="0" t="e">
        <f aca="false">($U$14*($F$9/12-$W$14)/(2*$K$9)*SIN(2*AH108)*SIN(AH108/2)+AP108*AQ108*$N$29*($F$9/12-$S$10)*(SIN(AH108))^2/($J$9*$K$9))</f>
        <v>#VALUE!</v>
      </c>
      <c r="AY108" s="0" t="e">
        <f aca="false">AS108*COS(AH108)+AU108*SIN(AH108)</f>
        <v>#VALUE!</v>
      </c>
      <c r="AZ108" s="0" t="e">
        <f aca="false">AX108</f>
        <v>#VALUE!</v>
      </c>
      <c r="BA108" s="0" t="n">
        <f aca="false">AW108</f>
        <v>99</v>
      </c>
      <c r="BB108" s="0" t="e">
        <f aca="false">IF(AND(AV108&lt;0,AZ108*AZ109&lt;0),BA108+(BA109-BA108)*AZ108/(AZ109-AZ108),"")</f>
        <v>#VALUE!</v>
      </c>
      <c r="BC108" s="0" t="e">
        <f aca="false">IF(AND(AV108&lt;0,AZ108*AZ109&lt;0),AY108+(AY109-AY108)*AZ108/(AZ109-AZ108),"")</f>
        <v>#VALUE!</v>
      </c>
    </row>
    <row r="109" customFormat="false" ht="12.75" hidden="false" customHeight="false" outlineLevel="0" collapsed="false">
      <c r="AG109" s="0" t="n">
        <f aca="false">AG108+1</f>
        <v>100</v>
      </c>
      <c r="AH109" s="0" t="n">
        <f aca="false">AG109*PI()/180</f>
        <v>1.74532925199433</v>
      </c>
      <c r="AI109" s="0" t="n">
        <f aca="false">$D$9*SIN(AH109)</f>
        <v>1.96961550602442</v>
      </c>
      <c r="AJ109" s="19" t="n">
        <f aca="false">$E$9*$Q$10*SIN(AH109)/$K$9</f>
        <v>1742146.42559932</v>
      </c>
      <c r="AK109" s="0" t="e">
        <f aca="false">interpfn($Y$9:$Z$36,AI109,2)</f>
        <v>#VALUE!</v>
      </c>
      <c r="AL109" s="0" t="e">
        <f aca="false">interpfn($AA$9:$AB$27,AJ109,2)</f>
        <v>#VALUE!</v>
      </c>
      <c r="AM109" s="0" t="n">
        <f aca="false">IF(AI109&gt;0.45,1,AL109)</f>
        <v>1</v>
      </c>
      <c r="AO109" s="0" t="e">
        <f aca="false">interpfn($AE$9:$AF$22,AI109,2)</f>
        <v>#VALUE!</v>
      </c>
      <c r="AP109" s="0" t="e">
        <f aca="false">AK109*AM109</f>
        <v>#VALUE!</v>
      </c>
      <c r="AQ109" s="0" t="e">
        <f aca="false">$AN$9*AO109</f>
        <v>#VALUE!</v>
      </c>
      <c r="AS109" s="0" t="e">
        <f aca="false">-$T$14*(COS(AH109))^2+$AR$9*(SIN(AH109))^2</f>
        <v>#VALUE!</v>
      </c>
      <c r="AT109" s="0" t="e">
        <f aca="false">-($U$14/2)*(2*COS(2*AH109)*SIN(AH109/2)+SIN(2*AH109)*COS(AH109/2)/2)+2*AQ18*AP18*$N$29*SIN(AH109)*COS(AH109)/$J$9</f>
        <v>#VALUE!</v>
      </c>
      <c r="AU109" s="0" t="e">
        <f aca="false">-($U$14/2)*SIN(2*AH109)*SIN(AH109/2)+AQ109*AP109*$N$29*(SIN(AH109)^2)/$J$9</f>
        <v>#VALUE!</v>
      </c>
      <c r="AV109" s="0" t="e">
        <f aca="false">($U$14*($F$9/12-$W$14)/(2*$K$9))*(2*COS(2*AH109)*SIN(AH109/2)/2+SIN(2*AH109)*COS(AH109/2)/2)+2*AP18*AQ18*$N$29*($F$9/12-$S$10)*SIN(AH109)*COS(AH109)/($J$9*$K$9)</f>
        <v>#VALUE!</v>
      </c>
      <c r="AW109" s="0" t="n">
        <f aca="false">AG109</f>
        <v>100</v>
      </c>
      <c r="AX109" s="0" t="e">
        <f aca="false">($U$14*($F$9/12-$W$14)/(2*$K$9)*SIN(2*AH109)*SIN(AH109/2)+AP109*AQ109*$N$29*($F$9/12-$S$10)*(SIN(AH109))^2/($J$9*$K$9))</f>
        <v>#VALUE!</v>
      </c>
      <c r="AY109" s="0" t="e">
        <f aca="false">AS109*COS(AH109)+AU109*SIN(AH109)</f>
        <v>#VALUE!</v>
      </c>
      <c r="AZ109" s="0" t="e">
        <f aca="false">AX109</f>
        <v>#VALUE!</v>
      </c>
      <c r="BA109" s="0" t="n">
        <f aca="false">AW109</f>
        <v>100</v>
      </c>
      <c r="BB109" s="0" t="e">
        <f aca="false">IF(AND(AV109&lt;0,AZ109*AZ110&lt;0),BA109+(BA110-BA109)*AZ109/(AZ110-AZ109),"")</f>
        <v>#VALUE!</v>
      </c>
      <c r="BC109" s="0" t="e">
        <f aca="false">IF(AND(AV109&lt;0,AZ109*AZ110&lt;0),AY109+(AY110-AY109)*AZ109/(AZ110-AZ109),"")</f>
        <v>#VALUE!</v>
      </c>
    </row>
    <row r="110" customFormat="false" ht="12.75" hidden="false" customHeight="false" outlineLevel="0" collapsed="false">
      <c r="AG110" s="0" t="n">
        <f aca="false">AG109+1</f>
        <v>101</v>
      </c>
      <c r="AH110" s="0" t="n">
        <f aca="false">AG110*PI()/180</f>
        <v>1.76278254451427</v>
      </c>
      <c r="AI110" s="0" t="n">
        <f aca="false">$D$9*SIN(AH110)</f>
        <v>1.96325436689533</v>
      </c>
      <c r="AJ110" s="19" t="n">
        <f aca="false">$E$9*$Q$10*SIN(AH110)/$K$9</f>
        <v>1736519.92856851</v>
      </c>
      <c r="AK110" s="0" t="e">
        <f aca="false">interpfn($Y$9:$Z$36,AI110,2)</f>
        <v>#VALUE!</v>
      </c>
      <c r="AL110" s="0" t="e">
        <f aca="false">interpfn($AA$9:$AB$27,AJ110,2)</f>
        <v>#VALUE!</v>
      </c>
      <c r="AM110" s="0" t="n">
        <f aca="false">IF(AI110&gt;0.45,1,AL110)</f>
        <v>1</v>
      </c>
      <c r="AO110" s="0" t="e">
        <f aca="false">interpfn($AE$9:$AF$22,AI110,2)</f>
        <v>#VALUE!</v>
      </c>
      <c r="AP110" s="0" t="e">
        <f aca="false">AK110*AM110</f>
        <v>#VALUE!</v>
      </c>
      <c r="AQ110" s="0" t="e">
        <f aca="false">$AN$9*AO110</f>
        <v>#VALUE!</v>
      </c>
      <c r="AS110" s="0" t="e">
        <f aca="false">-$T$14*(COS(AH110))^2+$AR$9*(SIN(AH110))^2</f>
        <v>#VALUE!</v>
      </c>
      <c r="AT110" s="0" t="e">
        <f aca="false">-($U$14/2)*(2*COS(2*AH110)*SIN(AH110/2)+SIN(2*AH110)*COS(AH110/2)/2)+2*AQ19*AP19*$N$29*SIN(AH110)*COS(AH110)/$J$9</f>
        <v>#VALUE!</v>
      </c>
      <c r="AU110" s="0" t="e">
        <f aca="false">-($U$14/2)*SIN(2*AH110)*SIN(AH110/2)+AQ110*AP110*$N$29*(SIN(AH110)^2)/$J$9</f>
        <v>#VALUE!</v>
      </c>
      <c r="AV110" s="0" t="e">
        <f aca="false">($U$14*($F$9/12-$W$14)/(2*$K$9))*(2*COS(2*AH110)*SIN(AH110/2)/2+SIN(2*AH110)*COS(AH110/2)/2)+2*AP19*AQ19*$N$29*($F$9/12-$S$10)*SIN(AH110)*COS(AH110)/($J$9*$K$9)</f>
        <v>#VALUE!</v>
      </c>
      <c r="AW110" s="0" t="n">
        <f aca="false">AG110</f>
        <v>101</v>
      </c>
      <c r="AX110" s="0" t="e">
        <f aca="false">($U$14*($F$9/12-$W$14)/(2*$K$9)*SIN(2*AH110)*SIN(AH110/2)+AP110*AQ110*$N$29*($F$9/12-$S$10)*(SIN(AH110))^2/($J$9*$K$9))</f>
        <v>#VALUE!</v>
      </c>
      <c r="AY110" s="0" t="e">
        <f aca="false">AS110*COS(AH110)+AU110*SIN(AH110)</f>
        <v>#VALUE!</v>
      </c>
      <c r="AZ110" s="0" t="e">
        <f aca="false">AX110</f>
        <v>#VALUE!</v>
      </c>
      <c r="BA110" s="0" t="n">
        <f aca="false">AW110</f>
        <v>101</v>
      </c>
      <c r="BB110" s="0" t="e">
        <f aca="false">IF(AND(AV110&lt;0,AZ110*AZ111&lt;0),BA110+(BA111-BA110)*AZ110/(AZ111-AZ110),"")</f>
        <v>#VALUE!</v>
      </c>
      <c r="BC110" s="0" t="e">
        <f aca="false">IF(AND(AV110&lt;0,AZ110*AZ111&lt;0),AY110+(AY111-AY110)*AZ110/(AZ111-AZ110),"")</f>
        <v>#VALUE!</v>
      </c>
    </row>
    <row r="111" customFormat="false" ht="12.75" hidden="false" customHeight="false" outlineLevel="0" collapsed="false">
      <c r="AG111" s="0" t="n">
        <f aca="false">AG110+1</f>
        <v>102</v>
      </c>
      <c r="AH111" s="0" t="n">
        <f aca="false">AG111*PI()/180</f>
        <v>1.78023583703422</v>
      </c>
      <c r="AI111" s="0" t="n">
        <f aca="false">$D$9*SIN(AH111)</f>
        <v>1.95629520146761</v>
      </c>
      <c r="AJ111" s="19" t="n">
        <f aca="false">$E$9*$Q$10*SIN(AH111)/$K$9</f>
        <v>1730364.47074541</v>
      </c>
      <c r="AK111" s="0" t="e">
        <f aca="false">interpfn($Y$9:$Z$36,AI111,2)</f>
        <v>#VALUE!</v>
      </c>
      <c r="AL111" s="0" t="e">
        <f aca="false">interpfn($AA$9:$AB$27,AJ111,2)</f>
        <v>#VALUE!</v>
      </c>
      <c r="AM111" s="0" t="n">
        <f aca="false">IF(AI111&gt;0.45,1,AL111)</f>
        <v>1</v>
      </c>
      <c r="AO111" s="0" t="e">
        <f aca="false">interpfn($AE$9:$AF$22,AI111,2)</f>
        <v>#VALUE!</v>
      </c>
      <c r="AP111" s="0" t="e">
        <f aca="false">AK111*AM111</f>
        <v>#VALUE!</v>
      </c>
      <c r="AQ111" s="0" t="e">
        <f aca="false">$AN$9*AO111</f>
        <v>#VALUE!</v>
      </c>
      <c r="AS111" s="0" t="e">
        <f aca="false">-$T$14*(COS(AH111))^2+$AR$9*(SIN(AH111))^2</f>
        <v>#VALUE!</v>
      </c>
      <c r="AT111" s="0" t="e">
        <f aca="false">-($U$14/2)*(2*COS(2*AH111)*SIN(AH111/2)+SIN(2*AH111)*COS(AH111/2)/2)+2*AQ20*AP20*$N$29*SIN(AH111)*COS(AH111)/$J$9</f>
        <v>#VALUE!</v>
      </c>
      <c r="AU111" s="0" t="e">
        <f aca="false">-($U$14/2)*SIN(2*AH111)*SIN(AH111/2)+AQ111*AP111*$N$29*(SIN(AH111)^2)/$J$9</f>
        <v>#VALUE!</v>
      </c>
      <c r="AV111" s="0" t="e">
        <f aca="false">($U$14*($F$9/12-$W$14)/(2*$K$9))*(2*COS(2*AH111)*SIN(AH111/2)/2+SIN(2*AH111)*COS(AH111/2)/2)+2*AP20*AQ20*$N$29*($F$9/12-$S$10)*SIN(AH111)*COS(AH111)/($J$9*$K$9)</f>
        <v>#VALUE!</v>
      </c>
      <c r="AW111" s="0" t="n">
        <f aca="false">AG111</f>
        <v>102</v>
      </c>
      <c r="AX111" s="0" t="e">
        <f aca="false">($U$14*($F$9/12-$W$14)/(2*$K$9)*SIN(2*AH111)*SIN(AH111/2)+AP111*AQ111*$N$29*($F$9/12-$S$10)*(SIN(AH111))^2/($J$9*$K$9))</f>
        <v>#VALUE!</v>
      </c>
      <c r="AY111" s="0" t="e">
        <f aca="false">AS111*COS(AH111)+AU111*SIN(AH111)</f>
        <v>#VALUE!</v>
      </c>
      <c r="AZ111" s="0" t="e">
        <f aca="false">AX111</f>
        <v>#VALUE!</v>
      </c>
      <c r="BA111" s="0" t="n">
        <f aca="false">AW111</f>
        <v>102</v>
      </c>
      <c r="BB111" s="0" t="e">
        <f aca="false">IF(AND(AV111&lt;0,AZ111*AZ112&lt;0),BA111+(BA112-BA111)*AZ111/(AZ112-AZ111),"")</f>
        <v>#VALUE!</v>
      </c>
      <c r="BC111" s="0" t="e">
        <f aca="false">IF(AND(AV111&lt;0,AZ111*AZ112&lt;0),AY111+(AY112-AY111)*AZ111/(AZ112-AZ111),"")</f>
        <v>#VALUE!</v>
      </c>
    </row>
    <row r="112" customFormat="false" ht="12.75" hidden="false" customHeight="false" outlineLevel="0" collapsed="false">
      <c r="AG112" s="0" t="n">
        <f aca="false">AG111+1</f>
        <v>103</v>
      </c>
      <c r="AH112" s="0" t="n">
        <f aca="false">AG112*PI()/180</f>
        <v>1.79768912955416</v>
      </c>
      <c r="AI112" s="0" t="n">
        <f aca="false">$D$9*SIN(AH112)</f>
        <v>1.94874012957047</v>
      </c>
      <c r="AJ112" s="19" t="n">
        <f aca="false">$E$9*$Q$10*SIN(AH112)/$K$9</f>
        <v>1723681.92714211</v>
      </c>
      <c r="AK112" s="0" t="e">
        <f aca="false">interpfn($Y$9:$Z$36,AI112,2)</f>
        <v>#VALUE!</v>
      </c>
      <c r="AL112" s="0" t="e">
        <f aca="false">interpfn($AA$9:$AB$27,AJ112,2)</f>
        <v>#VALUE!</v>
      </c>
      <c r="AM112" s="0" t="n">
        <f aca="false">IF(AI112&gt;0.45,1,AL112)</f>
        <v>1</v>
      </c>
      <c r="AO112" s="0" t="e">
        <f aca="false">interpfn($AE$9:$AF$22,AI112,2)</f>
        <v>#VALUE!</v>
      </c>
      <c r="AP112" s="0" t="e">
        <f aca="false">AK112*AM112</f>
        <v>#VALUE!</v>
      </c>
      <c r="AQ112" s="0" t="e">
        <f aca="false">$AN$9*AO112</f>
        <v>#VALUE!</v>
      </c>
      <c r="AS112" s="0" t="e">
        <f aca="false">-$T$14*(COS(AH112))^2+$AR$9*(SIN(AH112))^2</f>
        <v>#VALUE!</v>
      </c>
      <c r="AT112" s="0" t="e">
        <f aca="false">-($U$14/2)*(2*COS(2*AH112)*SIN(AH112/2)+SIN(2*AH112)*COS(AH112/2)/2)+2*AQ21*AP21*$N$29*SIN(AH112)*COS(AH112)/$J$9</f>
        <v>#VALUE!</v>
      </c>
      <c r="AU112" s="0" t="e">
        <f aca="false">-($U$14/2)*SIN(2*AH112)*SIN(AH112/2)+AQ112*AP112*$N$29*(SIN(AH112)^2)/$J$9</f>
        <v>#VALUE!</v>
      </c>
      <c r="AV112" s="0" t="e">
        <f aca="false">($U$14*($F$9/12-$W$14)/(2*$K$9))*(2*COS(2*AH112)*SIN(AH112/2)/2+SIN(2*AH112)*COS(AH112/2)/2)+2*AP21*AQ21*$N$29*($F$9/12-$S$10)*SIN(AH112)*COS(AH112)/($J$9*$K$9)</f>
        <v>#VALUE!</v>
      </c>
      <c r="AW112" s="0" t="n">
        <f aca="false">AG112</f>
        <v>103</v>
      </c>
      <c r="AX112" s="0" t="e">
        <f aca="false">($U$14*($F$9/12-$W$14)/(2*$K$9)*SIN(2*AH112)*SIN(AH112/2)+AP112*AQ112*$N$29*($F$9/12-$S$10)*(SIN(AH112))^2/($J$9*$K$9))</f>
        <v>#VALUE!</v>
      </c>
      <c r="AY112" s="0" t="e">
        <f aca="false">AS112*COS(AH112)+AU112*SIN(AH112)</f>
        <v>#VALUE!</v>
      </c>
      <c r="AZ112" s="0" t="e">
        <f aca="false">AX112</f>
        <v>#VALUE!</v>
      </c>
      <c r="BA112" s="0" t="n">
        <f aca="false">AW112</f>
        <v>103</v>
      </c>
      <c r="BB112" s="0" t="e">
        <f aca="false">IF(AND(AV112&lt;0,AZ112*AZ113&lt;0),BA112+(BA113-BA112)*AZ112/(AZ113-AZ112),"")</f>
        <v>#VALUE!</v>
      </c>
      <c r="BC112" s="0" t="e">
        <f aca="false">IF(AND(AV112&lt;0,AZ112*AZ113&lt;0),AY112+(AY113-AY112)*AZ112/(AZ113-AZ112),"")</f>
        <v>#VALUE!</v>
      </c>
    </row>
    <row r="113" customFormat="false" ht="12.75" hidden="false" customHeight="false" outlineLevel="0" collapsed="false">
      <c r="AG113" s="0" t="n">
        <f aca="false">AG112+1</f>
        <v>104</v>
      </c>
      <c r="AH113" s="0" t="n">
        <f aca="false">AG113*PI()/180</f>
        <v>1.8151424220741</v>
      </c>
      <c r="AI113" s="0" t="n">
        <f aca="false">$D$9*SIN(AH113)</f>
        <v>1.94059145255199</v>
      </c>
      <c r="AJ113" s="19" t="n">
        <f aca="false">$E$9*$Q$10*SIN(AH113)/$K$9</f>
        <v>1716474.33332612</v>
      </c>
      <c r="AK113" s="0" t="e">
        <f aca="false">interpfn($Y$9:$Z$36,AI113,2)</f>
        <v>#VALUE!</v>
      </c>
      <c r="AL113" s="0" t="e">
        <f aca="false">interpfn($AA$9:$AB$27,AJ113,2)</f>
        <v>#VALUE!</v>
      </c>
      <c r="AM113" s="0" t="n">
        <f aca="false">IF(AI113&gt;0.45,1,AL113)</f>
        <v>1</v>
      </c>
      <c r="AO113" s="0" t="e">
        <f aca="false">interpfn($AE$9:$AF$22,AI113,2)</f>
        <v>#VALUE!</v>
      </c>
      <c r="AP113" s="0" t="e">
        <f aca="false">AK113*AM113</f>
        <v>#VALUE!</v>
      </c>
      <c r="AQ113" s="0" t="e">
        <f aca="false">$AN$9*AO113</f>
        <v>#VALUE!</v>
      </c>
      <c r="AS113" s="0" t="e">
        <f aca="false">-$T$14*(COS(AH113))^2+$AR$9*(SIN(AH113))^2</f>
        <v>#VALUE!</v>
      </c>
      <c r="AT113" s="0" t="e">
        <f aca="false">-($U$14/2)*(2*COS(2*AH113)*SIN(AH113/2)+SIN(2*AH113)*COS(AH113/2)/2)+2*AQ22*AP22*$N$29*SIN(AH113)*COS(AH113)/$J$9</f>
        <v>#VALUE!</v>
      </c>
      <c r="AU113" s="0" t="e">
        <f aca="false">-($U$14/2)*SIN(2*AH113)*SIN(AH113/2)+AQ113*AP113*$N$29*(SIN(AH113)^2)/$J$9</f>
        <v>#VALUE!</v>
      </c>
      <c r="AV113" s="0" t="e">
        <f aca="false">($U$14*($F$9/12-$W$14)/(2*$K$9))*(2*COS(2*AH113)*SIN(AH113/2)/2+SIN(2*AH113)*COS(AH113/2)/2)+2*AP22*AQ22*$N$29*($F$9/12-$S$10)*SIN(AH113)*COS(AH113)/($J$9*$K$9)</f>
        <v>#VALUE!</v>
      </c>
      <c r="AW113" s="0" t="n">
        <f aca="false">AG113</f>
        <v>104</v>
      </c>
      <c r="AX113" s="0" t="e">
        <f aca="false">($U$14*($F$9/12-$W$14)/(2*$K$9)*SIN(2*AH113)*SIN(AH113/2)+AP113*AQ113*$N$29*($F$9/12-$S$10)*(SIN(AH113))^2/($J$9*$K$9))</f>
        <v>#VALUE!</v>
      </c>
      <c r="AY113" s="0" t="e">
        <f aca="false">AS113*COS(AH113)+AU113*SIN(AH113)</f>
        <v>#VALUE!</v>
      </c>
      <c r="AZ113" s="0" t="e">
        <f aca="false">AX113</f>
        <v>#VALUE!</v>
      </c>
      <c r="BA113" s="0" t="n">
        <f aca="false">AW113</f>
        <v>104</v>
      </c>
      <c r="BB113" s="0" t="e">
        <f aca="false">IF(AND(AV113&lt;0,AZ113*AZ114&lt;0),BA113+(BA114-BA113)*AZ113/(AZ114-AZ113),"")</f>
        <v>#VALUE!</v>
      </c>
      <c r="BC113" s="0" t="e">
        <f aca="false">IF(AND(AV113&lt;0,AZ113*AZ114&lt;0),AY113+(AY114-AY113)*AZ113/(AZ114-AZ113),"")</f>
        <v>#VALUE!</v>
      </c>
    </row>
    <row r="114" customFormat="false" ht="12.75" hidden="false" customHeight="false" outlineLevel="0" collapsed="false">
      <c r="AG114" s="0" t="n">
        <f aca="false">AG113+1</f>
        <v>105</v>
      </c>
      <c r="AH114" s="0" t="n">
        <f aca="false">AG114*PI()/180</f>
        <v>1.83259571459405</v>
      </c>
      <c r="AI114" s="0" t="n">
        <f aca="false">$D$9*SIN(AH114)</f>
        <v>1.93185165257814</v>
      </c>
      <c r="AJ114" s="19" t="n">
        <f aca="false">$E$9*$Q$10*SIN(AH114)/$K$9</f>
        <v>1708743.88480033</v>
      </c>
      <c r="AK114" s="0" t="e">
        <f aca="false">interpfn($Y$9:$Z$36,AI114,2)</f>
        <v>#VALUE!</v>
      </c>
      <c r="AL114" s="0" t="e">
        <f aca="false">interpfn($AA$9:$AB$27,AJ114,2)</f>
        <v>#VALUE!</v>
      </c>
      <c r="AM114" s="0" t="n">
        <f aca="false">IF(AI114&gt;0.45,1,AL114)</f>
        <v>1</v>
      </c>
      <c r="AO114" s="0" t="e">
        <f aca="false">interpfn($AE$9:$AF$22,AI114,2)</f>
        <v>#VALUE!</v>
      </c>
      <c r="AP114" s="0" t="e">
        <f aca="false">AK114*AM114</f>
        <v>#VALUE!</v>
      </c>
      <c r="AQ114" s="0" t="e">
        <f aca="false">$AN$9*AO114</f>
        <v>#VALUE!</v>
      </c>
      <c r="AS114" s="0" t="e">
        <f aca="false">-$T$14*(COS(AH114))^2+$AR$9*(SIN(AH114))^2</f>
        <v>#VALUE!</v>
      </c>
      <c r="AT114" s="0" t="e">
        <f aca="false">-($U$14/2)*(2*COS(2*AH114)*SIN(AH114/2)+SIN(2*AH114)*COS(AH114/2)/2)+2*AQ23*AP23*$N$29*SIN(AH114)*COS(AH114)/$J$9</f>
        <v>#VALUE!</v>
      </c>
      <c r="AU114" s="0" t="e">
        <f aca="false">-($U$14/2)*SIN(2*AH114)*SIN(AH114/2)+AQ114*AP114*$N$29*(SIN(AH114)^2)/$J$9</f>
        <v>#VALUE!</v>
      </c>
      <c r="AV114" s="0" t="e">
        <f aca="false">($U$14*($F$9/12-$W$14)/(2*$K$9))*(2*COS(2*AH114)*SIN(AH114/2)/2+SIN(2*AH114)*COS(AH114/2)/2)+2*AP23*AQ23*$N$29*($F$9/12-$S$10)*SIN(AH114)*COS(AH114)/($J$9*$K$9)</f>
        <v>#VALUE!</v>
      </c>
      <c r="AW114" s="0" t="n">
        <f aca="false">AG114</f>
        <v>105</v>
      </c>
      <c r="AX114" s="0" t="e">
        <f aca="false">($U$14*($F$9/12-$W$14)/(2*$K$9)*SIN(2*AH114)*SIN(AH114/2)+AP114*AQ114*$N$29*($F$9/12-$S$10)*(SIN(AH114))^2/($J$9*$K$9))</f>
        <v>#VALUE!</v>
      </c>
      <c r="AY114" s="0" t="e">
        <f aca="false">AS114*COS(AH114)+AU114*SIN(AH114)</f>
        <v>#VALUE!</v>
      </c>
      <c r="AZ114" s="0" t="e">
        <f aca="false">AX114</f>
        <v>#VALUE!</v>
      </c>
      <c r="BA114" s="0" t="n">
        <f aca="false">AW114</f>
        <v>105</v>
      </c>
      <c r="BB114" s="0" t="e">
        <f aca="false">IF(AND(AV114&lt;0,AZ114*AZ115&lt;0),BA114+(BA115-BA114)*AZ114/(AZ115-AZ114),"")</f>
        <v>#VALUE!</v>
      </c>
      <c r="BC114" s="0" t="e">
        <f aca="false">IF(AND(AV114&lt;0,AZ114*AZ115&lt;0),AY114+(AY115-AY114)*AZ114/(AZ115-AZ114),"")</f>
        <v>#VALUE!</v>
      </c>
    </row>
    <row r="115" customFormat="false" ht="12.75" hidden="false" customHeight="false" outlineLevel="0" collapsed="false">
      <c r="AG115" s="0" t="n">
        <f aca="false">AG114+1</f>
        <v>106</v>
      </c>
      <c r="AH115" s="0" t="n">
        <f aca="false">AG115*PI()/180</f>
        <v>1.85004900711399</v>
      </c>
      <c r="AI115" s="0" t="n">
        <f aca="false">$D$9*SIN(AH115)</f>
        <v>1.92252339187664</v>
      </c>
      <c r="AJ115" s="19" t="n">
        <f aca="false">$E$9*$Q$10*SIN(AH115)/$K$9</f>
        <v>1700492.93633427</v>
      </c>
      <c r="AK115" s="0" t="e">
        <f aca="false">interpfn($Y$9:$Z$36,AI115,2)</f>
        <v>#VALUE!</v>
      </c>
      <c r="AL115" s="0" t="e">
        <f aca="false">interpfn($AA$9:$AB$27,AJ115,2)</f>
        <v>#VALUE!</v>
      </c>
      <c r="AM115" s="0" t="n">
        <f aca="false">IF(AI115&gt;0.45,1,AL115)</f>
        <v>1</v>
      </c>
      <c r="AO115" s="0" t="e">
        <f aca="false">interpfn($AE$9:$AF$22,AI115,2)</f>
        <v>#VALUE!</v>
      </c>
      <c r="AP115" s="0" t="e">
        <f aca="false">AK115*AM115</f>
        <v>#VALUE!</v>
      </c>
      <c r="AQ115" s="0" t="e">
        <f aca="false">$AN$9*AO115</f>
        <v>#VALUE!</v>
      </c>
      <c r="AS115" s="0" t="e">
        <f aca="false">-$T$14*(COS(AH115))^2+$AR$9*(SIN(AH115))^2</f>
        <v>#VALUE!</v>
      </c>
      <c r="AT115" s="0" t="e">
        <f aca="false">-($U$14/2)*(2*COS(2*AH115)*SIN(AH115/2)+SIN(2*AH115)*COS(AH115/2)/2)+2*AQ24*AP24*$N$29*SIN(AH115)*COS(AH115)/$J$9</f>
        <v>#VALUE!</v>
      </c>
      <c r="AU115" s="0" t="e">
        <f aca="false">-($U$14/2)*SIN(2*AH115)*SIN(AH115/2)+AQ115*AP115*$N$29*(SIN(AH115)^2)/$J$9</f>
        <v>#VALUE!</v>
      </c>
      <c r="AV115" s="0" t="e">
        <f aca="false">($U$14*($F$9/12-$W$14)/(2*$K$9))*(2*COS(2*AH115)*SIN(AH115/2)/2+SIN(2*AH115)*COS(AH115/2)/2)+2*AP24*AQ24*$N$29*($F$9/12-$S$10)*SIN(AH115)*COS(AH115)/($J$9*$K$9)</f>
        <v>#VALUE!</v>
      </c>
      <c r="AW115" s="0" t="n">
        <f aca="false">AG115</f>
        <v>106</v>
      </c>
      <c r="AX115" s="0" t="e">
        <f aca="false">($U$14*($F$9/12-$W$14)/(2*$K$9)*SIN(2*AH115)*SIN(AH115/2)+AP115*AQ115*$N$29*($F$9/12-$S$10)*(SIN(AH115))^2/($J$9*$K$9))</f>
        <v>#VALUE!</v>
      </c>
      <c r="AY115" s="0" t="e">
        <f aca="false">AS115*COS(AH115)+AU115*SIN(AH115)</f>
        <v>#VALUE!</v>
      </c>
      <c r="AZ115" s="0" t="e">
        <f aca="false">AX115</f>
        <v>#VALUE!</v>
      </c>
      <c r="BA115" s="0" t="n">
        <f aca="false">AW115</f>
        <v>106</v>
      </c>
      <c r="BB115" s="0" t="e">
        <f aca="false">IF(AND(AV115&lt;0,AZ115*AZ116&lt;0),BA115+(BA116-BA115)*AZ115/(AZ116-AZ115),"")</f>
        <v>#VALUE!</v>
      </c>
      <c r="BC115" s="0" t="e">
        <f aca="false">IF(AND(AV115&lt;0,AZ115*AZ116&lt;0),AY115+(AY116-AY115)*AZ115/(AZ116-AZ115),"")</f>
        <v>#VALUE!</v>
      </c>
    </row>
    <row r="116" customFormat="false" ht="12.75" hidden="false" customHeight="false" outlineLevel="0" collapsed="false">
      <c r="AG116" s="0" t="n">
        <f aca="false">AG115+1</f>
        <v>107</v>
      </c>
      <c r="AH116" s="0" t="n">
        <f aca="false">AG116*PI()/180</f>
        <v>1.86750229963393</v>
      </c>
      <c r="AI116" s="0" t="n">
        <f aca="false">$D$9*SIN(AH116)</f>
        <v>1.91260951192607</v>
      </c>
      <c r="AJ116" s="19" t="n">
        <f aca="false">$E$9*$Q$10*SIN(AH116)/$K$9</f>
        <v>1691724.00124675</v>
      </c>
      <c r="AK116" s="0" t="e">
        <f aca="false">interpfn($Y$9:$Z$36,AI116,2)</f>
        <v>#VALUE!</v>
      </c>
      <c r="AL116" s="0" t="e">
        <f aca="false">interpfn($AA$9:$AB$27,AJ116,2)</f>
        <v>#VALUE!</v>
      </c>
      <c r="AM116" s="0" t="n">
        <f aca="false">IF(AI116&gt;0.45,1,AL116)</f>
        <v>1</v>
      </c>
      <c r="AO116" s="0" t="e">
        <f aca="false">interpfn($AE$9:$AF$22,AI116,2)</f>
        <v>#VALUE!</v>
      </c>
      <c r="AP116" s="0" t="e">
        <f aca="false">AK116*AM116</f>
        <v>#VALUE!</v>
      </c>
      <c r="AQ116" s="0" t="e">
        <f aca="false">$AN$9*AO116</f>
        <v>#VALUE!</v>
      </c>
      <c r="AS116" s="0" t="e">
        <f aca="false">-$T$14*(COS(AH116))^2+$AR$9*(SIN(AH116))^2</f>
        <v>#VALUE!</v>
      </c>
      <c r="AT116" s="0" t="e">
        <f aca="false">-($U$14/2)*(2*COS(2*AH116)*SIN(AH116/2)+SIN(2*AH116)*COS(AH116/2)/2)+2*AQ25*AP25*$N$29*SIN(AH116)*COS(AH116)/$J$9</f>
        <v>#VALUE!</v>
      </c>
      <c r="AU116" s="0" t="e">
        <f aca="false">-($U$14/2)*SIN(2*AH116)*SIN(AH116/2)+AQ116*AP116*$N$29*(SIN(AH116)^2)/$J$9</f>
        <v>#VALUE!</v>
      </c>
      <c r="AV116" s="0" t="e">
        <f aca="false">($U$14*($F$9/12-$W$14)/(2*$K$9))*(2*COS(2*AH116)*SIN(AH116/2)/2+SIN(2*AH116)*COS(AH116/2)/2)+2*AP25*AQ25*$N$29*($F$9/12-$S$10)*SIN(AH116)*COS(AH116)/($J$9*$K$9)</f>
        <v>#VALUE!</v>
      </c>
      <c r="AW116" s="0" t="n">
        <f aca="false">AG116</f>
        <v>107</v>
      </c>
      <c r="AX116" s="0" t="e">
        <f aca="false">($U$14*($F$9/12-$W$14)/(2*$K$9)*SIN(2*AH116)*SIN(AH116/2)+AP116*AQ116*$N$29*($F$9/12-$S$10)*(SIN(AH116))^2/($J$9*$K$9))</f>
        <v>#VALUE!</v>
      </c>
      <c r="AY116" s="0" t="e">
        <f aca="false">AS116*COS(AH116)+AU116*SIN(AH116)</f>
        <v>#VALUE!</v>
      </c>
      <c r="AZ116" s="0" t="e">
        <f aca="false">AX116</f>
        <v>#VALUE!</v>
      </c>
      <c r="BA116" s="0" t="n">
        <f aca="false">AW116</f>
        <v>107</v>
      </c>
      <c r="BB116" s="0" t="e">
        <f aca="false">IF(AND(AV116&lt;0,AZ116*AZ117&lt;0),BA116+(BA117-BA116)*AZ116/(AZ117-AZ116),"")</f>
        <v>#VALUE!</v>
      </c>
      <c r="BC116" s="0" t="e">
        <f aca="false">IF(AND(AV116&lt;0,AZ116*AZ117&lt;0),AY116+(AY117-AY116)*AZ116/(AZ117-AZ116),"")</f>
        <v>#VALUE!</v>
      </c>
    </row>
    <row r="117" customFormat="false" ht="12.75" hidden="false" customHeight="false" outlineLevel="0" collapsed="false">
      <c r="AG117" s="0" t="n">
        <f aca="false">AG116+1</f>
        <v>108</v>
      </c>
      <c r="AH117" s="0" t="n">
        <f aca="false">AG117*PI()/180</f>
        <v>1.88495559215388</v>
      </c>
      <c r="AI117" s="0" t="n">
        <f aca="false">$D$9*SIN(AH117)</f>
        <v>1.90211303259031</v>
      </c>
      <c r="AJ117" s="19" t="n">
        <f aca="false">$E$9*$Q$10*SIN(AH117)/$K$9</f>
        <v>1682439.75064035</v>
      </c>
      <c r="AK117" s="0" t="e">
        <f aca="false">interpfn($Y$9:$Z$36,AI117,2)</f>
        <v>#VALUE!</v>
      </c>
      <c r="AL117" s="0" t="e">
        <f aca="false">interpfn($AA$9:$AB$27,AJ117,2)</f>
        <v>#VALUE!</v>
      </c>
      <c r="AM117" s="0" t="n">
        <f aca="false">IF(AI117&gt;0.45,1,AL117)</f>
        <v>1</v>
      </c>
      <c r="AO117" s="0" t="e">
        <f aca="false">interpfn($AE$9:$AF$22,AI117,2)</f>
        <v>#VALUE!</v>
      </c>
      <c r="AP117" s="0" t="e">
        <f aca="false">AK117*AM117</f>
        <v>#VALUE!</v>
      </c>
      <c r="AQ117" s="0" t="e">
        <f aca="false">$AN$9*AO117</f>
        <v>#VALUE!</v>
      </c>
      <c r="AS117" s="0" t="e">
        <f aca="false">-$T$14*(COS(AH117))^2+$AR$9*(SIN(AH117))^2</f>
        <v>#VALUE!</v>
      </c>
      <c r="AT117" s="0" t="e">
        <f aca="false">-($U$14/2)*(2*COS(2*AH117)*SIN(AH117/2)+SIN(2*AH117)*COS(AH117/2)/2)+2*AQ26*AP26*$N$29*SIN(AH117)*COS(AH117)/$J$9</f>
        <v>#VALUE!</v>
      </c>
      <c r="AU117" s="0" t="e">
        <f aca="false">-($U$14/2)*SIN(2*AH117)*SIN(AH117/2)+AQ117*AP117*$N$29*(SIN(AH117)^2)/$J$9</f>
        <v>#VALUE!</v>
      </c>
      <c r="AV117" s="0" t="e">
        <f aca="false">($U$14*($F$9/12-$W$14)/(2*$K$9))*(2*COS(2*AH117)*SIN(AH117/2)/2+SIN(2*AH117)*COS(AH117/2)/2)+2*AP26*AQ26*$N$29*($F$9/12-$S$10)*SIN(AH117)*COS(AH117)/($J$9*$K$9)</f>
        <v>#VALUE!</v>
      </c>
      <c r="AW117" s="0" t="n">
        <f aca="false">AG117</f>
        <v>108</v>
      </c>
      <c r="AX117" s="0" t="e">
        <f aca="false">($U$14*($F$9/12-$W$14)/(2*$K$9)*SIN(2*AH117)*SIN(AH117/2)+AP117*AQ117*$N$29*($F$9/12-$S$10)*(SIN(AH117))^2/($J$9*$K$9))</f>
        <v>#VALUE!</v>
      </c>
      <c r="AY117" s="0" t="e">
        <f aca="false">AS117*COS(AH117)+AU117*SIN(AH117)</f>
        <v>#VALUE!</v>
      </c>
      <c r="AZ117" s="0" t="e">
        <f aca="false">AX117</f>
        <v>#VALUE!</v>
      </c>
      <c r="BA117" s="0" t="n">
        <f aca="false">AW117</f>
        <v>108</v>
      </c>
      <c r="BB117" s="0" t="e">
        <f aca="false">IF(AND(AV117&lt;0,AZ117*AZ118&lt;0),BA117+(BA118-BA117)*AZ117/(AZ118-AZ117),"")</f>
        <v>#VALUE!</v>
      </c>
      <c r="BC117" s="0" t="e">
        <f aca="false">IF(AND(AV117&lt;0,AZ117*AZ118&lt;0),AY117+(AY118-AY117)*AZ117/(AZ118-AZ117),"")</f>
        <v>#VALUE!</v>
      </c>
    </row>
    <row r="118" customFormat="false" ht="12.75" hidden="false" customHeight="false" outlineLevel="0" collapsed="false">
      <c r="AG118" s="0" t="n">
        <f aca="false">AG117+1</f>
        <v>109</v>
      </c>
      <c r="AH118" s="0" t="n">
        <f aca="false">AG118*PI()/180</f>
        <v>1.90240888467382</v>
      </c>
      <c r="AI118" s="0" t="n">
        <f aca="false">$D$9*SIN(AH118)</f>
        <v>1.89103715119863</v>
      </c>
      <c r="AJ118" s="19" t="n">
        <f aca="false">$E$9*$Q$10*SIN(AH118)/$K$9</f>
        <v>1672643.01258775</v>
      </c>
      <c r="AK118" s="0" t="e">
        <f aca="false">interpfn($Y$9:$Z$36,AI118,2)</f>
        <v>#VALUE!</v>
      </c>
      <c r="AL118" s="0" t="e">
        <f aca="false">interpfn($AA$9:$AB$27,AJ118,2)</f>
        <v>#VALUE!</v>
      </c>
      <c r="AM118" s="0" t="n">
        <f aca="false">IF(AI118&gt;0.45,1,AL118)</f>
        <v>1</v>
      </c>
      <c r="AO118" s="0" t="e">
        <f aca="false">interpfn($AE$9:$AF$22,AI118,2)</f>
        <v>#VALUE!</v>
      </c>
      <c r="AP118" s="0" t="e">
        <f aca="false">AK118*AM118</f>
        <v>#VALUE!</v>
      </c>
      <c r="AQ118" s="0" t="e">
        <f aca="false">$AN$9*AO118</f>
        <v>#VALUE!</v>
      </c>
      <c r="AS118" s="0" t="e">
        <f aca="false">-$T$14*(COS(AH118))^2+$AR$9*(SIN(AH118))^2</f>
        <v>#VALUE!</v>
      </c>
      <c r="AT118" s="0" t="e">
        <f aca="false">-($U$14/2)*(2*COS(2*AH118)*SIN(AH118/2)+SIN(2*AH118)*COS(AH118/2)/2)+2*AQ27*AP27*$N$29*SIN(AH118)*COS(AH118)/$J$9</f>
        <v>#VALUE!</v>
      </c>
      <c r="AU118" s="0" t="e">
        <f aca="false">-($U$14/2)*SIN(2*AH118)*SIN(AH118/2)+AQ118*AP118*$N$29*(SIN(AH118)^2)/$J$9</f>
        <v>#VALUE!</v>
      </c>
      <c r="AV118" s="0" t="e">
        <f aca="false">($U$14*($F$9/12-$W$14)/(2*$K$9))*(2*COS(2*AH118)*SIN(AH118/2)/2+SIN(2*AH118)*COS(AH118/2)/2)+2*AP27*AQ27*$N$29*($F$9/12-$S$10)*SIN(AH118)*COS(AH118)/($J$9*$K$9)</f>
        <v>#VALUE!</v>
      </c>
      <c r="AW118" s="0" t="n">
        <f aca="false">AG118</f>
        <v>109</v>
      </c>
      <c r="AX118" s="0" t="e">
        <f aca="false">($U$14*($F$9/12-$W$14)/(2*$K$9)*SIN(2*AH118)*SIN(AH118/2)+AP118*AQ118*$N$29*($F$9/12-$S$10)*(SIN(AH118))^2/($J$9*$K$9))</f>
        <v>#VALUE!</v>
      </c>
      <c r="AY118" s="0" t="e">
        <f aca="false">AS118*COS(AH118)+AU118*SIN(AH118)</f>
        <v>#VALUE!</v>
      </c>
      <c r="AZ118" s="0" t="e">
        <f aca="false">AX118</f>
        <v>#VALUE!</v>
      </c>
      <c r="BA118" s="0" t="n">
        <f aca="false">AW118</f>
        <v>109</v>
      </c>
      <c r="BB118" s="0" t="e">
        <f aca="false">IF(AND(AV118&lt;0,AZ118*AZ119&lt;0),BA118+(BA119-BA118)*AZ118/(AZ119-AZ118),"")</f>
        <v>#VALUE!</v>
      </c>
      <c r="BC118" s="0" t="e">
        <f aca="false">IF(AND(AV118&lt;0,AZ118*AZ119&lt;0),AY118+(AY119-AY118)*AZ118/(AZ119-AZ118),"")</f>
        <v>#VALUE!</v>
      </c>
    </row>
    <row r="119" customFormat="false" ht="12.75" hidden="false" customHeight="false" outlineLevel="0" collapsed="false">
      <c r="AG119" s="0" t="n">
        <f aca="false">AG118+1</f>
        <v>110</v>
      </c>
      <c r="AH119" s="0" t="n">
        <f aca="false">AG119*PI()/180</f>
        <v>1.91986217719376</v>
      </c>
      <c r="AI119" s="0" t="n">
        <f aca="false">$D$9*SIN(AH119)</f>
        <v>1.87938524157182</v>
      </c>
      <c r="AJ119" s="19" t="n">
        <f aca="false">$E$9*$Q$10*SIN(AH119)/$K$9</f>
        <v>1662336.77127025</v>
      </c>
      <c r="AK119" s="0" t="e">
        <f aca="false">interpfn($Y$9:$Z$36,AI119,2)</f>
        <v>#VALUE!</v>
      </c>
      <c r="AL119" s="0" t="e">
        <f aca="false">interpfn($AA$9:$AB$27,AJ119,2)</f>
        <v>#VALUE!</v>
      </c>
      <c r="AM119" s="0" t="n">
        <f aca="false">IF(AI119&gt;0.45,1,AL119)</f>
        <v>1</v>
      </c>
      <c r="AO119" s="0" t="e">
        <f aca="false">interpfn($AE$9:$AF$22,AI119,2)</f>
        <v>#VALUE!</v>
      </c>
      <c r="AP119" s="0" t="e">
        <f aca="false">AK119*AM119</f>
        <v>#VALUE!</v>
      </c>
      <c r="AQ119" s="0" t="e">
        <f aca="false">$AN$9*AO119</f>
        <v>#VALUE!</v>
      </c>
      <c r="AS119" s="0" t="e">
        <f aca="false">-$T$14*(COS(AH119))^2+$AR$9*(SIN(AH119))^2</f>
        <v>#VALUE!</v>
      </c>
      <c r="AT119" s="0" t="e">
        <f aca="false">-($U$14/2)*(2*COS(2*AH119)*SIN(AH119/2)+SIN(2*AH119)*COS(AH119/2)/2)+2*AQ28*AP28*$N$29*SIN(AH119)*COS(AH119)/$J$9</f>
        <v>#VALUE!</v>
      </c>
      <c r="AU119" s="0" t="e">
        <f aca="false">-($U$14/2)*SIN(2*AH119)*SIN(AH119/2)+AQ119*AP119*$N$29*(SIN(AH119)^2)/$J$9</f>
        <v>#VALUE!</v>
      </c>
      <c r="AV119" s="0" t="e">
        <f aca="false">($U$14*($F$9/12-$W$14)/(2*$K$9))*(2*COS(2*AH119)*SIN(AH119/2)/2+SIN(2*AH119)*COS(AH119/2)/2)+2*AP28*AQ28*$N$29*($F$9/12-$S$10)*SIN(AH119)*COS(AH119)/($J$9*$K$9)</f>
        <v>#VALUE!</v>
      </c>
      <c r="AW119" s="0" t="n">
        <f aca="false">AG119</f>
        <v>110</v>
      </c>
      <c r="AX119" s="0" t="e">
        <f aca="false">($U$14*($F$9/12-$W$14)/(2*$K$9)*SIN(2*AH119)*SIN(AH119/2)+AP119*AQ119*$N$29*($F$9/12-$S$10)*(SIN(AH119))^2/($J$9*$K$9))</f>
        <v>#VALUE!</v>
      </c>
      <c r="AY119" s="0" t="e">
        <f aca="false">AS119*COS(AH119)+AU119*SIN(AH119)</f>
        <v>#VALUE!</v>
      </c>
      <c r="AZ119" s="0" t="e">
        <f aca="false">AX119</f>
        <v>#VALUE!</v>
      </c>
      <c r="BA119" s="0" t="n">
        <f aca="false">AW119</f>
        <v>110</v>
      </c>
      <c r="BB119" s="0" t="e">
        <f aca="false">IF(AND(AV119&lt;0,AZ119*AZ120&lt;0),BA119+(BA120-BA119)*AZ119/(AZ120-AZ119),"")</f>
        <v>#VALUE!</v>
      </c>
      <c r="BC119" s="0" t="e">
        <f aca="false">IF(AND(AV119&lt;0,AZ119*AZ120&lt;0),AY119+(AY120-AY119)*AZ119/(AZ120-AZ119),"")</f>
        <v>#VALUE!</v>
      </c>
    </row>
    <row r="120" customFormat="false" ht="12.75" hidden="false" customHeight="false" outlineLevel="0" collapsed="false">
      <c r="AG120" s="0" t="n">
        <f aca="false">AG119+1</f>
        <v>111</v>
      </c>
      <c r="AH120" s="0" t="n">
        <f aca="false">AG120*PI()/180</f>
        <v>1.93731546971371</v>
      </c>
      <c r="AI120" s="0" t="n">
        <f aca="false">$D$9*SIN(AH120)</f>
        <v>1.8671608529944</v>
      </c>
      <c r="AJ120" s="19" t="n">
        <f aca="false">$E$9*$Q$10*SIN(AH120)/$K$9</f>
        <v>1651524.16606881</v>
      </c>
      <c r="AK120" s="0" t="e">
        <f aca="false">interpfn($Y$9:$Z$36,AI120,2)</f>
        <v>#VALUE!</v>
      </c>
      <c r="AL120" s="0" t="e">
        <f aca="false">interpfn($AA$9:$AB$27,AJ120,2)</f>
        <v>#VALUE!</v>
      </c>
      <c r="AM120" s="0" t="n">
        <f aca="false">IF(AI120&gt;0.45,1,AL120)</f>
        <v>1</v>
      </c>
      <c r="AO120" s="0" t="e">
        <f aca="false">interpfn($AE$9:$AF$22,AI120,2)</f>
        <v>#VALUE!</v>
      </c>
      <c r="AP120" s="0" t="e">
        <f aca="false">AK120*AM120</f>
        <v>#VALUE!</v>
      </c>
      <c r="AQ120" s="0" t="e">
        <f aca="false">$AN$9*AO120</f>
        <v>#VALUE!</v>
      </c>
      <c r="AS120" s="0" t="e">
        <f aca="false">-$T$14*(COS(AH120))^2+$AR$9*(SIN(AH120))^2</f>
        <v>#VALUE!</v>
      </c>
      <c r="AT120" s="0" t="e">
        <f aca="false">-($U$14/2)*(2*COS(2*AH120)*SIN(AH120/2)+SIN(2*AH120)*COS(AH120/2)/2)+2*AQ29*AP29*$N$29*SIN(AH120)*COS(AH120)/$J$9</f>
        <v>#VALUE!</v>
      </c>
      <c r="AU120" s="0" t="e">
        <f aca="false">-($U$14/2)*SIN(2*AH120)*SIN(AH120/2)+AQ120*AP120*$N$29*(SIN(AH120)^2)/$J$9</f>
        <v>#VALUE!</v>
      </c>
      <c r="AV120" s="0" t="e">
        <f aca="false">($U$14*($F$9/12-$W$14)/(2*$K$9))*(2*COS(2*AH120)*SIN(AH120/2)/2+SIN(2*AH120)*COS(AH120/2)/2)+2*AP29*AQ29*$N$29*($F$9/12-$S$10)*SIN(AH120)*COS(AH120)/($J$9*$K$9)</f>
        <v>#VALUE!</v>
      </c>
      <c r="AW120" s="0" t="n">
        <f aca="false">AG120</f>
        <v>111</v>
      </c>
      <c r="AX120" s="0" t="e">
        <f aca="false">($U$14*($F$9/12-$W$14)/(2*$K$9)*SIN(2*AH120)*SIN(AH120/2)+AP120*AQ120*$N$29*($F$9/12-$S$10)*(SIN(AH120))^2/($J$9*$K$9))</f>
        <v>#VALUE!</v>
      </c>
      <c r="AY120" s="0" t="e">
        <f aca="false">AS120*COS(AH120)+AU120*SIN(AH120)</f>
        <v>#VALUE!</v>
      </c>
      <c r="AZ120" s="0" t="e">
        <f aca="false">AX120</f>
        <v>#VALUE!</v>
      </c>
      <c r="BA120" s="0" t="n">
        <f aca="false">AW120</f>
        <v>111</v>
      </c>
      <c r="BB120" s="0" t="e">
        <f aca="false">IF(AND(AV120&lt;0,AZ120*AZ121&lt;0),BA120+(BA121-BA120)*AZ120/(AZ121-AZ120),"")</f>
        <v>#VALUE!</v>
      </c>
      <c r="BC120" s="0" t="e">
        <f aca="false">IF(AND(AV120&lt;0,AZ120*AZ121&lt;0),AY120+(AY121-AY120)*AZ120/(AZ121-AZ120),"")</f>
        <v>#VALUE!</v>
      </c>
    </row>
    <row r="121" customFormat="false" ht="12.75" hidden="false" customHeight="false" outlineLevel="0" collapsed="false">
      <c r="AG121" s="0" t="n">
        <f aca="false">AG120+1</f>
        <v>112</v>
      </c>
      <c r="AH121" s="0" t="n">
        <f aca="false">AG121*PI()/180</f>
        <v>1.95476876223365</v>
      </c>
      <c r="AI121" s="0" t="n">
        <f aca="false">$D$9*SIN(AH121)</f>
        <v>1.85436770913357</v>
      </c>
      <c r="AJ121" s="19" t="n">
        <f aca="false">$E$9*$Q$10*SIN(AH121)/$K$9</f>
        <v>1640208.49060771</v>
      </c>
      <c r="AK121" s="0" t="e">
        <f aca="false">interpfn($Y$9:$Z$36,AI121,2)</f>
        <v>#VALUE!</v>
      </c>
      <c r="AL121" s="0" t="e">
        <f aca="false">interpfn($AA$9:$AB$27,AJ121,2)</f>
        <v>#VALUE!</v>
      </c>
      <c r="AM121" s="0" t="n">
        <f aca="false">IF(AI121&gt;0.45,1,AL121)</f>
        <v>1</v>
      </c>
      <c r="AO121" s="0" t="e">
        <f aca="false">interpfn($AE$9:$AF$22,AI121,2)</f>
        <v>#VALUE!</v>
      </c>
      <c r="AP121" s="0" t="e">
        <f aca="false">AK121*AM121</f>
        <v>#VALUE!</v>
      </c>
      <c r="AQ121" s="0" t="e">
        <f aca="false">$AN$9*AO121</f>
        <v>#VALUE!</v>
      </c>
      <c r="AS121" s="0" t="e">
        <f aca="false">-$T$14*(COS(AH121))^2+$AR$9*(SIN(AH121))^2</f>
        <v>#VALUE!</v>
      </c>
      <c r="AT121" s="0" t="e">
        <f aca="false">-($U$14/2)*(2*COS(2*AH121)*SIN(AH121/2)+SIN(2*AH121)*COS(AH121/2)/2)+2*AQ30*AP30*$N$29*SIN(AH121)*COS(AH121)/$J$9</f>
        <v>#VALUE!</v>
      </c>
      <c r="AU121" s="0" t="e">
        <f aca="false">-($U$14/2)*SIN(2*AH121)*SIN(AH121/2)+AQ121*AP121*$N$29*(SIN(AH121)^2)/$J$9</f>
        <v>#VALUE!</v>
      </c>
      <c r="AV121" s="0" t="e">
        <f aca="false">($U$14*($F$9/12-$W$14)/(2*$K$9))*(2*COS(2*AH121)*SIN(AH121/2)/2+SIN(2*AH121)*COS(AH121/2)/2)+2*AP30*AQ30*$N$29*($F$9/12-$S$10)*SIN(AH121)*COS(AH121)/($J$9*$K$9)</f>
        <v>#VALUE!</v>
      </c>
      <c r="AW121" s="0" t="n">
        <f aca="false">AG121</f>
        <v>112</v>
      </c>
      <c r="AX121" s="0" t="e">
        <f aca="false">($U$14*($F$9/12-$W$14)/(2*$K$9)*SIN(2*AH121)*SIN(AH121/2)+AP121*AQ121*$N$29*($F$9/12-$S$10)*(SIN(AH121))^2/($J$9*$K$9))</f>
        <v>#VALUE!</v>
      </c>
      <c r="AY121" s="0" t="e">
        <f aca="false">AS121*COS(AH121)+AU121*SIN(AH121)</f>
        <v>#VALUE!</v>
      </c>
      <c r="AZ121" s="0" t="e">
        <f aca="false">AX121</f>
        <v>#VALUE!</v>
      </c>
      <c r="BA121" s="0" t="n">
        <f aca="false">AW121</f>
        <v>112</v>
      </c>
      <c r="BB121" s="0" t="e">
        <f aca="false">IF(AND(AV121&lt;0,AZ121*AZ122&lt;0),BA121+(BA122-BA121)*AZ121/(AZ122-AZ121),"")</f>
        <v>#VALUE!</v>
      </c>
      <c r="BC121" s="0" t="e">
        <f aca="false">IF(AND(AV121&lt;0,AZ121*AZ122&lt;0),AY121+(AY122-AY121)*AZ121/(AZ122-AZ121),"")</f>
        <v>#VALUE!</v>
      </c>
    </row>
    <row r="122" customFormat="false" ht="12.75" hidden="false" customHeight="false" outlineLevel="0" collapsed="false">
      <c r="AG122" s="0" t="n">
        <f aca="false">AG121+1</f>
        <v>113</v>
      </c>
      <c r="AH122" s="0" t="n">
        <f aca="false">AG122*PI()/180</f>
        <v>1.97222205475359</v>
      </c>
      <c r="AI122" s="0" t="n">
        <f aca="false">$D$9*SIN(AH122)</f>
        <v>1.84100970690488</v>
      </c>
      <c r="AJ122" s="19" t="n">
        <f aca="false">$E$9*$Q$10*SIN(AH122)/$K$9</f>
        <v>1628393.19175132</v>
      </c>
      <c r="AK122" s="0" t="e">
        <f aca="false">interpfn($Y$9:$Z$36,AI122,2)</f>
        <v>#VALUE!</v>
      </c>
      <c r="AL122" s="0" t="e">
        <f aca="false">interpfn($AA$9:$AB$27,AJ122,2)</f>
        <v>#VALUE!</v>
      </c>
      <c r="AM122" s="0" t="n">
        <f aca="false">IF(AI122&gt;0.45,1,AL122)</f>
        <v>1</v>
      </c>
      <c r="AO122" s="0" t="e">
        <f aca="false">interpfn($AE$9:$AF$22,AI122,2)</f>
        <v>#VALUE!</v>
      </c>
      <c r="AP122" s="0" t="e">
        <f aca="false">AK122*AM122</f>
        <v>#VALUE!</v>
      </c>
      <c r="AQ122" s="0" t="e">
        <f aca="false">$AN$9*AO122</f>
        <v>#VALUE!</v>
      </c>
      <c r="AS122" s="0" t="e">
        <f aca="false">-$T$14*(COS(AH122))^2+$AR$9*(SIN(AH122))^2</f>
        <v>#VALUE!</v>
      </c>
      <c r="AT122" s="0" t="e">
        <f aca="false">-($U$14/2)*(2*COS(2*AH122)*SIN(AH122/2)+SIN(2*AH122)*COS(AH122/2)/2)+2*AQ31*AP31*$N$29*SIN(AH122)*COS(AH122)/$J$9</f>
        <v>#VALUE!</v>
      </c>
      <c r="AU122" s="0" t="e">
        <f aca="false">-($U$14/2)*SIN(2*AH122)*SIN(AH122/2)+AQ122*AP122*$N$29*(SIN(AH122)^2)/$J$9</f>
        <v>#VALUE!</v>
      </c>
      <c r="AV122" s="0" t="e">
        <f aca="false">($U$14*($F$9/12-$W$14)/(2*$K$9))*(2*COS(2*AH122)*SIN(AH122/2)/2+SIN(2*AH122)*COS(AH122/2)/2)+2*AP31*AQ31*$N$29*($F$9/12-$S$10)*SIN(AH122)*COS(AH122)/($J$9*$K$9)</f>
        <v>#VALUE!</v>
      </c>
      <c r="AW122" s="0" t="n">
        <f aca="false">AG122</f>
        <v>113</v>
      </c>
      <c r="AX122" s="0" t="e">
        <f aca="false">($U$14*($F$9/12-$W$14)/(2*$K$9)*SIN(2*AH122)*SIN(AH122/2)+AP122*AQ122*$N$29*($F$9/12-$S$10)*(SIN(AH122))^2/($J$9*$K$9))</f>
        <v>#VALUE!</v>
      </c>
      <c r="AY122" s="0" t="e">
        <f aca="false">AS122*COS(AH122)+AU122*SIN(AH122)</f>
        <v>#VALUE!</v>
      </c>
      <c r="AZ122" s="0" t="e">
        <f aca="false">AX122</f>
        <v>#VALUE!</v>
      </c>
      <c r="BA122" s="0" t="n">
        <f aca="false">AW122</f>
        <v>113</v>
      </c>
      <c r="BB122" s="0" t="e">
        <f aca="false">IF(AND(AV122&lt;0,AZ122*AZ123&lt;0),BA122+(BA123-BA122)*AZ122/(AZ123-AZ122),"")</f>
        <v>#VALUE!</v>
      </c>
      <c r="BC122" s="0" t="e">
        <f aca="false">IF(AND(AV122&lt;0,AZ122*AZ123&lt;0),AY122+(AY123-AY122)*AZ122/(AZ123-AZ122),"")</f>
        <v>#VALUE!</v>
      </c>
    </row>
    <row r="123" customFormat="false" ht="12.75" hidden="false" customHeight="false" outlineLevel="0" collapsed="false">
      <c r="AG123" s="0" t="n">
        <f aca="false">AG122+1</f>
        <v>114</v>
      </c>
      <c r="AH123" s="0" t="n">
        <f aca="false">AG123*PI()/180</f>
        <v>1.98967534727354</v>
      </c>
      <c r="AI123" s="0" t="n">
        <f aca="false">$D$9*SIN(AH123)</f>
        <v>1.8270909152852</v>
      </c>
      <c r="AJ123" s="19" t="n">
        <f aca="false">$E$9*$Q$10*SIN(AH123)/$K$9</f>
        <v>1616081.86855412</v>
      </c>
      <c r="AK123" s="0" t="e">
        <f aca="false">interpfn($Y$9:$Z$36,AI123,2)</f>
        <v>#VALUE!</v>
      </c>
      <c r="AL123" s="0" t="e">
        <f aca="false">interpfn($AA$9:$AB$27,AJ123,2)</f>
        <v>#VALUE!</v>
      </c>
      <c r="AM123" s="0" t="n">
        <f aca="false">IF(AI123&gt;0.45,1,AL123)</f>
        <v>1</v>
      </c>
      <c r="AO123" s="0" t="e">
        <f aca="false">interpfn($AE$9:$AF$22,AI123,2)</f>
        <v>#VALUE!</v>
      </c>
      <c r="AP123" s="0" t="e">
        <f aca="false">AK123*AM123</f>
        <v>#VALUE!</v>
      </c>
      <c r="AQ123" s="0" t="e">
        <f aca="false">$AN$9*AO123</f>
        <v>#VALUE!</v>
      </c>
      <c r="AS123" s="0" t="e">
        <f aca="false">-$T$14*(COS(AH123))^2+$AR$9*(SIN(AH123))^2</f>
        <v>#VALUE!</v>
      </c>
      <c r="AT123" s="0" t="e">
        <f aca="false">-($U$14/2)*(2*COS(2*AH123)*SIN(AH123/2)+SIN(2*AH123)*COS(AH123/2)/2)+2*AQ32*AP32*$N$29*SIN(AH123)*COS(AH123)/$J$9</f>
        <v>#VALUE!</v>
      </c>
      <c r="AU123" s="0" t="e">
        <f aca="false">-($U$14/2)*SIN(2*AH123)*SIN(AH123/2)+AQ123*AP123*$N$29*(SIN(AH123)^2)/$J$9</f>
        <v>#VALUE!</v>
      </c>
      <c r="AV123" s="0" t="e">
        <f aca="false">($U$14*($F$9/12-$W$14)/(2*$K$9))*(2*COS(2*AH123)*SIN(AH123/2)/2+SIN(2*AH123)*COS(AH123/2)/2)+2*AP32*AQ32*$N$29*($F$9/12-$S$10)*SIN(AH123)*COS(AH123)/($J$9*$K$9)</f>
        <v>#VALUE!</v>
      </c>
      <c r="AW123" s="0" t="n">
        <f aca="false">AG123</f>
        <v>114</v>
      </c>
      <c r="AX123" s="0" t="e">
        <f aca="false">($U$14*($F$9/12-$W$14)/(2*$K$9)*SIN(2*AH123)*SIN(AH123/2)+AP123*AQ123*$N$29*($F$9/12-$S$10)*(SIN(AH123))^2/($J$9*$K$9))</f>
        <v>#VALUE!</v>
      </c>
      <c r="AY123" s="0" t="e">
        <f aca="false">AS123*COS(AH123)+AU123*SIN(AH123)</f>
        <v>#VALUE!</v>
      </c>
      <c r="AZ123" s="0" t="e">
        <f aca="false">AX123</f>
        <v>#VALUE!</v>
      </c>
      <c r="BA123" s="0" t="n">
        <f aca="false">AW123</f>
        <v>114</v>
      </c>
      <c r="BB123" s="0" t="e">
        <f aca="false">IF(AND(AV123&lt;0,AZ123*AZ124&lt;0),BA123+(BA124-BA123)*AZ123/(AZ124-AZ123),"")</f>
        <v>#VALUE!</v>
      </c>
      <c r="BC123" s="0" t="e">
        <f aca="false">IF(AND(AV123&lt;0,AZ123*AZ124&lt;0),AY123+(AY124-AY123)*AZ123/(AZ124-AZ123),"")</f>
        <v>#VALUE!</v>
      </c>
    </row>
    <row r="124" customFormat="false" ht="12.75" hidden="false" customHeight="false" outlineLevel="0" collapsed="false">
      <c r="AG124" s="0" t="n">
        <f aca="false">AG123+1</f>
        <v>115</v>
      </c>
      <c r="AH124" s="0" t="n">
        <f aca="false">AG124*PI()/180</f>
        <v>2.00712863979348</v>
      </c>
      <c r="AI124" s="0" t="n">
        <f aca="false">$D$9*SIN(AH124)</f>
        <v>1.8126155740733</v>
      </c>
      <c r="AJ124" s="19" t="n">
        <f aca="false">$E$9*$Q$10*SIN(AH124)/$K$9</f>
        <v>1603278.27116442</v>
      </c>
      <c r="AK124" s="0" t="e">
        <f aca="false">interpfn($Y$9:$Z$36,AI124,2)</f>
        <v>#VALUE!</v>
      </c>
      <c r="AL124" s="0" t="e">
        <f aca="false">interpfn($AA$9:$AB$27,AJ124,2)</f>
        <v>#VALUE!</v>
      </c>
      <c r="AM124" s="0" t="n">
        <f aca="false">IF(AI124&gt;0.45,1,AL124)</f>
        <v>1</v>
      </c>
      <c r="AO124" s="0" t="e">
        <f aca="false">interpfn($AE$9:$AF$22,AI124,2)</f>
        <v>#VALUE!</v>
      </c>
      <c r="AP124" s="0" t="e">
        <f aca="false">AK124*AM124</f>
        <v>#VALUE!</v>
      </c>
      <c r="AQ124" s="0" t="e">
        <f aca="false">$AN$9*AO124</f>
        <v>#VALUE!</v>
      </c>
      <c r="AS124" s="0" t="e">
        <f aca="false">-$T$14*(COS(AH124))^2+$AR$9*(SIN(AH124))^2</f>
        <v>#VALUE!</v>
      </c>
      <c r="AT124" s="0" t="e">
        <f aca="false">-($U$14/2)*(2*COS(2*AH124)*SIN(AH124/2)+SIN(2*AH124)*COS(AH124/2)/2)+2*AQ33*AP33*$N$29*SIN(AH124)*COS(AH124)/$J$9</f>
        <v>#VALUE!</v>
      </c>
      <c r="AU124" s="0" t="e">
        <f aca="false">-($U$14/2)*SIN(2*AH124)*SIN(AH124/2)+AQ124*AP124*$N$29*(SIN(AH124)^2)/$J$9</f>
        <v>#VALUE!</v>
      </c>
      <c r="AV124" s="0" t="e">
        <f aca="false">($U$14*($F$9/12-$W$14)/(2*$K$9))*(2*COS(2*AH124)*SIN(AH124/2)/2+SIN(2*AH124)*COS(AH124/2)/2)+2*AP33*AQ33*$N$29*($F$9/12-$S$10)*SIN(AH124)*COS(AH124)/($J$9*$K$9)</f>
        <v>#VALUE!</v>
      </c>
      <c r="AW124" s="0" t="n">
        <f aca="false">AG124</f>
        <v>115</v>
      </c>
      <c r="AX124" s="0" t="e">
        <f aca="false">($U$14*($F$9/12-$W$14)/(2*$K$9)*SIN(2*AH124)*SIN(AH124/2)+AP124*AQ124*$N$29*($F$9/12-$S$10)*(SIN(AH124))^2/($J$9*$K$9))</f>
        <v>#VALUE!</v>
      </c>
      <c r="AY124" s="0" t="e">
        <f aca="false">AS124*COS(AH124)+AU124*SIN(AH124)</f>
        <v>#VALUE!</v>
      </c>
      <c r="AZ124" s="0" t="e">
        <f aca="false">AX124</f>
        <v>#VALUE!</v>
      </c>
      <c r="BA124" s="0" t="n">
        <f aca="false">AW124</f>
        <v>115</v>
      </c>
      <c r="BB124" s="0" t="e">
        <f aca="false">IF(AND(AV124&lt;0,AZ124*AZ125&lt;0),BA124+(BA125-BA124)*AZ124/(AZ125-AZ124),"")</f>
        <v>#VALUE!</v>
      </c>
      <c r="BC124" s="0" t="e">
        <f aca="false">IF(AND(AV124&lt;0,AZ124*AZ125&lt;0),AY124+(AY125-AY124)*AZ124/(AZ125-AZ124),"")</f>
        <v>#VALUE!</v>
      </c>
    </row>
    <row r="125" customFormat="false" ht="12.75" hidden="false" customHeight="false" outlineLevel="0" collapsed="false">
      <c r="AG125" s="0" t="n">
        <f aca="false">AG124+1</f>
        <v>116</v>
      </c>
      <c r="AH125" s="0" t="n">
        <f aca="false">AG125*PI()/180</f>
        <v>2.02458193231342</v>
      </c>
      <c r="AI125" s="0" t="n">
        <f aca="false">$D$9*SIN(AH125)</f>
        <v>1.79758809259833</v>
      </c>
      <c r="AJ125" s="19" t="n">
        <f aca="false">$E$9*$Q$10*SIN(AH125)/$K$9</f>
        <v>1589986.29968202</v>
      </c>
      <c r="AK125" s="0" t="e">
        <f aca="false">interpfn($Y$9:$Z$36,AI125,2)</f>
        <v>#VALUE!</v>
      </c>
      <c r="AL125" s="0" t="e">
        <f aca="false">interpfn($AA$9:$AB$27,AJ125,2)</f>
        <v>#VALUE!</v>
      </c>
      <c r="AM125" s="0" t="n">
        <f aca="false">IF(AI125&gt;0.45,1,AL125)</f>
        <v>1</v>
      </c>
      <c r="AO125" s="0" t="e">
        <f aca="false">interpfn($AE$9:$AF$22,AI125,2)</f>
        <v>#VALUE!</v>
      </c>
      <c r="AP125" s="0" t="e">
        <f aca="false">AK125*AM125</f>
        <v>#VALUE!</v>
      </c>
      <c r="AQ125" s="0" t="e">
        <f aca="false">$AN$9*AO125</f>
        <v>#VALUE!</v>
      </c>
      <c r="AS125" s="0" t="e">
        <f aca="false">-$T$14*(COS(AH125))^2+$AR$9*(SIN(AH125))^2</f>
        <v>#VALUE!</v>
      </c>
      <c r="AT125" s="0" t="e">
        <f aca="false">-($U$14/2)*(2*COS(2*AH125)*SIN(AH125/2)+SIN(2*AH125)*COS(AH125/2)/2)+2*AQ34*AP34*$N$29*SIN(AH125)*COS(AH125)/$J$9</f>
        <v>#VALUE!</v>
      </c>
      <c r="AU125" s="0" t="e">
        <f aca="false">-($U$14/2)*SIN(2*AH125)*SIN(AH125/2)+AQ125*AP125*$N$29*(SIN(AH125)^2)/$J$9</f>
        <v>#VALUE!</v>
      </c>
      <c r="AV125" s="0" t="e">
        <f aca="false">($U$14*($F$9/12-$W$14)/(2*$K$9))*(2*COS(2*AH125)*SIN(AH125/2)/2+SIN(2*AH125)*COS(AH125/2)/2)+2*AP34*AQ34*$N$29*($F$9/12-$S$10)*SIN(AH125)*COS(AH125)/($J$9*$K$9)</f>
        <v>#VALUE!</v>
      </c>
      <c r="AW125" s="0" t="n">
        <f aca="false">AG125</f>
        <v>116</v>
      </c>
      <c r="AX125" s="0" t="e">
        <f aca="false">($U$14*($F$9/12-$W$14)/(2*$K$9)*SIN(2*AH125)*SIN(AH125/2)+AP125*AQ125*$N$29*($F$9/12-$S$10)*(SIN(AH125))^2/($J$9*$K$9))</f>
        <v>#VALUE!</v>
      </c>
      <c r="AY125" s="0" t="e">
        <f aca="false">AS125*COS(AH125)+AU125*SIN(AH125)</f>
        <v>#VALUE!</v>
      </c>
      <c r="AZ125" s="0" t="e">
        <f aca="false">AX125</f>
        <v>#VALUE!</v>
      </c>
      <c r="BA125" s="0" t="n">
        <f aca="false">AW125</f>
        <v>116</v>
      </c>
      <c r="BB125" s="0" t="e">
        <f aca="false">IF(AND(AV125&lt;0,AZ125*AZ126&lt;0),BA125+(BA126-BA125)*AZ125/(AZ126-AZ125),"")</f>
        <v>#VALUE!</v>
      </c>
      <c r="BC125" s="0" t="e">
        <f aca="false">IF(AND(AV125&lt;0,AZ125*AZ126&lt;0),AY125+(AY126-AY125)*AZ125/(AZ126-AZ125),"")</f>
        <v>#VALUE!</v>
      </c>
    </row>
    <row r="126" customFormat="false" ht="12.75" hidden="false" customHeight="false" outlineLevel="0" collapsed="false">
      <c r="AG126" s="0" t="n">
        <f aca="false">AG125+1</f>
        <v>117</v>
      </c>
      <c r="AH126" s="0" t="n">
        <f aca="false">AG126*PI()/180</f>
        <v>2.04203522483337</v>
      </c>
      <c r="AI126" s="0" t="n">
        <f aca="false">$D$9*SIN(AH126)</f>
        <v>1.78201304837674</v>
      </c>
      <c r="AJ126" s="19" t="n">
        <f aca="false">$E$9*$Q$10*SIN(AH126)/$K$9</f>
        <v>1576210.00297019</v>
      </c>
      <c r="AK126" s="0" t="e">
        <f aca="false">interpfn($Y$9:$Z$36,AI126,2)</f>
        <v>#VALUE!</v>
      </c>
      <c r="AL126" s="0" t="e">
        <f aca="false">interpfn($AA$9:$AB$27,AJ126,2)</f>
        <v>#VALUE!</v>
      </c>
      <c r="AM126" s="0" t="n">
        <f aca="false">IF(AI126&gt;0.45,1,AL126)</f>
        <v>1</v>
      </c>
      <c r="AO126" s="0" t="e">
        <f aca="false">interpfn($AE$9:$AF$22,AI126,2)</f>
        <v>#VALUE!</v>
      </c>
      <c r="AP126" s="0" t="e">
        <f aca="false">AK126*AM126</f>
        <v>#VALUE!</v>
      </c>
      <c r="AQ126" s="0" t="e">
        <f aca="false">$AN$9*AO126</f>
        <v>#VALUE!</v>
      </c>
      <c r="AS126" s="0" t="e">
        <f aca="false">-$T$14*(COS(AH126))^2+$AR$9*(SIN(AH126))^2</f>
        <v>#VALUE!</v>
      </c>
      <c r="AT126" s="0" t="e">
        <f aca="false">-($U$14/2)*(2*COS(2*AH126)*SIN(AH126/2)+SIN(2*AH126)*COS(AH126/2)/2)+2*AQ35*AP35*$N$29*SIN(AH126)*COS(AH126)/$J$9</f>
        <v>#VALUE!</v>
      </c>
      <c r="AU126" s="0" t="e">
        <f aca="false">-($U$14/2)*SIN(2*AH126)*SIN(AH126/2)+AQ126*AP126*$N$29*(SIN(AH126)^2)/$J$9</f>
        <v>#VALUE!</v>
      </c>
      <c r="AV126" s="0" t="e">
        <f aca="false">($U$14*($F$9/12-$W$14)/(2*$K$9))*(2*COS(2*AH126)*SIN(AH126/2)/2+SIN(2*AH126)*COS(AH126/2)/2)+2*AP35*AQ35*$N$29*($F$9/12-$S$10)*SIN(AH126)*COS(AH126)/($J$9*$K$9)</f>
        <v>#VALUE!</v>
      </c>
      <c r="AW126" s="0" t="n">
        <f aca="false">AG126</f>
        <v>117</v>
      </c>
      <c r="AX126" s="0" t="e">
        <f aca="false">($U$14*($F$9/12-$W$14)/(2*$K$9)*SIN(2*AH126)*SIN(AH126/2)+AP126*AQ126*$N$29*($F$9/12-$S$10)*(SIN(AH126))^2/($J$9*$K$9))</f>
        <v>#VALUE!</v>
      </c>
      <c r="AY126" s="0" t="e">
        <f aca="false">AS126*COS(AH126)+AU126*SIN(AH126)</f>
        <v>#VALUE!</v>
      </c>
      <c r="AZ126" s="0" t="e">
        <f aca="false">AX126</f>
        <v>#VALUE!</v>
      </c>
      <c r="BA126" s="0" t="n">
        <f aca="false">AW126</f>
        <v>117</v>
      </c>
      <c r="BB126" s="0" t="e">
        <f aca="false">IF(AND(AV126&lt;0,AZ126*AZ127&lt;0),BA126+(BA127-BA126)*AZ126/(AZ127-AZ126),"")</f>
        <v>#VALUE!</v>
      </c>
      <c r="BC126" s="0" t="e">
        <f aca="false">IF(AND(AV126&lt;0,AZ126*AZ127&lt;0),AY126+(AY127-AY126)*AZ126/(AZ127-AZ126),"")</f>
        <v>#VALUE!</v>
      </c>
    </row>
    <row r="127" customFormat="false" ht="12.75" hidden="false" customHeight="false" outlineLevel="0" collapsed="false">
      <c r="AG127" s="0" t="n">
        <f aca="false">AG126+1</f>
        <v>118</v>
      </c>
      <c r="AH127" s="0" t="n">
        <f aca="false">AG127*PI()/180</f>
        <v>2.05948851735331</v>
      </c>
      <c r="AI127" s="0" t="n">
        <f aca="false">$D$9*SIN(AH127)</f>
        <v>1.76589518571785</v>
      </c>
      <c r="AJ127" s="19" t="n">
        <f aca="false">$E$9*$Q$10*SIN(AH127)/$K$9</f>
        <v>1561953.57742237</v>
      </c>
      <c r="AK127" s="0" t="e">
        <f aca="false">interpfn($Y$9:$Z$36,AI127,2)</f>
        <v>#VALUE!</v>
      </c>
      <c r="AL127" s="0" t="e">
        <f aca="false">interpfn($AA$9:$AB$27,AJ127,2)</f>
        <v>#VALUE!</v>
      </c>
      <c r="AM127" s="0" t="n">
        <f aca="false">IF(AI127&gt;0.45,1,AL127)</f>
        <v>1</v>
      </c>
      <c r="AO127" s="0" t="e">
        <f aca="false">interpfn($AE$9:$AF$22,AI127,2)</f>
        <v>#VALUE!</v>
      </c>
      <c r="AP127" s="0" t="e">
        <f aca="false">AK127*AM127</f>
        <v>#VALUE!</v>
      </c>
      <c r="AQ127" s="0" t="e">
        <f aca="false">$AN$9*AO127</f>
        <v>#VALUE!</v>
      </c>
      <c r="AS127" s="0" t="e">
        <f aca="false">-$T$14*(COS(AH127))^2+$AR$9*(SIN(AH127))^2</f>
        <v>#VALUE!</v>
      </c>
      <c r="AT127" s="0" t="e">
        <f aca="false">-($U$14/2)*(2*COS(2*AH127)*SIN(AH127/2)+SIN(2*AH127)*COS(AH127/2)/2)+2*AQ36*AP36*$N$29*SIN(AH127)*COS(AH127)/$J$9</f>
        <v>#VALUE!</v>
      </c>
      <c r="AU127" s="0" t="e">
        <f aca="false">-($U$14/2)*SIN(2*AH127)*SIN(AH127/2)+AQ127*AP127*$N$29*(SIN(AH127)^2)/$J$9</f>
        <v>#VALUE!</v>
      </c>
      <c r="AV127" s="0" t="e">
        <f aca="false">($U$14*($F$9/12-$W$14)/(2*$K$9))*(2*COS(2*AH127)*SIN(AH127/2)/2+SIN(2*AH127)*COS(AH127/2)/2)+2*AP36*AQ36*$N$29*($F$9/12-$S$10)*SIN(AH127)*COS(AH127)/($J$9*$K$9)</f>
        <v>#VALUE!</v>
      </c>
      <c r="AW127" s="0" t="n">
        <f aca="false">AG127</f>
        <v>118</v>
      </c>
      <c r="AX127" s="0" t="e">
        <f aca="false">($U$14*($F$9/12-$W$14)/(2*$K$9)*SIN(2*AH127)*SIN(AH127/2)+AP127*AQ127*$N$29*($F$9/12-$S$10)*(SIN(AH127))^2/($J$9*$K$9))</f>
        <v>#VALUE!</v>
      </c>
      <c r="AY127" s="0" t="e">
        <f aca="false">AS127*COS(AH127)+AU127*SIN(AH127)</f>
        <v>#VALUE!</v>
      </c>
      <c r="AZ127" s="0" t="e">
        <f aca="false">AX127</f>
        <v>#VALUE!</v>
      </c>
      <c r="BA127" s="0" t="n">
        <f aca="false">AW127</f>
        <v>118</v>
      </c>
      <c r="BB127" s="0" t="e">
        <f aca="false">IF(AND(AV127&lt;0,AZ127*AZ128&lt;0),BA127+(BA128-BA127)*AZ127/(AZ128-AZ127),"")</f>
        <v>#VALUE!</v>
      </c>
      <c r="BC127" s="0" t="e">
        <f aca="false">IF(AND(AV127&lt;0,AZ127*AZ128&lt;0),AY127+(AY128-AY127)*AZ127/(AZ128-AZ127),"")</f>
        <v>#VALUE!</v>
      </c>
    </row>
    <row r="128" customFormat="false" ht="12.75" hidden="false" customHeight="false" outlineLevel="0" collapsed="false">
      <c r="AG128" s="0" t="n">
        <f aca="false">AG127+1</f>
        <v>119</v>
      </c>
      <c r="AH128" s="0" t="n">
        <f aca="false">AG128*PI()/180</f>
        <v>2.07694180987325</v>
      </c>
      <c r="AI128" s="0" t="n">
        <f aca="false">$D$9*SIN(AH128)</f>
        <v>1.74923941427879</v>
      </c>
      <c r="AJ128" s="19" t="n">
        <f aca="false">$E$9*$Q$10*SIN(AH128)/$K$9</f>
        <v>1547221.36568388</v>
      </c>
      <c r="AK128" s="0" t="e">
        <f aca="false">interpfn($Y$9:$Z$36,AI128,2)</f>
        <v>#VALUE!</v>
      </c>
      <c r="AL128" s="0" t="e">
        <f aca="false">interpfn($AA$9:$AB$27,AJ128,2)</f>
        <v>#VALUE!</v>
      </c>
      <c r="AM128" s="0" t="n">
        <f aca="false">IF(AI128&gt;0.45,1,AL128)</f>
        <v>1</v>
      </c>
      <c r="AO128" s="0" t="e">
        <f aca="false">interpfn($AE$9:$AF$22,AI128,2)</f>
        <v>#VALUE!</v>
      </c>
      <c r="AP128" s="0" t="e">
        <f aca="false">AK128*AM128</f>
        <v>#VALUE!</v>
      </c>
      <c r="AQ128" s="0" t="e">
        <f aca="false">$AN$9*AO128</f>
        <v>#VALUE!</v>
      </c>
      <c r="AS128" s="0" t="e">
        <f aca="false">-$T$14*(COS(AH128))^2+$AR$9*(SIN(AH128))^2</f>
        <v>#VALUE!</v>
      </c>
      <c r="AT128" s="0" t="e">
        <f aca="false">-($U$14/2)*(2*COS(2*AH128)*SIN(AH128/2)+SIN(2*AH128)*COS(AH128/2)/2)+2*AQ37*AP37*$N$29*SIN(AH128)*COS(AH128)/$J$9</f>
        <v>#VALUE!</v>
      </c>
      <c r="AU128" s="0" t="e">
        <f aca="false">-($U$14/2)*SIN(2*AH128)*SIN(AH128/2)+AQ128*AP128*$N$29*(SIN(AH128)^2)/$J$9</f>
        <v>#VALUE!</v>
      </c>
      <c r="AV128" s="0" t="e">
        <f aca="false">($U$14*($F$9/12-$W$14)/(2*$K$9))*(2*COS(2*AH128)*SIN(AH128/2)/2+SIN(2*AH128)*COS(AH128/2)/2)+2*AP37*AQ37*$N$29*($F$9/12-$S$10)*SIN(AH128)*COS(AH128)/($J$9*$K$9)</f>
        <v>#VALUE!</v>
      </c>
      <c r="AW128" s="0" t="n">
        <f aca="false">AG128</f>
        <v>119</v>
      </c>
      <c r="AX128" s="0" t="e">
        <f aca="false">($U$14*($F$9/12-$W$14)/(2*$K$9)*SIN(2*AH128)*SIN(AH128/2)+AP128*AQ128*$N$29*($F$9/12-$S$10)*(SIN(AH128))^2/($J$9*$K$9))</f>
        <v>#VALUE!</v>
      </c>
      <c r="AY128" s="0" t="e">
        <f aca="false">AS128*COS(AH128)+AU128*SIN(AH128)</f>
        <v>#VALUE!</v>
      </c>
      <c r="AZ128" s="0" t="e">
        <f aca="false">AX128</f>
        <v>#VALUE!</v>
      </c>
      <c r="BA128" s="0" t="n">
        <f aca="false">AW128</f>
        <v>119</v>
      </c>
      <c r="BB128" s="0" t="e">
        <f aca="false">IF(AND(AV128&lt;0,AZ128*AZ129&lt;0),BA128+(BA129-BA128)*AZ128/(AZ129-AZ128),"")</f>
        <v>#VALUE!</v>
      </c>
      <c r="BC128" s="0" t="e">
        <f aca="false">IF(AND(AV128&lt;0,AZ128*AZ129&lt;0),AY128+(AY129-AY128)*AZ128/(AZ129-AZ128),"")</f>
        <v>#VALUE!</v>
      </c>
    </row>
    <row r="129" customFormat="false" ht="12.75" hidden="false" customHeight="false" outlineLevel="0" collapsed="false">
      <c r="AG129" s="0" t="n">
        <f aca="false">AG128+1</f>
        <v>120</v>
      </c>
      <c r="AH129" s="0" t="n">
        <f aca="false">AG129*PI()/180</f>
        <v>2.0943951023932</v>
      </c>
      <c r="AI129" s="0" t="n">
        <f aca="false">$D$9*SIN(AH129)</f>
        <v>1.73205080756888</v>
      </c>
      <c r="AJ129" s="19" t="n">
        <f aca="false">$E$9*$Q$10*SIN(AH129)/$K$9</f>
        <v>1532017.85532913</v>
      </c>
      <c r="AK129" s="0" t="e">
        <f aca="false">interpfn($Y$9:$Z$36,AI129,2)</f>
        <v>#VALUE!</v>
      </c>
      <c r="AL129" s="0" t="e">
        <f aca="false">interpfn($AA$9:$AB$27,AJ129,2)</f>
        <v>#VALUE!</v>
      </c>
      <c r="AM129" s="0" t="n">
        <f aca="false">IF(AI129&gt;0.45,1,AL129)</f>
        <v>1</v>
      </c>
      <c r="AO129" s="0" t="e">
        <f aca="false">interpfn($AE$9:$AF$22,AI129,2)</f>
        <v>#VALUE!</v>
      </c>
      <c r="AP129" s="0" t="e">
        <f aca="false">AK129*AM129</f>
        <v>#VALUE!</v>
      </c>
      <c r="AQ129" s="0" t="e">
        <f aca="false">$AN$9*AO129</f>
        <v>#VALUE!</v>
      </c>
      <c r="AS129" s="0" t="e">
        <f aca="false">-$T$14*(COS(AH129))^2+$AR$9*(SIN(AH129))^2</f>
        <v>#VALUE!</v>
      </c>
      <c r="AT129" s="0" t="e">
        <f aca="false">-($U$14/2)*(2*COS(2*AH129)*SIN(AH129/2)+SIN(2*AH129)*COS(AH129/2)/2)+2*AQ38*AP38*$N$29*SIN(AH129)*COS(AH129)/$J$9</f>
        <v>#VALUE!</v>
      </c>
      <c r="AU129" s="0" t="e">
        <f aca="false">-($U$14/2)*SIN(2*AH129)*SIN(AH129/2)+AQ129*AP129*$N$29*(SIN(AH129)^2)/$J$9</f>
        <v>#VALUE!</v>
      </c>
      <c r="AV129" s="0" t="e">
        <f aca="false">($U$14*($F$9/12-$W$14)/(2*$K$9))*(2*COS(2*AH129)*SIN(AH129/2)/2+SIN(2*AH129)*COS(AH129/2)/2)+2*AP38*AQ38*$N$29*($F$9/12-$S$10)*SIN(AH129)*COS(AH129)/($J$9*$K$9)</f>
        <v>#VALUE!</v>
      </c>
      <c r="AW129" s="0" t="n">
        <f aca="false">AG129</f>
        <v>120</v>
      </c>
      <c r="AX129" s="0" t="e">
        <f aca="false">($U$14*($F$9/12-$W$14)/(2*$K$9)*SIN(2*AH129)*SIN(AH129/2)+AP129*AQ129*$N$29*($F$9/12-$S$10)*(SIN(AH129))^2/($J$9*$K$9))</f>
        <v>#VALUE!</v>
      </c>
      <c r="AY129" s="0" t="e">
        <f aca="false">AS129*COS(AH129)+AU129*SIN(AH129)</f>
        <v>#VALUE!</v>
      </c>
      <c r="AZ129" s="0" t="e">
        <f aca="false">AX129</f>
        <v>#VALUE!</v>
      </c>
      <c r="BA129" s="0" t="n">
        <f aca="false">AW129</f>
        <v>120</v>
      </c>
      <c r="BB129" s="0" t="e">
        <f aca="false">IF(AND(AV129&lt;0,AZ129*AZ130&lt;0),BA129+(BA130-BA129)*AZ129/(AZ130-AZ129),"")</f>
        <v>#VALUE!</v>
      </c>
      <c r="BC129" s="0" t="e">
        <f aca="false">IF(AND(AV129&lt;0,AZ129*AZ130&lt;0),AY129+(AY130-AY129)*AZ129/(AZ130-AZ129),"")</f>
        <v>#VALUE!</v>
      </c>
    </row>
    <row r="130" customFormat="false" ht="12.75" hidden="false" customHeight="false" outlineLevel="0" collapsed="false">
      <c r="AG130" s="0" t="n">
        <f aca="false">AG129+1</f>
        <v>121</v>
      </c>
      <c r="AH130" s="0" t="n">
        <f aca="false">AG130*PI()/180</f>
        <v>2.11184839491314</v>
      </c>
      <c r="AI130" s="0" t="n">
        <f aca="false">$D$9*SIN(AH130)</f>
        <v>1.71433460140422</v>
      </c>
      <c r="AJ130" s="19" t="n">
        <f aca="false">$E$9*$Q$10*SIN(AH130)/$K$9</f>
        <v>1516347.67749466</v>
      </c>
      <c r="AK130" s="0" t="e">
        <f aca="false">interpfn($Y$9:$Z$36,AI130,2)</f>
        <v>#VALUE!</v>
      </c>
      <c r="AL130" s="0" t="e">
        <f aca="false">interpfn($AA$9:$AB$27,AJ130,2)</f>
        <v>#VALUE!</v>
      </c>
      <c r="AM130" s="0" t="n">
        <f aca="false">IF(AI130&gt;0.45,1,AL130)</f>
        <v>1</v>
      </c>
      <c r="AO130" s="0" t="e">
        <f aca="false">interpfn($AE$9:$AF$22,AI130,2)</f>
        <v>#VALUE!</v>
      </c>
      <c r="AP130" s="0" t="e">
        <f aca="false">AK130*AM130</f>
        <v>#VALUE!</v>
      </c>
      <c r="AQ130" s="0" t="e">
        <f aca="false">$AN$9*AO130</f>
        <v>#VALUE!</v>
      </c>
      <c r="AS130" s="0" t="e">
        <f aca="false">-$T$14*(COS(AH130))^2+$AR$9*(SIN(AH130))^2</f>
        <v>#VALUE!</v>
      </c>
      <c r="AT130" s="0" t="e">
        <f aca="false">-($U$14/2)*(2*COS(2*AH130)*SIN(AH130/2)+SIN(2*AH130)*COS(AH130/2)/2)+2*AQ39*AP39*$N$29*SIN(AH130)*COS(AH130)/$J$9</f>
        <v>#VALUE!</v>
      </c>
      <c r="AU130" s="0" t="e">
        <f aca="false">-($U$14/2)*SIN(2*AH130)*SIN(AH130/2)+AQ130*AP130*$N$29*(SIN(AH130)^2)/$J$9</f>
        <v>#VALUE!</v>
      </c>
      <c r="AV130" s="0" t="e">
        <f aca="false">($U$14*($F$9/12-$W$14)/(2*$K$9))*(2*COS(2*AH130)*SIN(AH130/2)/2+SIN(2*AH130)*COS(AH130/2)/2)+2*AP39*AQ39*$N$29*($F$9/12-$S$10)*SIN(AH130)*COS(AH130)/($J$9*$K$9)</f>
        <v>#VALUE!</v>
      </c>
      <c r="AW130" s="0" t="n">
        <f aca="false">AG130</f>
        <v>121</v>
      </c>
      <c r="AX130" s="0" t="e">
        <f aca="false">($U$14*($F$9/12-$W$14)/(2*$K$9)*SIN(2*AH130)*SIN(AH130/2)+AP130*AQ130*$N$29*($F$9/12-$S$10)*(SIN(AH130))^2/($J$9*$K$9))</f>
        <v>#VALUE!</v>
      </c>
      <c r="AY130" s="0" t="e">
        <f aca="false">AS130*COS(AH130)+AU130*SIN(AH130)</f>
        <v>#VALUE!</v>
      </c>
      <c r="AZ130" s="0" t="e">
        <f aca="false">AX130</f>
        <v>#VALUE!</v>
      </c>
      <c r="BA130" s="0" t="n">
        <f aca="false">AW130</f>
        <v>121</v>
      </c>
      <c r="BB130" s="0" t="e">
        <f aca="false">IF(AND(AV130&lt;0,AZ130*AZ131&lt;0),BA130+(BA131-BA130)*AZ130/(AZ131-AZ130),"")</f>
        <v>#VALUE!</v>
      </c>
      <c r="BC130" s="0" t="e">
        <f aca="false">IF(AND(AV130&lt;0,AZ130*AZ131&lt;0),AY130+(AY131-AY130)*AZ130/(AZ131-AZ130),"")</f>
        <v>#VALUE!</v>
      </c>
    </row>
    <row r="131" customFormat="false" ht="12.75" hidden="false" customHeight="false" outlineLevel="0" collapsed="false">
      <c r="AG131" s="0" t="n">
        <f aca="false">AG130+1</f>
        <v>122</v>
      </c>
      <c r="AH131" s="0" t="n">
        <f aca="false">AG131*PI()/180</f>
        <v>2.12930168743308</v>
      </c>
      <c r="AI131" s="0" t="n">
        <f aca="false">$D$9*SIN(AH131)</f>
        <v>1.69609619231285</v>
      </c>
      <c r="AJ131" s="19" t="n">
        <f aca="false">$E$9*$Q$10*SIN(AH131)/$K$9</f>
        <v>1500215.60546844</v>
      </c>
      <c r="AK131" s="0" t="e">
        <f aca="false">interpfn($Y$9:$Z$36,AI131,2)</f>
        <v>#VALUE!</v>
      </c>
      <c r="AL131" s="0" t="e">
        <f aca="false">interpfn($AA$9:$AB$27,AJ131,2)</f>
        <v>#VALUE!</v>
      </c>
      <c r="AM131" s="0" t="n">
        <f aca="false">IF(AI131&gt;0.45,1,AL131)</f>
        <v>1</v>
      </c>
      <c r="AO131" s="0" t="e">
        <f aca="false">interpfn($AE$9:$AF$22,AI131,2)</f>
        <v>#VALUE!</v>
      </c>
      <c r="AP131" s="0" t="e">
        <f aca="false">AK131*AM131</f>
        <v>#VALUE!</v>
      </c>
      <c r="AQ131" s="0" t="e">
        <f aca="false">$AN$9*AO131</f>
        <v>#VALUE!</v>
      </c>
      <c r="AS131" s="0" t="e">
        <f aca="false">-$T$14*(COS(AH131))^2+$AR$9*(SIN(AH131))^2</f>
        <v>#VALUE!</v>
      </c>
      <c r="AT131" s="0" t="e">
        <f aca="false">-($U$14/2)*(2*COS(2*AH131)*SIN(AH131/2)+SIN(2*AH131)*COS(AH131/2)/2)+2*AQ40*AP40*$N$29*SIN(AH131)*COS(AH131)/$J$9</f>
        <v>#VALUE!</v>
      </c>
      <c r="AU131" s="0" t="e">
        <f aca="false">-($U$14/2)*SIN(2*AH131)*SIN(AH131/2)+AQ131*AP131*$N$29*(SIN(AH131)^2)/$J$9</f>
        <v>#VALUE!</v>
      </c>
      <c r="AV131" s="0" t="e">
        <f aca="false">($U$14*($F$9/12-$W$14)/(2*$K$9))*(2*COS(2*AH131)*SIN(AH131/2)/2+SIN(2*AH131)*COS(AH131/2)/2)+2*AP40*AQ40*$N$29*($F$9/12-$S$10)*SIN(AH131)*COS(AH131)/($J$9*$K$9)</f>
        <v>#VALUE!</v>
      </c>
      <c r="AW131" s="0" t="n">
        <f aca="false">AG131</f>
        <v>122</v>
      </c>
      <c r="AX131" s="0" t="e">
        <f aca="false">($U$14*($F$9/12-$W$14)/(2*$K$9)*SIN(2*AH131)*SIN(AH131/2)+AP131*AQ131*$N$29*($F$9/12-$S$10)*(SIN(AH131))^2/($J$9*$K$9))</f>
        <v>#VALUE!</v>
      </c>
      <c r="AY131" s="0" t="e">
        <f aca="false">AS131*COS(AH131)+AU131*SIN(AH131)</f>
        <v>#VALUE!</v>
      </c>
      <c r="AZ131" s="0" t="e">
        <f aca="false">AX131</f>
        <v>#VALUE!</v>
      </c>
      <c r="BA131" s="0" t="n">
        <f aca="false">AW131</f>
        <v>122</v>
      </c>
      <c r="BB131" s="0" t="e">
        <f aca="false">IF(AND(AV131&lt;0,AZ131*AZ132&lt;0),BA131+(BA132-BA131)*AZ131/(AZ132-AZ131),"")</f>
        <v>#VALUE!</v>
      </c>
      <c r="BC131" s="0" t="e">
        <f aca="false">IF(AND(AV131&lt;0,AZ131*AZ132&lt;0),AY131+(AY132-AY131)*AZ131/(AZ132-AZ131),"")</f>
        <v>#VALUE!</v>
      </c>
    </row>
    <row r="132" customFormat="false" ht="12.75" hidden="false" customHeight="false" outlineLevel="0" collapsed="false">
      <c r="AG132" s="0" t="n">
        <f aca="false">AG131+1</f>
        <v>123</v>
      </c>
      <c r="AH132" s="0" t="n">
        <f aca="false">AG132*PI()/180</f>
        <v>2.14675497995303</v>
      </c>
      <c r="AI132" s="0" t="n">
        <f aca="false">$D$9*SIN(AH132)</f>
        <v>1.67734113589085</v>
      </c>
      <c r="AJ132" s="19" t="n">
        <f aca="false">$E$9*$Q$10*SIN(AH132)/$K$9</f>
        <v>1483626.55323588</v>
      </c>
      <c r="AK132" s="0" t="e">
        <f aca="false">interpfn($Y$9:$Z$36,AI132,2)</f>
        <v>#VALUE!</v>
      </c>
      <c r="AL132" s="0" t="e">
        <f aca="false">interpfn($AA$9:$AB$27,AJ132,2)</f>
        <v>#VALUE!</v>
      </c>
      <c r="AM132" s="0" t="n">
        <f aca="false">IF(AI132&gt;0.45,1,AL132)</f>
        <v>1</v>
      </c>
      <c r="AO132" s="0" t="e">
        <f aca="false">interpfn($AE$9:$AF$22,AI132,2)</f>
        <v>#VALUE!</v>
      </c>
      <c r="AP132" s="0" t="e">
        <f aca="false">AK132*AM132</f>
        <v>#VALUE!</v>
      </c>
      <c r="AQ132" s="0" t="e">
        <f aca="false">$AN$9*AO132</f>
        <v>#VALUE!</v>
      </c>
      <c r="AS132" s="0" t="e">
        <f aca="false">-$T$14*(COS(AH132))^2+$AR$9*(SIN(AH132))^2</f>
        <v>#VALUE!</v>
      </c>
      <c r="AT132" s="0" t="e">
        <f aca="false">-($U$14/2)*(2*COS(2*AH132)*SIN(AH132/2)+SIN(2*AH132)*COS(AH132/2)/2)+2*AQ41*AP41*$N$29*SIN(AH132)*COS(AH132)/$J$9</f>
        <v>#VALUE!</v>
      </c>
      <c r="AU132" s="0" t="e">
        <f aca="false">-($U$14/2)*SIN(2*AH132)*SIN(AH132/2)+AQ132*AP132*$N$29*(SIN(AH132)^2)/$J$9</f>
        <v>#VALUE!</v>
      </c>
      <c r="AV132" s="0" t="e">
        <f aca="false">($U$14*($F$9/12-$W$14)/(2*$K$9))*(2*COS(2*AH132)*SIN(AH132/2)/2+SIN(2*AH132)*COS(AH132/2)/2)+2*AP41*AQ41*$N$29*($F$9/12-$S$10)*SIN(AH132)*COS(AH132)/($J$9*$K$9)</f>
        <v>#VALUE!</v>
      </c>
      <c r="AW132" s="0" t="n">
        <f aca="false">AG132</f>
        <v>123</v>
      </c>
      <c r="AX132" s="0" t="e">
        <f aca="false">($U$14*($F$9/12-$W$14)/(2*$K$9)*SIN(2*AH132)*SIN(AH132/2)+AP132*AQ132*$N$29*($F$9/12-$S$10)*(SIN(AH132))^2/($J$9*$K$9))</f>
        <v>#VALUE!</v>
      </c>
      <c r="AY132" s="0" t="e">
        <f aca="false">AS132*COS(AH132)+AU132*SIN(AH132)</f>
        <v>#VALUE!</v>
      </c>
      <c r="AZ132" s="0" t="e">
        <f aca="false">AX132</f>
        <v>#VALUE!</v>
      </c>
      <c r="BA132" s="0" t="n">
        <f aca="false">AW132</f>
        <v>123</v>
      </c>
      <c r="BB132" s="0" t="e">
        <f aca="false">IF(AND(AV132&lt;0,AZ132*AZ133&lt;0),BA132+(BA133-BA132)*AZ132/(AZ133-AZ132),"")</f>
        <v>#VALUE!</v>
      </c>
      <c r="BC132" s="0" t="e">
        <f aca="false">IF(AND(AV132&lt;0,AZ132*AZ133&lt;0),AY132+(AY133-AY132)*AZ132/(AZ133-AZ132),"")</f>
        <v>#VALUE!</v>
      </c>
    </row>
    <row r="133" customFormat="false" ht="12.75" hidden="false" customHeight="false" outlineLevel="0" collapsed="false">
      <c r="AG133" s="0" t="n">
        <f aca="false">AG132+1</f>
        <v>124</v>
      </c>
      <c r="AH133" s="0" t="n">
        <f aca="false">AG133*PI()/180</f>
        <v>2.16420827247297</v>
      </c>
      <c r="AI133" s="0" t="n">
        <f aca="false">$D$9*SIN(AH133)</f>
        <v>1.65807514511008</v>
      </c>
      <c r="AJ133" s="19" t="n">
        <f aca="false">$E$9*$Q$10*SIN(AH133)/$K$9</f>
        <v>1466585.57398298</v>
      </c>
      <c r="AK133" s="0" t="e">
        <f aca="false">interpfn($Y$9:$Z$36,AI133,2)</f>
        <v>#VALUE!</v>
      </c>
      <c r="AL133" s="0" t="e">
        <f aca="false">interpfn($AA$9:$AB$27,AJ133,2)</f>
        <v>#VALUE!</v>
      </c>
      <c r="AM133" s="0" t="n">
        <f aca="false">IF(AI133&gt;0.45,1,AL133)</f>
        <v>1</v>
      </c>
      <c r="AO133" s="0" t="e">
        <f aca="false">interpfn($AE$9:$AF$22,AI133,2)</f>
        <v>#VALUE!</v>
      </c>
      <c r="AP133" s="0" t="e">
        <f aca="false">AK133*AM133</f>
        <v>#VALUE!</v>
      </c>
      <c r="AQ133" s="0" t="e">
        <f aca="false">$AN$9*AO133</f>
        <v>#VALUE!</v>
      </c>
      <c r="AS133" s="0" t="e">
        <f aca="false">-$T$14*(COS(AH133))^2+$AR$9*(SIN(AH133))^2</f>
        <v>#VALUE!</v>
      </c>
      <c r="AT133" s="0" t="e">
        <f aca="false">-($U$14/2)*(2*COS(2*AH133)*SIN(AH133/2)+SIN(2*AH133)*COS(AH133/2)/2)+2*AQ42*AP42*$N$29*SIN(AH133)*COS(AH133)/$J$9</f>
        <v>#VALUE!</v>
      </c>
      <c r="AU133" s="0" t="e">
        <f aca="false">-($U$14/2)*SIN(2*AH133)*SIN(AH133/2)+AQ133*AP133*$N$29*(SIN(AH133)^2)/$J$9</f>
        <v>#VALUE!</v>
      </c>
      <c r="AV133" s="0" t="e">
        <f aca="false">($U$14*($F$9/12-$W$14)/(2*$K$9))*(2*COS(2*AH133)*SIN(AH133/2)/2+SIN(2*AH133)*COS(AH133/2)/2)+2*AP42*AQ42*$N$29*($F$9/12-$S$10)*SIN(AH133)*COS(AH133)/($J$9*$K$9)</f>
        <v>#VALUE!</v>
      </c>
      <c r="AW133" s="0" t="n">
        <f aca="false">AG133</f>
        <v>124</v>
      </c>
      <c r="AX133" s="0" t="e">
        <f aca="false">($U$14*($F$9/12-$W$14)/(2*$K$9)*SIN(2*AH133)*SIN(AH133/2)+AP133*AQ133*$N$29*($F$9/12-$S$10)*(SIN(AH133))^2/($J$9*$K$9))</f>
        <v>#VALUE!</v>
      </c>
      <c r="AY133" s="0" t="e">
        <f aca="false">AS133*COS(AH133)+AU133*SIN(AH133)</f>
        <v>#VALUE!</v>
      </c>
      <c r="AZ133" s="0" t="e">
        <f aca="false">AX133</f>
        <v>#VALUE!</v>
      </c>
      <c r="BA133" s="0" t="n">
        <f aca="false">AW133</f>
        <v>124</v>
      </c>
      <c r="BB133" s="0" t="e">
        <f aca="false">IF(AND(AV133&lt;0,AZ133*AZ134&lt;0),BA133+(BA134-BA133)*AZ133/(AZ134-AZ133),"")</f>
        <v>#VALUE!</v>
      </c>
      <c r="BC133" s="0" t="e">
        <f aca="false">IF(AND(AV133&lt;0,AZ133*AZ134&lt;0),AY133+(AY134-AY133)*AZ133/(AZ134-AZ133),"")</f>
        <v>#VALUE!</v>
      </c>
    </row>
    <row r="134" customFormat="false" ht="12.75" hidden="false" customHeight="false" outlineLevel="0" collapsed="false">
      <c r="AG134" s="0" t="n">
        <f aca="false">AG133+1</f>
        <v>125</v>
      </c>
      <c r="AH134" s="0" t="n">
        <f aca="false">AG134*PI()/180</f>
        <v>2.18166156499291</v>
      </c>
      <c r="AI134" s="0" t="n">
        <f aca="false">$D$9*SIN(AH134)</f>
        <v>1.63830408857798</v>
      </c>
      <c r="AJ134" s="19" t="n">
        <f aca="false">$E$9*$Q$10*SIN(AH134)/$K$9</f>
        <v>1449097.85855712</v>
      </c>
      <c r="AK134" s="0" t="e">
        <f aca="false">interpfn($Y$9:$Z$36,AI134,2)</f>
        <v>#VALUE!</v>
      </c>
      <c r="AL134" s="0" t="e">
        <f aca="false">interpfn($AA$9:$AB$27,AJ134,2)</f>
        <v>#VALUE!</v>
      </c>
      <c r="AM134" s="0" t="n">
        <f aca="false">IF(AI134&gt;0.45,1,AL134)</f>
        <v>1</v>
      </c>
      <c r="AO134" s="0" t="e">
        <f aca="false">interpfn($AE$9:$AF$22,AI134,2)</f>
        <v>#VALUE!</v>
      </c>
      <c r="AP134" s="0" t="e">
        <f aca="false">AK134*AM134</f>
        <v>#VALUE!</v>
      </c>
      <c r="AQ134" s="0" t="e">
        <f aca="false">$AN$9*AO134</f>
        <v>#VALUE!</v>
      </c>
      <c r="AS134" s="0" t="e">
        <f aca="false">-$T$14*(COS(AH134))^2+$AR$9*(SIN(AH134))^2</f>
        <v>#VALUE!</v>
      </c>
      <c r="AT134" s="0" t="e">
        <f aca="false">-($U$14/2)*(2*COS(2*AH134)*SIN(AH134/2)+SIN(2*AH134)*COS(AH134/2)/2)+2*AQ43*AP43*$N$29*SIN(AH134)*COS(AH134)/$J$9</f>
        <v>#VALUE!</v>
      </c>
      <c r="AU134" s="0" t="e">
        <f aca="false">-($U$14/2)*SIN(2*AH134)*SIN(AH134/2)+AQ134*AP134*$N$29*(SIN(AH134)^2)/$J$9</f>
        <v>#VALUE!</v>
      </c>
      <c r="AV134" s="0" t="e">
        <f aca="false">($U$14*($F$9/12-$W$14)/(2*$K$9))*(2*COS(2*AH134)*SIN(AH134/2)/2+SIN(2*AH134)*COS(AH134/2)/2)+2*AP43*AQ43*$N$29*($F$9/12-$S$10)*SIN(AH134)*COS(AH134)/($J$9*$K$9)</f>
        <v>#VALUE!</v>
      </c>
      <c r="AW134" s="0" t="n">
        <f aca="false">AG134</f>
        <v>125</v>
      </c>
      <c r="AX134" s="0" t="e">
        <f aca="false">($U$14*($F$9/12-$W$14)/(2*$K$9)*SIN(2*AH134)*SIN(AH134/2)+AP134*AQ134*$N$29*($F$9/12-$S$10)*(SIN(AH134))^2/($J$9*$K$9))</f>
        <v>#VALUE!</v>
      </c>
      <c r="AY134" s="0" t="e">
        <f aca="false">AS134*COS(AH134)+AU134*SIN(AH134)</f>
        <v>#VALUE!</v>
      </c>
      <c r="AZ134" s="0" t="e">
        <f aca="false">AX134</f>
        <v>#VALUE!</v>
      </c>
      <c r="BA134" s="0" t="n">
        <f aca="false">AW134</f>
        <v>125</v>
      </c>
      <c r="BB134" s="0" t="e">
        <f aca="false">IF(AND(AV134&lt;0,AZ134*AZ135&lt;0),BA134+(BA135-BA134)*AZ134/(AZ135-AZ134),"")</f>
        <v>#VALUE!</v>
      </c>
      <c r="BC134" s="0" t="e">
        <f aca="false">IF(AND(AV134&lt;0,AZ134*AZ135&lt;0),AY134+(AY135-AY134)*AZ134/(AZ135-AZ134),"")</f>
        <v>#VALUE!</v>
      </c>
    </row>
    <row r="135" customFormat="false" ht="12.75" hidden="false" customHeight="false" outlineLevel="0" collapsed="false">
      <c r="AG135" s="0" t="n">
        <f aca="false">AG134+1</f>
        <v>126</v>
      </c>
      <c r="AH135" s="0" t="n">
        <f aca="false">AG135*PI()/180</f>
        <v>2.19911485751286</v>
      </c>
      <c r="AI135" s="0" t="n">
        <f aca="false">$D$9*SIN(AH135)</f>
        <v>1.6180339887499</v>
      </c>
      <c r="AJ135" s="19" t="n">
        <f aca="false">$E$9*$Q$10*SIN(AH135)/$K$9</f>
        <v>1431168.73388582</v>
      </c>
      <c r="AK135" s="0" t="e">
        <f aca="false">interpfn($Y$9:$Z$36,AI135,2)</f>
        <v>#VALUE!</v>
      </c>
      <c r="AL135" s="0" t="e">
        <f aca="false">interpfn($AA$9:$AB$27,AJ135,2)</f>
        <v>#VALUE!</v>
      </c>
      <c r="AM135" s="0" t="n">
        <f aca="false">IF(AI135&gt;0.45,1,AL135)</f>
        <v>1</v>
      </c>
      <c r="AO135" s="0" t="e">
        <f aca="false">interpfn($AE$9:$AF$22,AI135,2)</f>
        <v>#VALUE!</v>
      </c>
      <c r="AP135" s="0" t="e">
        <f aca="false">AK135*AM135</f>
        <v>#VALUE!</v>
      </c>
      <c r="AQ135" s="0" t="e">
        <f aca="false">$AN$9*AO135</f>
        <v>#VALUE!</v>
      </c>
      <c r="AS135" s="0" t="e">
        <f aca="false">-$T$14*(COS(AH135))^2+$AR$9*(SIN(AH135))^2</f>
        <v>#VALUE!</v>
      </c>
      <c r="AT135" s="0" t="e">
        <f aca="false">-($U$14/2)*(2*COS(2*AH135)*SIN(AH135/2)+SIN(2*AH135)*COS(AH135/2)/2)+2*AQ44*AP44*$N$29*SIN(AH135)*COS(AH135)/$J$9</f>
        <v>#VALUE!</v>
      </c>
      <c r="AU135" s="0" t="e">
        <f aca="false">-($U$14/2)*SIN(2*AH135)*SIN(AH135/2)+AQ135*AP135*$N$29*(SIN(AH135)^2)/$J$9</f>
        <v>#VALUE!</v>
      </c>
      <c r="AV135" s="0" t="e">
        <f aca="false">($U$14*($F$9/12-$W$14)/(2*$K$9))*(2*COS(2*AH135)*SIN(AH135/2)/2+SIN(2*AH135)*COS(AH135/2)/2)+2*AP44*AQ44*$N$29*($F$9/12-$S$10)*SIN(AH135)*COS(AH135)/($J$9*$K$9)</f>
        <v>#VALUE!</v>
      </c>
      <c r="AW135" s="0" t="n">
        <f aca="false">AG135</f>
        <v>126</v>
      </c>
      <c r="AX135" s="0" t="e">
        <f aca="false">($U$14*($F$9/12-$W$14)/(2*$K$9)*SIN(2*AH135)*SIN(AH135/2)+AP135*AQ135*$N$29*($F$9/12-$S$10)*(SIN(AH135))^2/($J$9*$K$9))</f>
        <v>#VALUE!</v>
      </c>
      <c r="AY135" s="0" t="e">
        <f aca="false">AS135*COS(AH135)+AU135*SIN(AH135)</f>
        <v>#VALUE!</v>
      </c>
      <c r="AZ135" s="0" t="e">
        <f aca="false">AX135</f>
        <v>#VALUE!</v>
      </c>
      <c r="BA135" s="0" t="n">
        <f aca="false">AW135</f>
        <v>126</v>
      </c>
      <c r="BB135" s="0" t="e">
        <f aca="false">IF(AND(AV135&lt;0,AZ135*AZ136&lt;0),BA135+(BA136-BA135)*AZ135/(AZ136-AZ135),"")</f>
        <v>#VALUE!</v>
      </c>
      <c r="BC135" s="0" t="e">
        <f aca="false">IF(AND(AV135&lt;0,AZ135*AZ136&lt;0),AY135+(AY136-AY135)*AZ135/(AZ136-AZ135),"")</f>
        <v>#VALUE!</v>
      </c>
    </row>
    <row r="136" customFormat="false" ht="12.75" hidden="false" customHeight="false" outlineLevel="0" collapsed="false">
      <c r="AG136" s="0" t="n">
        <f aca="false">AG135+1</f>
        <v>127</v>
      </c>
      <c r="AH136" s="0" t="n">
        <f aca="false">AG136*PI()/180</f>
        <v>2.2165681500328</v>
      </c>
      <c r="AI136" s="0" t="n">
        <f aca="false">$D$9*SIN(AH136)</f>
        <v>1.59727102009459</v>
      </c>
      <c r="AJ136" s="19" t="n">
        <f aca="false">$E$9*$Q$10*SIN(AH136)/$K$9</f>
        <v>1412803.66135413</v>
      </c>
      <c r="AK136" s="0" t="e">
        <f aca="false">interpfn($Y$9:$Z$36,AI136,2)</f>
        <v>#VALUE!</v>
      </c>
      <c r="AL136" s="0" t="e">
        <f aca="false">interpfn($AA$9:$AB$27,AJ136,2)</f>
        <v>#VALUE!</v>
      </c>
      <c r="AM136" s="0" t="n">
        <f aca="false">IF(AI136&gt;0.45,1,AL136)</f>
        <v>1</v>
      </c>
      <c r="AO136" s="0" t="e">
        <f aca="false">interpfn($AE$9:$AF$22,AI136,2)</f>
        <v>#VALUE!</v>
      </c>
      <c r="AP136" s="0" t="e">
        <f aca="false">AK136*AM136</f>
        <v>#VALUE!</v>
      </c>
      <c r="AQ136" s="0" t="e">
        <f aca="false">$AN$9*AO136</f>
        <v>#VALUE!</v>
      </c>
      <c r="AS136" s="0" t="e">
        <f aca="false">-$T$14*(COS(AH136))^2+$AR$9*(SIN(AH136))^2</f>
        <v>#VALUE!</v>
      </c>
      <c r="AT136" s="0" t="e">
        <f aca="false">-($U$14/2)*(2*COS(2*AH136)*SIN(AH136/2)+SIN(2*AH136)*COS(AH136/2)/2)+2*AQ45*AP45*$N$29*SIN(AH136)*COS(AH136)/$J$9</f>
        <v>#VALUE!</v>
      </c>
      <c r="AU136" s="0" t="e">
        <f aca="false">-($U$14/2)*SIN(2*AH136)*SIN(AH136/2)+AQ136*AP136*$N$29*(SIN(AH136)^2)/$J$9</f>
        <v>#VALUE!</v>
      </c>
      <c r="AV136" s="0" t="e">
        <f aca="false">($U$14*($F$9/12-$W$14)/(2*$K$9))*(2*COS(2*AH136)*SIN(AH136/2)/2+SIN(2*AH136)*COS(AH136/2)/2)+2*AP45*AQ45*$N$29*($F$9/12-$S$10)*SIN(AH136)*COS(AH136)/($J$9*$K$9)</f>
        <v>#VALUE!</v>
      </c>
      <c r="AW136" s="0" t="n">
        <f aca="false">AG136</f>
        <v>127</v>
      </c>
      <c r="AX136" s="0" t="e">
        <f aca="false">($U$14*($F$9/12-$W$14)/(2*$K$9)*SIN(2*AH136)*SIN(AH136/2)+AP136*AQ136*$N$29*($F$9/12-$S$10)*(SIN(AH136))^2/($J$9*$K$9))</f>
        <v>#VALUE!</v>
      </c>
      <c r="AY136" s="0" t="e">
        <f aca="false">AS136*COS(AH136)+AU136*SIN(AH136)</f>
        <v>#VALUE!</v>
      </c>
      <c r="AZ136" s="0" t="e">
        <f aca="false">AX136</f>
        <v>#VALUE!</v>
      </c>
      <c r="BA136" s="0" t="n">
        <f aca="false">AW136</f>
        <v>127</v>
      </c>
      <c r="BB136" s="0" t="e">
        <f aca="false">IF(AND(AV136&lt;0,AZ136*AZ137&lt;0),BA136+(BA137-BA136)*AZ136/(AZ137-AZ136),"")</f>
        <v>#VALUE!</v>
      </c>
      <c r="BC136" s="0" t="e">
        <f aca="false">IF(AND(AV136&lt;0,AZ136*AZ137&lt;0),AY136+(AY137-AY136)*AZ136/(AZ137-AZ136),"")</f>
        <v>#VALUE!</v>
      </c>
    </row>
    <row r="137" customFormat="false" ht="12.75" hidden="false" customHeight="false" outlineLevel="0" collapsed="false">
      <c r="AG137" s="0" t="n">
        <f aca="false">AG136+1</f>
        <v>128</v>
      </c>
      <c r="AH137" s="0" t="n">
        <f aca="false">AG137*PI()/180</f>
        <v>2.23402144255274</v>
      </c>
      <c r="AI137" s="0" t="n">
        <f aca="false">$D$9*SIN(AH137)</f>
        <v>1.57602150721344</v>
      </c>
      <c r="AJ137" s="19" t="n">
        <f aca="false">$E$9*$Q$10*SIN(AH137)/$K$9</f>
        <v>1394008.23514105</v>
      </c>
      <c r="AK137" s="0" t="e">
        <f aca="false">interpfn($Y$9:$Z$36,AI137,2)</f>
        <v>#VALUE!</v>
      </c>
      <c r="AL137" s="0" t="e">
        <f aca="false">interpfn($AA$9:$AB$27,AJ137,2)</f>
        <v>#VALUE!</v>
      </c>
      <c r="AM137" s="0" t="n">
        <f aca="false">IF(AI137&gt;0.45,1,AL137)</f>
        <v>1</v>
      </c>
      <c r="AO137" s="0" t="e">
        <f aca="false">interpfn($AE$9:$AF$22,AI137,2)</f>
        <v>#VALUE!</v>
      </c>
      <c r="AP137" s="0" t="e">
        <f aca="false">AK137*AM137</f>
        <v>#VALUE!</v>
      </c>
      <c r="AQ137" s="0" t="e">
        <f aca="false">$AN$9*AO137</f>
        <v>#VALUE!</v>
      </c>
      <c r="AS137" s="0" t="e">
        <f aca="false">-$T$14*(COS(AH137))^2+$AR$9*(SIN(AH137))^2</f>
        <v>#VALUE!</v>
      </c>
      <c r="AT137" s="0" t="e">
        <f aca="false">-($U$14/2)*(2*COS(2*AH137)*SIN(AH137/2)+SIN(2*AH137)*COS(AH137/2)/2)+2*AQ46*AP46*$N$29*SIN(AH137)*COS(AH137)/$J$9</f>
        <v>#VALUE!</v>
      </c>
      <c r="AU137" s="0" t="e">
        <f aca="false">-($U$14/2)*SIN(2*AH137)*SIN(AH137/2)+AQ137*AP137*$N$29*(SIN(AH137)^2)/$J$9</f>
        <v>#VALUE!</v>
      </c>
      <c r="AV137" s="0" t="e">
        <f aca="false">($U$14*($F$9/12-$W$14)/(2*$K$9))*(2*COS(2*AH137)*SIN(AH137/2)/2+SIN(2*AH137)*COS(AH137/2)/2)+2*AP46*AQ46*$N$29*($F$9/12-$S$10)*SIN(AH137)*COS(AH137)/($J$9*$K$9)</f>
        <v>#VALUE!</v>
      </c>
      <c r="AW137" s="0" t="n">
        <f aca="false">AG137</f>
        <v>128</v>
      </c>
      <c r="AX137" s="0" t="e">
        <f aca="false">($U$14*($F$9/12-$W$14)/(2*$K$9)*SIN(2*AH137)*SIN(AH137/2)+AP137*AQ137*$N$29*($F$9/12-$S$10)*(SIN(AH137))^2/($J$9*$K$9))</f>
        <v>#VALUE!</v>
      </c>
      <c r="AY137" s="0" t="e">
        <f aca="false">AS137*COS(AH137)+AU137*SIN(AH137)</f>
        <v>#VALUE!</v>
      </c>
      <c r="AZ137" s="0" t="e">
        <f aca="false">AX137</f>
        <v>#VALUE!</v>
      </c>
      <c r="BA137" s="0" t="n">
        <f aca="false">AW137</f>
        <v>128</v>
      </c>
      <c r="BB137" s="0" t="e">
        <f aca="false">IF(AND(AV137&lt;0,AZ137*AZ138&lt;0),BA137+(BA138-BA137)*AZ137/(AZ138-AZ137),"")</f>
        <v>#VALUE!</v>
      </c>
      <c r="BC137" s="0" t="e">
        <f aca="false">IF(AND(AV137&lt;0,AZ137*AZ138&lt;0),AY137+(AY138-AY137)*AZ137/(AZ138-AZ137),"")</f>
        <v>#VALUE!</v>
      </c>
    </row>
    <row r="138" customFormat="false" ht="12.75" hidden="false" customHeight="false" outlineLevel="0" collapsed="false">
      <c r="AG138" s="0" t="n">
        <f aca="false">AG137+1</f>
        <v>129</v>
      </c>
      <c r="AH138" s="0" t="n">
        <f aca="false">AG138*PI()/180</f>
        <v>2.25147473507269</v>
      </c>
      <c r="AI138" s="0" t="n">
        <f aca="false">$D$9*SIN(AH138)</f>
        <v>1.55429192291394</v>
      </c>
      <c r="AJ138" s="19" t="n">
        <f aca="false">$E$9*$Q$10*SIN(AH138)/$K$9</f>
        <v>1374788.1805155</v>
      </c>
      <c r="AK138" s="0" t="e">
        <f aca="false">interpfn($Y$9:$Z$36,AI138,2)</f>
        <v>#VALUE!</v>
      </c>
      <c r="AL138" s="0" t="e">
        <f aca="false">interpfn($AA$9:$AB$27,AJ138,2)</f>
        <v>#VALUE!</v>
      </c>
      <c r="AM138" s="0" t="n">
        <f aca="false">IF(AI138&gt;0.45,1,AL138)</f>
        <v>1</v>
      </c>
      <c r="AO138" s="0" t="e">
        <f aca="false">interpfn($AE$9:$AF$22,AI138,2)</f>
        <v>#VALUE!</v>
      </c>
      <c r="AP138" s="0" t="e">
        <f aca="false">AK138*AM138</f>
        <v>#VALUE!</v>
      </c>
      <c r="AQ138" s="0" t="e">
        <f aca="false">$AN$9*AO138</f>
        <v>#VALUE!</v>
      </c>
      <c r="AS138" s="0" t="e">
        <f aca="false">-$T$14*(COS(AH138))^2+$AR$9*(SIN(AH138))^2</f>
        <v>#VALUE!</v>
      </c>
      <c r="AT138" s="0" t="e">
        <f aca="false">-($U$14/2)*(2*COS(2*AH138)*SIN(AH138/2)+SIN(2*AH138)*COS(AH138/2)/2)+2*AQ47*AP47*$N$29*SIN(AH138)*COS(AH138)/$J$9</f>
        <v>#VALUE!</v>
      </c>
      <c r="AU138" s="0" t="e">
        <f aca="false">-($U$14/2)*SIN(2*AH138)*SIN(AH138/2)+AQ138*AP138*$N$29*(SIN(AH138)^2)/$J$9</f>
        <v>#VALUE!</v>
      </c>
      <c r="AV138" s="0" t="e">
        <f aca="false">($U$14*($F$9/12-$W$14)/(2*$K$9))*(2*COS(2*AH138)*SIN(AH138/2)/2+SIN(2*AH138)*COS(AH138/2)/2)+2*AP47*AQ47*$N$29*($F$9/12-$S$10)*SIN(AH138)*COS(AH138)/($J$9*$K$9)</f>
        <v>#VALUE!</v>
      </c>
      <c r="AW138" s="0" t="n">
        <f aca="false">AG138</f>
        <v>129</v>
      </c>
      <c r="AX138" s="0" t="e">
        <f aca="false">($U$14*($F$9/12-$W$14)/(2*$K$9)*SIN(2*AH138)*SIN(AH138/2)+AP138*AQ138*$N$29*($F$9/12-$S$10)*(SIN(AH138))^2/($J$9*$K$9))</f>
        <v>#VALUE!</v>
      </c>
      <c r="AY138" s="0" t="e">
        <f aca="false">AS138*COS(AH138)+AU138*SIN(AH138)</f>
        <v>#VALUE!</v>
      </c>
      <c r="AZ138" s="0" t="e">
        <f aca="false">AX138</f>
        <v>#VALUE!</v>
      </c>
      <c r="BA138" s="0" t="n">
        <f aca="false">AW138</f>
        <v>129</v>
      </c>
      <c r="BB138" s="0" t="e">
        <f aca="false">IF(AND(AV138&lt;0,AZ138*AZ139&lt;0),BA138+(BA139-BA138)*AZ138/(AZ139-AZ138),"")</f>
        <v>#VALUE!</v>
      </c>
      <c r="BC138" s="0" t="e">
        <f aca="false">IF(AND(AV138&lt;0,AZ138*AZ139&lt;0),AY138+(AY139-AY138)*AZ138/(AZ139-AZ138),"")</f>
        <v>#VALUE!</v>
      </c>
    </row>
    <row r="139" customFormat="false" ht="12.75" hidden="false" customHeight="false" outlineLevel="0" collapsed="false">
      <c r="AG139" s="0" t="n">
        <f aca="false">AG138+1</f>
        <v>130</v>
      </c>
      <c r="AH139" s="0" t="n">
        <f aca="false">AG139*PI()/180</f>
        <v>2.26892802759263</v>
      </c>
      <c r="AI139" s="0" t="n">
        <f aca="false">$D$9*SIN(AH139)</f>
        <v>1.53208888623796</v>
      </c>
      <c r="AJ139" s="19" t="n">
        <f aca="false">$E$9*$Q$10*SIN(AH139)/$K$9</f>
        <v>1355149.35209228</v>
      </c>
      <c r="AK139" s="0" t="e">
        <f aca="false">interpfn($Y$9:$Z$36,AI139,2)</f>
        <v>#VALUE!</v>
      </c>
      <c r="AL139" s="0" t="e">
        <f aca="false">interpfn($AA$9:$AB$27,AJ139,2)</f>
        <v>#VALUE!</v>
      </c>
      <c r="AM139" s="0" t="n">
        <f aca="false">IF(AI139&gt;0.45,1,AL139)</f>
        <v>1</v>
      </c>
      <c r="AO139" s="0" t="e">
        <f aca="false">interpfn($AE$9:$AF$22,AI139,2)</f>
        <v>#VALUE!</v>
      </c>
      <c r="AP139" s="0" t="e">
        <f aca="false">AK139*AM139</f>
        <v>#VALUE!</v>
      </c>
      <c r="AQ139" s="0" t="e">
        <f aca="false">$AN$9*AO139</f>
        <v>#VALUE!</v>
      </c>
      <c r="AS139" s="0" t="e">
        <f aca="false">-$T$14*(COS(AH139))^2+$AR$9*(SIN(AH139))^2</f>
        <v>#VALUE!</v>
      </c>
      <c r="AT139" s="0" t="e">
        <f aca="false">-($U$14/2)*(2*COS(2*AH139)*SIN(AH139/2)+SIN(2*AH139)*COS(AH139/2)/2)+2*AQ48*AP48*$N$29*SIN(AH139)*COS(AH139)/$J$9</f>
        <v>#VALUE!</v>
      </c>
      <c r="AU139" s="0" t="e">
        <f aca="false">-($U$14/2)*SIN(2*AH139)*SIN(AH139/2)+AQ139*AP139*$N$29*(SIN(AH139)^2)/$J$9</f>
        <v>#VALUE!</v>
      </c>
      <c r="AV139" s="0" t="e">
        <f aca="false">($U$14*($F$9/12-$W$14)/(2*$K$9))*(2*COS(2*AH139)*SIN(AH139/2)/2+SIN(2*AH139)*COS(AH139/2)/2)+2*AP48*AQ48*$N$29*($F$9/12-$S$10)*SIN(AH139)*COS(AH139)/($J$9*$K$9)</f>
        <v>#VALUE!</v>
      </c>
      <c r="AW139" s="0" t="n">
        <f aca="false">AG139</f>
        <v>130</v>
      </c>
      <c r="AX139" s="0" t="e">
        <f aca="false">($U$14*($F$9/12-$W$14)/(2*$K$9)*SIN(2*AH139)*SIN(AH139/2)+AP139*AQ139*$N$29*($F$9/12-$S$10)*(SIN(AH139))^2/($J$9*$K$9))</f>
        <v>#VALUE!</v>
      </c>
      <c r="AY139" s="0" t="e">
        <f aca="false">AS139*COS(AH139)+AU139*SIN(AH139)</f>
        <v>#VALUE!</v>
      </c>
      <c r="AZ139" s="0" t="e">
        <f aca="false">AX139</f>
        <v>#VALUE!</v>
      </c>
      <c r="BA139" s="0" t="n">
        <f aca="false">AW139</f>
        <v>130</v>
      </c>
      <c r="BB139" s="0" t="e">
        <f aca="false">IF(AND(AV139&lt;0,AZ139*AZ140&lt;0),BA139+(BA140-BA139)*AZ139/(AZ140-AZ139),"")</f>
        <v>#VALUE!</v>
      </c>
      <c r="BC139" s="0" t="e">
        <f aca="false">IF(AND(AV139&lt;0,AZ139*AZ140&lt;0),AY139+(AY140-AY139)*AZ139/(AZ140-AZ139),"")</f>
        <v>#VALUE!</v>
      </c>
    </row>
    <row r="140" customFormat="false" ht="12.75" hidden="false" customHeight="false" outlineLevel="0" collapsed="false">
      <c r="AG140" s="0" t="n">
        <f aca="false">AG139+1</f>
        <v>131</v>
      </c>
      <c r="AH140" s="0" t="n">
        <f aca="false">AG140*PI()/180</f>
        <v>2.28638132011257</v>
      </c>
      <c r="AI140" s="0" t="n">
        <f aca="false">$D$9*SIN(AH140)</f>
        <v>1.50941916044554</v>
      </c>
      <c r="AJ140" s="19" t="n">
        <f aca="false">$E$9*$Q$10*SIN(AH140)/$K$9</f>
        <v>1335097.73204879</v>
      </c>
      <c r="AK140" s="0" t="e">
        <f aca="false">interpfn($Y$9:$Z$36,AI140,2)</f>
        <v>#VALUE!</v>
      </c>
      <c r="AL140" s="0" t="e">
        <f aca="false">interpfn($AA$9:$AB$27,AJ140,2)</f>
        <v>#VALUE!</v>
      </c>
      <c r="AM140" s="0" t="n">
        <f aca="false">IF(AI140&gt;0.45,1,AL140)</f>
        <v>1</v>
      </c>
      <c r="AO140" s="0" t="e">
        <f aca="false">interpfn($AE$9:$AF$22,AI140,2)</f>
        <v>#VALUE!</v>
      </c>
      <c r="AP140" s="0" t="e">
        <f aca="false">AK140*AM140</f>
        <v>#VALUE!</v>
      </c>
      <c r="AQ140" s="0" t="e">
        <f aca="false">$AN$9*AO140</f>
        <v>#VALUE!</v>
      </c>
      <c r="AS140" s="0" t="e">
        <f aca="false">-$T$14*(COS(AH140))^2+$AR$9*(SIN(AH140))^2</f>
        <v>#VALUE!</v>
      </c>
      <c r="AT140" s="0" t="e">
        <f aca="false">-($U$14/2)*(2*COS(2*AH140)*SIN(AH140/2)+SIN(2*AH140)*COS(AH140/2)/2)+2*AQ49*AP49*$N$29*SIN(AH140)*COS(AH140)/$J$9</f>
        <v>#VALUE!</v>
      </c>
      <c r="AU140" s="0" t="e">
        <f aca="false">-($U$14/2)*SIN(2*AH140)*SIN(AH140/2)+AQ140*AP140*$N$29*(SIN(AH140)^2)/$J$9</f>
        <v>#VALUE!</v>
      </c>
      <c r="AV140" s="0" t="e">
        <f aca="false">($U$14*($F$9/12-$W$14)/(2*$K$9))*(2*COS(2*AH140)*SIN(AH140/2)/2+SIN(2*AH140)*COS(AH140/2)/2)+2*AP49*AQ49*$N$29*($F$9/12-$S$10)*SIN(AH140)*COS(AH140)/($J$9*$K$9)</f>
        <v>#VALUE!</v>
      </c>
      <c r="AW140" s="0" t="n">
        <f aca="false">AG140</f>
        <v>131</v>
      </c>
      <c r="AX140" s="0" t="e">
        <f aca="false">($U$14*($F$9/12-$W$14)/(2*$K$9)*SIN(2*AH140)*SIN(AH140/2)+AP140*AQ140*$N$29*($F$9/12-$S$10)*(SIN(AH140))^2/($J$9*$K$9))</f>
        <v>#VALUE!</v>
      </c>
      <c r="AY140" s="0" t="e">
        <f aca="false">AS140*COS(AH140)+AU140*SIN(AH140)</f>
        <v>#VALUE!</v>
      </c>
      <c r="AZ140" s="0" t="e">
        <f aca="false">AX140</f>
        <v>#VALUE!</v>
      </c>
      <c r="BA140" s="0" t="n">
        <f aca="false">AW140</f>
        <v>131</v>
      </c>
      <c r="BB140" s="0" t="e">
        <f aca="false">IF(AND(AV140&lt;0,AZ140*AZ141&lt;0),BA140+(BA141-BA140)*AZ140/(AZ141-AZ140),"")</f>
        <v>#VALUE!</v>
      </c>
      <c r="BC140" s="0" t="e">
        <f aca="false">IF(AND(AV140&lt;0,AZ140*AZ141&lt;0),AY140+(AY141-AY140)*AZ140/(AZ141-AZ140),"")</f>
        <v>#VALUE!</v>
      </c>
    </row>
    <row r="141" customFormat="false" ht="12.75" hidden="false" customHeight="false" outlineLevel="0" collapsed="false">
      <c r="AG141" s="0" t="n">
        <f aca="false">AG140+1</f>
        <v>132</v>
      </c>
      <c r="AH141" s="0" t="n">
        <f aca="false">AG141*PI()/180</f>
        <v>2.30383461263252</v>
      </c>
      <c r="AI141" s="0" t="n">
        <f aca="false">$D$9*SIN(AH141)</f>
        <v>1.48628965095479</v>
      </c>
      <c r="AJ141" s="19" t="n">
        <f aca="false">$E$9*$Q$10*SIN(AH141)/$K$9</f>
        <v>1314639.42830274</v>
      </c>
      <c r="AK141" s="0" t="e">
        <f aca="false">interpfn($Y$9:$Z$36,AI141,2)</f>
        <v>#VALUE!</v>
      </c>
      <c r="AL141" s="0" t="e">
        <f aca="false">interpfn($AA$9:$AB$27,AJ141,2)</f>
        <v>#VALUE!</v>
      </c>
      <c r="AM141" s="0" t="n">
        <f aca="false">IF(AI141&gt;0.45,1,AL141)</f>
        <v>1</v>
      </c>
      <c r="AO141" s="0" t="e">
        <f aca="false">interpfn($AE$9:$AF$22,AI141,2)</f>
        <v>#VALUE!</v>
      </c>
      <c r="AP141" s="0" t="e">
        <f aca="false">AK141*AM141</f>
        <v>#VALUE!</v>
      </c>
      <c r="AQ141" s="0" t="e">
        <f aca="false">$AN$9*AO141</f>
        <v>#VALUE!</v>
      </c>
      <c r="AS141" s="0" t="e">
        <f aca="false">-$T$14*(COS(AH141))^2+$AR$9*(SIN(AH141))^2</f>
        <v>#VALUE!</v>
      </c>
      <c r="AT141" s="0" t="e">
        <f aca="false">-($U$14/2)*(2*COS(2*AH141)*SIN(AH141/2)+SIN(2*AH141)*COS(AH141/2)/2)+2*AQ50*AP50*$N$29*SIN(AH141)*COS(AH141)/$J$9</f>
        <v>#VALUE!</v>
      </c>
      <c r="AU141" s="0" t="e">
        <f aca="false">-($U$14/2)*SIN(2*AH141)*SIN(AH141/2)+AQ141*AP141*$N$29*(SIN(AH141)^2)/$J$9</f>
        <v>#VALUE!</v>
      </c>
      <c r="AV141" s="0" t="e">
        <f aca="false">($U$14*($F$9/12-$W$14)/(2*$K$9))*(2*COS(2*AH141)*SIN(AH141/2)/2+SIN(2*AH141)*COS(AH141/2)/2)+2*AP50*AQ50*$N$29*($F$9/12-$S$10)*SIN(AH141)*COS(AH141)/($J$9*$K$9)</f>
        <v>#VALUE!</v>
      </c>
      <c r="AW141" s="0" t="n">
        <f aca="false">AG141</f>
        <v>132</v>
      </c>
      <c r="AX141" s="0" t="e">
        <f aca="false">($U$14*($F$9/12-$W$14)/(2*$K$9)*SIN(2*AH141)*SIN(AH141/2)+AP141*AQ141*$N$29*($F$9/12-$S$10)*(SIN(AH141))^2/($J$9*$K$9))</f>
        <v>#VALUE!</v>
      </c>
      <c r="AY141" s="0" t="e">
        <f aca="false">AS141*COS(AH141)+AU141*SIN(AH141)</f>
        <v>#VALUE!</v>
      </c>
      <c r="AZ141" s="0" t="e">
        <f aca="false">AX141</f>
        <v>#VALUE!</v>
      </c>
      <c r="BA141" s="0" t="n">
        <f aca="false">AW141</f>
        <v>132</v>
      </c>
      <c r="BB141" s="0" t="e">
        <f aca="false">IF(AND(AV141&lt;0,AZ141*AZ142&lt;0),BA141+(BA142-BA141)*AZ141/(AZ142-AZ141),"")</f>
        <v>#VALUE!</v>
      </c>
      <c r="BC141" s="0" t="e">
        <f aca="false">IF(AND(AV141&lt;0,AZ141*AZ142&lt;0),AY141+(AY142-AY141)*AZ141/(AZ142-AZ141),"")</f>
        <v>#VALUE!</v>
      </c>
    </row>
    <row r="142" customFormat="false" ht="12.75" hidden="false" customHeight="false" outlineLevel="0" collapsed="false">
      <c r="AG142" s="0" t="n">
        <f aca="false">AG141+1</f>
        <v>133</v>
      </c>
      <c r="AH142" s="0" t="n">
        <f aca="false">AG142*PI()/180</f>
        <v>2.32128790515246</v>
      </c>
      <c r="AI142" s="0" t="n">
        <f aca="false">$D$9*SIN(AH142)</f>
        <v>1.46270740323834</v>
      </c>
      <c r="AJ142" s="19" t="n">
        <f aca="false">$E$9*$Q$10*SIN(AH142)/$K$9</f>
        <v>1293780.67265162</v>
      </c>
      <c r="AK142" s="0" t="e">
        <f aca="false">interpfn($Y$9:$Z$36,AI142,2)</f>
        <v>#VALUE!</v>
      </c>
      <c r="AL142" s="0" t="e">
        <f aca="false">interpfn($AA$9:$AB$27,AJ142,2)</f>
        <v>#VALUE!</v>
      </c>
      <c r="AM142" s="0" t="n">
        <f aca="false">IF(AI142&gt;0.45,1,AL142)</f>
        <v>1</v>
      </c>
      <c r="AO142" s="0" t="e">
        <f aca="false">interpfn($AE$9:$AF$22,AI142,2)</f>
        <v>#VALUE!</v>
      </c>
      <c r="AP142" s="0" t="e">
        <f aca="false">AK142*AM142</f>
        <v>#VALUE!</v>
      </c>
      <c r="AQ142" s="0" t="e">
        <f aca="false">$AN$9*AO142</f>
        <v>#VALUE!</v>
      </c>
      <c r="AS142" s="0" t="e">
        <f aca="false">-$T$14*(COS(AH142))^2+$AR$9*(SIN(AH142))^2</f>
        <v>#VALUE!</v>
      </c>
      <c r="AT142" s="0" t="e">
        <f aca="false">-($U$14/2)*(2*COS(2*AH142)*SIN(AH142/2)+SIN(2*AH142)*COS(AH142/2)/2)+2*AQ51*AP51*$N$29*SIN(AH142)*COS(AH142)/$J$9</f>
        <v>#VALUE!</v>
      </c>
      <c r="AU142" s="0" t="e">
        <f aca="false">-($U$14/2)*SIN(2*AH142)*SIN(AH142/2)+AQ142*AP142*$N$29*(SIN(AH142)^2)/$J$9</f>
        <v>#VALUE!</v>
      </c>
      <c r="AV142" s="0" t="e">
        <f aca="false">($U$14*($F$9/12-$W$14)/(2*$K$9))*(2*COS(2*AH142)*SIN(AH142/2)/2+SIN(2*AH142)*COS(AH142/2)/2)+2*AP51*AQ51*$N$29*($F$9/12-$S$10)*SIN(AH142)*COS(AH142)/($J$9*$K$9)</f>
        <v>#VALUE!</v>
      </c>
      <c r="AW142" s="0" t="n">
        <f aca="false">AG142</f>
        <v>133</v>
      </c>
      <c r="AX142" s="0" t="e">
        <f aca="false">($U$14*($F$9/12-$W$14)/(2*$K$9)*SIN(2*AH142)*SIN(AH142/2)+AP142*AQ142*$N$29*($F$9/12-$S$10)*(SIN(AH142))^2/($J$9*$K$9))</f>
        <v>#VALUE!</v>
      </c>
      <c r="AY142" s="0" t="e">
        <f aca="false">AS142*COS(AH142)+AU142*SIN(AH142)</f>
        <v>#VALUE!</v>
      </c>
      <c r="AZ142" s="0" t="e">
        <f aca="false">AX142</f>
        <v>#VALUE!</v>
      </c>
      <c r="BA142" s="0" t="n">
        <f aca="false">AW142</f>
        <v>133</v>
      </c>
      <c r="BB142" s="0" t="e">
        <f aca="false">IF(AND(AV142&lt;0,AZ142*AZ143&lt;0),BA142+(BA143-BA142)*AZ142/(AZ143-AZ142),"")</f>
        <v>#VALUE!</v>
      </c>
      <c r="BC142" s="0" t="e">
        <f aca="false">IF(AND(AV142&lt;0,AZ142*AZ143&lt;0),AY142+(AY143-AY142)*AZ142/(AZ143-AZ142),"")</f>
        <v>#VALUE!</v>
      </c>
    </row>
    <row r="143" customFormat="false" ht="12.75" hidden="false" customHeight="false" outlineLevel="0" collapsed="false">
      <c r="AG143" s="0" t="n">
        <f aca="false">AG142+1</f>
        <v>134</v>
      </c>
      <c r="AH143" s="0" t="n">
        <f aca="false">AG143*PI()/180</f>
        <v>2.3387411976724</v>
      </c>
      <c r="AI143" s="0" t="n">
        <f aca="false">$D$9*SIN(AH143)</f>
        <v>1.4386796006773</v>
      </c>
      <c r="AJ143" s="19" t="n">
        <f aca="false">$E$9*$Q$10*SIN(AH143)/$K$9</f>
        <v>1272527.81887449</v>
      </c>
      <c r="AK143" s="0" t="e">
        <f aca="false">interpfn($Y$9:$Z$36,AI143,2)</f>
        <v>#VALUE!</v>
      </c>
      <c r="AL143" s="0" t="e">
        <f aca="false">interpfn($AA$9:$AB$27,AJ143,2)</f>
        <v>#VALUE!</v>
      </c>
      <c r="AM143" s="0" t="n">
        <f aca="false">IF(AI143&gt;0.45,1,AL143)</f>
        <v>1</v>
      </c>
      <c r="AO143" s="0" t="e">
        <f aca="false">interpfn($AE$9:$AF$22,AI143,2)</f>
        <v>#VALUE!</v>
      </c>
      <c r="AP143" s="0" t="e">
        <f aca="false">AK143*AM143</f>
        <v>#VALUE!</v>
      </c>
      <c r="AQ143" s="0" t="e">
        <f aca="false">$AN$9*AO143</f>
        <v>#VALUE!</v>
      </c>
      <c r="AS143" s="0" t="e">
        <f aca="false">-$T$14*(COS(AH143))^2+$AR$9*(SIN(AH143))^2</f>
        <v>#VALUE!</v>
      </c>
      <c r="AT143" s="0" t="e">
        <f aca="false">-($U$14/2)*(2*COS(2*AH143)*SIN(AH143/2)+SIN(2*AH143)*COS(AH143/2)/2)+2*AQ52*AP52*$N$29*SIN(AH143)*COS(AH143)/$J$9</f>
        <v>#VALUE!</v>
      </c>
      <c r="AU143" s="0" t="e">
        <f aca="false">-($U$14/2)*SIN(2*AH143)*SIN(AH143/2)+AQ143*AP143*$N$29*(SIN(AH143)^2)/$J$9</f>
        <v>#VALUE!</v>
      </c>
      <c r="AV143" s="0" t="e">
        <f aca="false">($U$14*($F$9/12-$W$14)/(2*$K$9))*(2*COS(2*AH143)*SIN(AH143/2)/2+SIN(2*AH143)*COS(AH143/2)/2)+2*AP52*AQ52*$N$29*($F$9/12-$S$10)*SIN(AH143)*COS(AH143)/($J$9*$K$9)</f>
        <v>#VALUE!</v>
      </c>
      <c r="AW143" s="0" t="n">
        <f aca="false">AG143</f>
        <v>134</v>
      </c>
      <c r="AX143" s="0" t="e">
        <f aca="false">($U$14*($F$9/12-$W$14)/(2*$K$9)*SIN(2*AH143)*SIN(AH143/2)+AP143*AQ143*$N$29*($F$9/12-$S$10)*(SIN(AH143))^2/($J$9*$K$9))</f>
        <v>#VALUE!</v>
      </c>
      <c r="AY143" s="0" t="e">
        <f aca="false">AS143*COS(AH143)+AU143*SIN(AH143)</f>
        <v>#VALUE!</v>
      </c>
      <c r="AZ143" s="0" t="e">
        <f aca="false">AX143</f>
        <v>#VALUE!</v>
      </c>
      <c r="BA143" s="0" t="n">
        <f aca="false">AW143</f>
        <v>134</v>
      </c>
      <c r="BB143" s="0" t="e">
        <f aca="false">IF(AND(AV143&lt;0,AZ143*AZ144&lt;0),BA143+(BA144-BA143)*AZ143/(AZ144-AZ143),"")</f>
        <v>#VALUE!</v>
      </c>
      <c r="BC143" s="0" t="e">
        <f aca="false">IF(AND(AV143&lt;0,AZ143*AZ144&lt;0),AY143+(AY144-AY143)*AZ143/(AZ144-AZ143),"")</f>
        <v>#VALUE!</v>
      </c>
    </row>
    <row r="144" customFormat="false" ht="12.75" hidden="false" customHeight="false" outlineLevel="0" collapsed="false">
      <c r="AG144" s="0" t="n">
        <f aca="false">AG143+1</f>
        <v>135</v>
      </c>
      <c r="AH144" s="0" t="n">
        <f aca="false">AG144*PI()/180</f>
        <v>2.35619449019235</v>
      </c>
      <c r="AI144" s="0" t="n">
        <f aca="false">$D$9*SIN(AH144)</f>
        <v>1.4142135623731</v>
      </c>
      <c r="AJ144" s="19" t="n">
        <f aca="false">$E$9*$Q$10*SIN(AH144)/$K$9</f>
        <v>1250887.34079646</v>
      </c>
      <c r="AK144" s="0" t="e">
        <f aca="false">interpfn($Y$9:$Z$36,AI144,2)</f>
        <v>#VALUE!</v>
      </c>
      <c r="AL144" s="0" t="e">
        <f aca="false">interpfn($AA$9:$AB$27,AJ144,2)</f>
        <v>#VALUE!</v>
      </c>
      <c r="AM144" s="0" t="n">
        <f aca="false">IF(AI144&gt;0.45,1,AL144)</f>
        <v>1</v>
      </c>
      <c r="AO144" s="0" t="e">
        <f aca="false">interpfn($AE$9:$AF$22,AI144,2)</f>
        <v>#VALUE!</v>
      </c>
      <c r="AP144" s="0" t="e">
        <f aca="false">AK144*AM144</f>
        <v>#VALUE!</v>
      </c>
      <c r="AQ144" s="0" t="e">
        <f aca="false">$AN$9*AO144</f>
        <v>#VALUE!</v>
      </c>
      <c r="AS144" s="0" t="e">
        <f aca="false">-$T$14*(COS(AH144))^2+$AR$9*(SIN(AH144))^2</f>
        <v>#VALUE!</v>
      </c>
      <c r="AT144" s="0" t="e">
        <f aca="false">-($U$14/2)*(2*COS(2*AH144)*SIN(AH144/2)+SIN(2*AH144)*COS(AH144/2)/2)+2*AQ53*AP53*$N$29*SIN(AH144)*COS(AH144)/$J$9</f>
        <v>#VALUE!</v>
      </c>
      <c r="AU144" s="0" t="e">
        <f aca="false">-($U$14/2)*SIN(2*AH144)*SIN(AH144/2)+AQ144*AP144*$N$29*(SIN(AH144)^2)/$J$9</f>
        <v>#VALUE!</v>
      </c>
      <c r="AV144" s="0" t="e">
        <f aca="false">($U$14*($F$9/12-$W$14)/(2*$K$9))*(2*COS(2*AH144)*SIN(AH144/2)/2+SIN(2*AH144)*COS(AH144/2)/2)+2*AP53*AQ53*$N$29*($F$9/12-$S$10)*SIN(AH144)*COS(AH144)/($J$9*$K$9)</f>
        <v>#VALUE!</v>
      </c>
      <c r="AW144" s="0" t="n">
        <f aca="false">AG144</f>
        <v>135</v>
      </c>
      <c r="AX144" s="0" t="e">
        <f aca="false">($U$14*($F$9/12-$W$14)/(2*$K$9)*SIN(2*AH144)*SIN(AH144/2)+AP144*AQ144*$N$29*($F$9/12-$S$10)*(SIN(AH144))^2/($J$9*$K$9))</f>
        <v>#VALUE!</v>
      </c>
      <c r="AY144" s="0" t="e">
        <f aca="false">AS144*COS(AH144)+AU144*SIN(AH144)</f>
        <v>#VALUE!</v>
      </c>
      <c r="AZ144" s="0" t="e">
        <f aca="false">AX144</f>
        <v>#VALUE!</v>
      </c>
      <c r="BA144" s="0" t="n">
        <f aca="false">AW144</f>
        <v>135</v>
      </c>
      <c r="BB144" s="0" t="e">
        <f aca="false">IF(AND(AV144&lt;0,AZ144*AZ145&lt;0),BA144+(BA145-BA144)*AZ144/(AZ145-AZ144),"")</f>
        <v>#VALUE!</v>
      </c>
      <c r="BC144" s="0" t="e">
        <f aca="false">IF(AND(AV144&lt;0,AZ144*AZ145&lt;0),AY144+(AY145-AY144)*AZ144/(AZ145-AZ144),"")</f>
        <v>#VALUE!</v>
      </c>
    </row>
    <row r="145" customFormat="false" ht="12.75" hidden="false" customHeight="false" outlineLevel="0" collapsed="false">
      <c r="AG145" s="0" t="n">
        <f aca="false">AG144+1</f>
        <v>136</v>
      </c>
      <c r="AH145" s="0" t="n">
        <f aca="false">AG145*PI()/180</f>
        <v>2.37364778271229</v>
      </c>
      <c r="AI145" s="0" t="n">
        <f aca="false">$D$9*SIN(AH145)</f>
        <v>1.38931674091799</v>
      </c>
      <c r="AJ145" s="19" t="n">
        <f aca="false">$E$9*$Q$10*SIN(AH145)/$K$9</f>
        <v>1228865.83031682</v>
      </c>
      <c r="AK145" s="0" t="e">
        <f aca="false">interpfn($Y$9:$Z$36,AI145,2)</f>
        <v>#VALUE!</v>
      </c>
      <c r="AL145" s="0" t="e">
        <f aca="false">interpfn($AA$9:$AB$27,AJ145,2)</f>
        <v>#VALUE!</v>
      </c>
      <c r="AM145" s="0" t="n">
        <f aca="false">IF(AI145&gt;0.45,1,AL145)</f>
        <v>1</v>
      </c>
      <c r="AO145" s="0" t="e">
        <f aca="false">interpfn($AE$9:$AF$22,AI145,2)</f>
        <v>#VALUE!</v>
      </c>
      <c r="AP145" s="0" t="e">
        <f aca="false">AK145*AM145</f>
        <v>#VALUE!</v>
      </c>
      <c r="AQ145" s="0" t="e">
        <f aca="false">$AN$9*AO145</f>
        <v>#VALUE!</v>
      </c>
      <c r="AS145" s="0" t="e">
        <f aca="false">-$T$14*(COS(AH145))^2+$AR$9*(SIN(AH145))^2</f>
        <v>#VALUE!</v>
      </c>
      <c r="AT145" s="0" t="e">
        <f aca="false">-($U$14/2)*(2*COS(2*AH145)*SIN(AH145/2)+SIN(2*AH145)*COS(AH145/2)/2)+2*AQ54*AP54*$N$29*SIN(AH145)*COS(AH145)/$J$9</f>
        <v>#VALUE!</v>
      </c>
      <c r="AU145" s="0" t="e">
        <f aca="false">-($U$14/2)*SIN(2*AH145)*SIN(AH145/2)+AQ145*AP145*$N$29*(SIN(AH145)^2)/$J$9</f>
        <v>#VALUE!</v>
      </c>
      <c r="AV145" s="0" t="e">
        <f aca="false">($U$14*($F$9/12-$W$14)/(2*$K$9))*(2*COS(2*AH145)*SIN(AH145/2)/2+SIN(2*AH145)*COS(AH145/2)/2)+2*AP54*AQ54*$N$29*($F$9/12-$S$10)*SIN(AH145)*COS(AH145)/($J$9*$K$9)</f>
        <v>#VALUE!</v>
      </c>
      <c r="AW145" s="0" t="n">
        <f aca="false">AG145</f>
        <v>136</v>
      </c>
      <c r="AX145" s="0" t="e">
        <f aca="false">($U$14*($F$9/12-$W$14)/(2*$K$9)*SIN(2*AH145)*SIN(AH145/2)+AP145*AQ145*$N$29*($F$9/12-$S$10)*(SIN(AH145))^2/($J$9*$K$9))</f>
        <v>#VALUE!</v>
      </c>
      <c r="AY145" s="0" t="e">
        <f aca="false">AS145*COS(AH145)+AU145*SIN(AH145)</f>
        <v>#VALUE!</v>
      </c>
      <c r="AZ145" s="0" t="e">
        <f aca="false">AX145</f>
        <v>#VALUE!</v>
      </c>
      <c r="BA145" s="0" t="n">
        <f aca="false">AW145</f>
        <v>136</v>
      </c>
      <c r="BB145" s="0" t="e">
        <f aca="false">IF(AND(AV145&lt;0,AZ145*AZ146&lt;0),BA145+(BA146-BA145)*AZ145/(AZ146-AZ145),"")</f>
        <v>#VALUE!</v>
      </c>
      <c r="BC145" s="0" t="e">
        <f aca="false">IF(AND(AV145&lt;0,AZ145*AZ146&lt;0),AY145+(AY146-AY145)*AZ145/(AZ146-AZ145),"")</f>
        <v>#VALUE!</v>
      </c>
    </row>
    <row r="146" customFormat="false" ht="12.75" hidden="false" customHeight="false" outlineLevel="0" collapsed="false">
      <c r="AG146" s="0" t="n">
        <f aca="false">AG145+1</f>
        <v>137</v>
      </c>
      <c r="AH146" s="0" t="n">
        <f aca="false">AG146*PI()/180</f>
        <v>2.39110107523223</v>
      </c>
      <c r="AI146" s="0" t="n">
        <f aca="false">$D$9*SIN(AH146)</f>
        <v>1.363996720125</v>
      </c>
      <c r="AJ146" s="19" t="n">
        <f aca="false">$E$9*$Q$10*SIN(AH146)/$K$9</f>
        <v>1206469.99540097</v>
      </c>
      <c r="AK146" s="0" t="e">
        <f aca="false">interpfn($Y$9:$Z$36,AI146,2)</f>
        <v>#VALUE!</v>
      </c>
      <c r="AL146" s="0" t="e">
        <f aca="false">interpfn($AA$9:$AB$27,AJ146,2)</f>
        <v>#VALUE!</v>
      </c>
      <c r="AM146" s="0" t="n">
        <f aca="false">IF(AI146&gt;0.45,1,AL146)</f>
        <v>1</v>
      </c>
      <c r="AO146" s="0" t="e">
        <f aca="false">interpfn($AE$9:$AF$22,AI146,2)</f>
        <v>#VALUE!</v>
      </c>
      <c r="AP146" s="0" t="e">
        <f aca="false">AK146*AM146</f>
        <v>#VALUE!</v>
      </c>
      <c r="AQ146" s="0" t="e">
        <f aca="false">$AN$9*AO146</f>
        <v>#VALUE!</v>
      </c>
      <c r="AS146" s="0" t="e">
        <f aca="false">-$T$14*(COS(AH146))^2+$AR$9*(SIN(AH146))^2</f>
        <v>#VALUE!</v>
      </c>
      <c r="AT146" s="0" t="e">
        <f aca="false">-($U$14/2)*(2*COS(2*AH146)*SIN(AH146/2)+SIN(2*AH146)*COS(AH146/2)/2)+2*AQ55*AP55*$N$29*SIN(AH146)*COS(AH146)/$J$9</f>
        <v>#VALUE!</v>
      </c>
      <c r="AU146" s="0" t="e">
        <f aca="false">-($U$14/2)*SIN(2*AH146)*SIN(AH146/2)+AQ146*AP146*$N$29*(SIN(AH146)^2)/$J$9</f>
        <v>#VALUE!</v>
      </c>
      <c r="AV146" s="0" t="e">
        <f aca="false">($U$14*($F$9/12-$W$14)/(2*$K$9))*(2*COS(2*AH146)*SIN(AH146/2)/2+SIN(2*AH146)*COS(AH146/2)/2)+2*AP55*AQ55*$N$29*($F$9/12-$S$10)*SIN(AH146)*COS(AH146)/($J$9*$K$9)</f>
        <v>#VALUE!</v>
      </c>
      <c r="AW146" s="0" t="n">
        <f aca="false">AG146</f>
        <v>137</v>
      </c>
      <c r="AX146" s="0" t="e">
        <f aca="false">($U$14*($F$9/12-$W$14)/(2*$K$9)*SIN(2*AH146)*SIN(AH146/2)+AP146*AQ146*$N$29*($F$9/12-$S$10)*(SIN(AH146))^2/($J$9*$K$9))</f>
        <v>#VALUE!</v>
      </c>
      <c r="AY146" s="0" t="e">
        <f aca="false">AS146*COS(AH146)+AU146*SIN(AH146)</f>
        <v>#VALUE!</v>
      </c>
      <c r="AZ146" s="0" t="e">
        <f aca="false">AX146</f>
        <v>#VALUE!</v>
      </c>
      <c r="BA146" s="0" t="n">
        <f aca="false">AW146</f>
        <v>137</v>
      </c>
      <c r="BB146" s="0" t="e">
        <f aca="false">IF(AND(AV146&lt;0,AZ146*AZ147&lt;0),BA146+(BA147-BA146)*AZ146/(AZ147-AZ146),"")</f>
        <v>#VALUE!</v>
      </c>
      <c r="BC146" s="0" t="e">
        <f aca="false">IF(AND(AV146&lt;0,AZ146*AZ147&lt;0),AY146+(AY147-AY146)*AZ146/(AZ147-AZ146),"")</f>
        <v>#VALUE!</v>
      </c>
    </row>
    <row r="147" customFormat="false" ht="12.75" hidden="false" customHeight="false" outlineLevel="0" collapsed="false">
      <c r="AG147" s="0" t="n">
        <f aca="false">AG146+1</f>
        <v>138</v>
      </c>
      <c r="AH147" s="0" t="n">
        <f aca="false">AG147*PI()/180</f>
        <v>2.40855436775217</v>
      </c>
      <c r="AI147" s="0" t="n">
        <f aca="false">$D$9*SIN(AH147)</f>
        <v>1.33826121271772</v>
      </c>
      <c r="AJ147" s="19" t="n">
        <f aca="false">$E$9*$Q$10*SIN(AH147)/$K$9</f>
        <v>1183706.65803718</v>
      </c>
      <c r="AK147" s="0" t="e">
        <f aca="false">interpfn($Y$9:$Z$36,AI147,2)</f>
        <v>#VALUE!</v>
      </c>
      <c r="AL147" s="0" t="e">
        <f aca="false">interpfn($AA$9:$AB$27,AJ147,2)</f>
        <v>#VALUE!</v>
      </c>
      <c r="AM147" s="0" t="n">
        <f aca="false">IF(AI147&gt;0.45,1,AL147)</f>
        <v>1</v>
      </c>
      <c r="AO147" s="0" t="e">
        <f aca="false">interpfn($AE$9:$AF$22,AI147,2)</f>
        <v>#VALUE!</v>
      </c>
      <c r="AP147" s="0" t="e">
        <f aca="false">AK147*AM147</f>
        <v>#VALUE!</v>
      </c>
      <c r="AQ147" s="0" t="e">
        <f aca="false">$AN$9*AO147</f>
        <v>#VALUE!</v>
      </c>
      <c r="AS147" s="0" t="e">
        <f aca="false">-$T$14*(COS(AH147))^2+$AR$9*(SIN(AH147))^2</f>
        <v>#VALUE!</v>
      </c>
      <c r="AT147" s="0" t="e">
        <f aca="false">-($U$14/2)*(2*COS(2*AH147)*SIN(AH147/2)+SIN(2*AH147)*COS(AH147/2)/2)+2*AQ56*AP56*$N$29*SIN(AH147)*COS(AH147)/$J$9</f>
        <v>#VALUE!</v>
      </c>
      <c r="AU147" s="0" t="e">
        <f aca="false">-($U$14/2)*SIN(2*AH147)*SIN(AH147/2)+AQ147*AP147*$N$29*(SIN(AH147)^2)/$J$9</f>
        <v>#VALUE!</v>
      </c>
      <c r="AV147" s="0" t="e">
        <f aca="false">($U$14*($F$9/12-$W$14)/(2*$K$9))*(2*COS(2*AH147)*SIN(AH147/2)/2+SIN(2*AH147)*COS(AH147/2)/2)+2*AP56*AQ56*$N$29*($F$9/12-$S$10)*SIN(AH147)*COS(AH147)/($J$9*$K$9)</f>
        <v>#VALUE!</v>
      </c>
      <c r="AW147" s="0" t="n">
        <f aca="false">AG147</f>
        <v>138</v>
      </c>
      <c r="AX147" s="0" t="e">
        <f aca="false">($U$14*($F$9/12-$W$14)/(2*$K$9)*SIN(2*AH147)*SIN(AH147/2)+AP147*AQ147*$N$29*($F$9/12-$S$10)*(SIN(AH147))^2/($J$9*$K$9))</f>
        <v>#VALUE!</v>
      </c>
      <c r="AY147" s="0" t="e">
        <f aca="false">AS147*COS(AH147)+AU147*SIN(AH147)</f>
        <v>#VALUE!</v>
      </c>
      <c r="AZ147" s="0" t="e">
        <f aca="false">AX147</f>
        <v>#VALUE!</v>
      </c>
      <c r="BA147" s="0" t="n">
        <f aca="false">AW147</f>
        <v>138</v>
      </c>
      <c r="BB147" s="0" t="e">
        <f aca="false">IF(AND(AV147&lt;0,AZ147*AZ148&lt;0),BA147+(BA148-BA147)*AZ147/(AZ148-AZ147),"")</f>
        <v>#VALUE!</v>
      </c>
      <c r="BC147" s="0" t="e">
        <f aca="false">IF(AND(AV147&lt;0,AZ147*AZ148&lt;0),AY147+(AY148-AY147)*AZ147/(AZ148-AZ147),"")</f>
        <v>#VALUE!</v>
      </c>
    </row>
    <row r="148" customFormat="false" ht="12.75" hidden="false" customHeight="false" outlineLevel="0" collapsed="false">
      <c r="AG148" s="0" t="n">
        <f aca="false">AG147+1</f>
        <v>139</v>
      </c>
      <c r="AH148" s="0" t="n">
        <f aca="false">AG148*PI()/180</f>
        <v>2.42600766027212</v>
      </c>
      <c r="AI148" s="0" t="n">
        <f aca="false">$D$9*SIN(AH148)</f>
        <v>1.31211805798101</v>
      </c>
      <c r="AJ148" s="19" t="n">
        <f aca="false">$E$9*$Q$10*SIN(AH148)/$K$9</f>
        <v>1160582.75215853</v>
      </c>
      <c r="AK148" s="0" t="e">
        <f aca="false">interpfn($Y$9:$Z$36,AI148,2)</f>
        <v>#VALUE!</v>
      </c>
      <c r="AL148" s="0" t="e">
        <f aca="false">interpfn($AA$9:$AB$27,AJ148,2)</f>
        <v>#VALUE!</v>
      </c>
      <c r="AM148" s="0" t="n">
        <f aca="false">IF(AI148&gt;0.45,1,AL148)</f>
        <v>1</v>
      </c>
      <c r="AO148" s="0" t="e">
        <f aca="false">interpfn($AE$9:$AF$22,AI148,2)</f>
        <v>#VALUE!</v>
      </c>
      <c r="AP148" s="0" t="e">
        <f aca="false">AK148*AM148</f>
        <v>#VALUE!</v>
      </c>
      <c r="AQ148" s="0" t="e">
        <f aca="false">$AN$9*AO148</f>
        <v>#VALUE!</v>
      </c>
      <c r="AS148" s="0" t="e">
        <f aca="false">-$T$14*(COS(AH148))^2+$AR$9*(SIN(AH148))^2</f>
        <v>#VALUE!</v>
      </c>
      <c r="AT148" s="0" t="e">
        <f aca="false">-($U$14/2)*(2*COS(2*AH148)*SIN(AH148/2)+SIN(2*AH148)*COS(AH148/2)/2)+2*AQ57*AP57*$N$29*SIN(AH148)*COS(AH148)/$J$9</f>
        <v>#VALUE!</v>
      </c>
      <c r="AU148" s="0" t="e">
        <f aca="false">-($U$14/2)*SIN(2*AH148)*SIN(AH148/2)+AQ148*AP148*$N$29*(SIN(AH148)^2)/$J$9</f>
        <v>#VALUE!</v>
      </c>
      <c r="AV148" s="0" t="e">
        <f aca="false">($U$14*($F$9/12-$W$14)/(2*$K$9))*(2*COS(2*AH148)*SIN(AH148/2)/2+SIN(2*AH148)*COS(AH148/2)/2)+2*AP57*AQ57*$N$29*($F$9/12-$S$10)*SIN(AH148)*COS(AH148)/($J$9*$K$9)</f>
        <v>#VALUE!</v>
      </c>
      <c r="AW148" s="0" t="n">
        <f aca="false">AG148</f>
        <v>139</v>
      </c>
      <c r="AX148" s="0" t="e">
        <f aca="false">($U$14*($F$9/12-$W$14)/(2*$K$9)*SIN(2*AH148)*SIN(AH148/2)+AP148*AQ148*$N$29*($F$9/12-$S$10)*(SIN(AH148))^2/($J$9*$K$9))</f>
        <v>#VALUE!</v>
      </c>
      <c r="AY148" s="0" t="e">
        <f aca="false">AS148*COS(AH148)+AU148*SIN(AH148)</f>
        <v>#VALUE!</v>
      </c>
      <c r="AZ148" s="0" t="e">
        <f aca="false">AX148</f>
        <v>#VALUE!</v>
      </c>
      <c r="BA148" s="0" t="n">
        <f aca="false">AW148</f>
        <v>139</v>
      </c>
      <c r="BB148" s="0" t="e">
        <f aca="false">IF(AND(AV148&lt;0,AZ148*AZ149&lt;0),BA148+(BA149-BA148)*AZ148/(AZ149-AZ148),"")</f>
        <v>#VALUE!</v>
      </c>
      <c r="BC148" s="0" t="e">
        <f aca="false">IF(AND(AV148&lt;0,AZ148*AZ149&lt;0),AY148+(AY149-AY148)*AZ148/(AZ149-AZ148),"")</f>
        <v>#VALUE!</v>
      </c>
    </row>
    <row r="149" customFormat="false" ht="12.75" hidden="false" customHeight="false" outlineLevel="0" collapsed="false">
      <c r="AG149" s="0" t="n">
        <f aca="false">AG148+1</f>
        <v>140</v>
      </c>
      <c r="AH149" s="0" t="n">
        <f aca="false">AG149*PI()/180</f>
        <v>2.44346095279206</v>
      </c>
      <c r="AI149" s="0" t="n">
        <f aca="false">$D$9*SIN(AH149)</f>
        <v>1.28557521937308</v>
      </c>
      <c r="AJ149" s="19" t="n">
        <f aca="false">$E$9*$Q$10*SIN(AH149)/$K$9</f>
        <v>1137105.32153076</v>
      </c>
      <c r="AK149" s="0" t="e">
        <f aca="false">interpfn($Y$9:$Z$36,AI149,2)</f>
        <v>#VALUE!</v>
      </c>
      <c r="AL149" s="0" t="e">
        <f aca="false">interpfn($AA$9:$AB$27,AJ149,2)</f>
        <v>#VALUE!</v>
      </c>
      <c r="AM149" s="0" t="n">
        <f aca="false">IF(AI149&gt;0.45,1,AL149)</f>
        <v>1</v>
      </c>
      <c r="AO149" s="0" t="e">
        <f aca="false">interpfn($AE$9:$AF$22,AI149,2)</f>
        <v>#VALUE!</v>
      </c>
      <c r="AP149" s="0" t="e">
        <f aca="false">AK149*AM149</f>
        <v>#VALUE!</v>
      </c>
      <c r="AQ149" s="0" t="e">
        <f aca="false">$AN$9*AO149</f>
        <v>#VALUE!</v>
      </c>
      <c r="AS149" s="0" t="e">
        <f aca="false">-$T$14*(COS(AH149))^2+$AR$9*(SIN(AH149))^2</f>
        <v>#VALUE!</v>
      </c>
      <c r="AT149" s="0" t="e">
        <f aca="false">-($U$14/2)*(2*COS(2*AH149)*SIN(AH149/2)+SIN(2*AH149)*COS(AH149/2)/2)+2*AQ58*AP58*$N$29*SIN(AH149)*COS(AH149)/$J$9</f>
        <v>#VALUE!</v>
      </c>
      <c r="AU149" s="0" t="e">
        <f aca="false">-($U$14/2)*SIN(2*AH149)*SIN(AH149/2)+AQ149*AP149*$N$29*(SIN(AH149)^2)/$J$9</f>
        <v>#VALUE!</v>
      </c>
      <c r="AV149" s="0" t="e">
        <f aca="false">($U$14*($F$9/12-$W$14)/(2*$K$9))*(2*COS(2*AH149)*SIN(AH149/2)/2+SIN(2*AH149)*COS(AH149/2)/2)+2*AP58*AQ58*$N$29*($F$9/12-$S$10)*SIN(AH149)*COS(AH149)/($J$9*$K$9)</f>
        <v>#VALUE!</v>
      </c>
      <c r="AW149" s="0" t="n">
        <f aca="false">AG149</f>
        <v>140</v>
      </c>
      <c r="AX149" s="0" t="e">
        <f aca="false">($U$14*($F$9/12-$W$14)/(2*$K$9)*SIN(2*AH149)*SIN(AH149/2)+AP149*AQ149*$N$29*($F$9/12-$S$10)*(SIN(AH149))^2/($J$9*$K$9))</f>
        <v>#VALUE!</v>
      </c>
      <c r="AY149" s="0" t="e">
        <f aca="false">AS149*COS(AH149)+AU149*SIN(AH149)</f>
        <v>#VALUE!</v>
      </c>
      <c r="AZ149" s="0" t="e">
        <f aca="false">AX149</f>
        <v>#VALUE!</v>
      </c>
      <c r="BA149" s="0" t="n">
        <f aca="false">AW149</f>
        <v>140</v>
      </c>
      <c r="BB149" s="0" t="e">
        <f aca="false">IF(AND(AV149&lt;0,AZ149*AZ150&lt;0),BA149+(BA150-BA149)*AZ149/(AZ150-AZ149),"")</f>
        <v>#VALUE!</v>
      </c>
      <c r="BC149" s="0" t="e">
        <f aca="false">IF(AND(AV149&lt;0,AZ149*AZ150&lt;0),AY149+(AY150-AY149)*AZ149/(AZ150-AZ149),"")</f>
        <v>#VALUE!</v>
      </c>
    </row>
    <row r="150" customFormat="false" ht="12.75" hidden="false" customHeight="false" outlineLevel="0" collapsed="false">
      <c r="AG150" s="0" t="n">
        <f aca="false">AG149+1</f>
        <v>141</v>
      </c>
      <c r="AH150" s="0" t="n">
        <f aca="false">AG150*PI()/180</f>
        <v>2.460914245312</v>
      </c>
      <c r="AI150" s="0" t="n">
        <f aca="false">$D$9*SIN(AH150)</f>
        <v>1.25864078209968</v>
      </c>
      <c r="AJ150" s="19" t="n">
        <f aca="false">$E$9*$Q$10*SIN(AH150)/$K$9</f>
        <v>1113281.51760666</v>
      </c>
      <c r="AK150" s="0" t="e">
        <f aca="false">interpfn($Y$9:$Z$36,AI150,2)</f>
        <v>#VALUE!</v>
      </c>
      <c r="AL150" s="0" t="e">
        <f aca="false">interpfn($AA$9:$AB$27,AJ150,2)</f>
        <v>#VALUE!</v>
      </c>
      <c r="AM150" s="0" t="n">
        <f aca="false">IF(AI150&gt;0.45,1,AL150)</f>
        <v>1</v>
      </c>
      <c r="AO150" s="0" t="e">
        <f aca="false">interpfn($AE$9:$AF$22,AI150,2)</f>
        <v>#VALUE!</v>
      </c>
      <c r="AP150" s="0" t="e">
        <f aca="false">AK150*AM150</f>
        <v>#VALUE!</v>
      </c>
      <c r="AQ150" s="0" t="e">
        <f aca="false">$AN$9*AO150</f>
        <v>#VALUE!</v>
      </c>
      <c r="AS150" s="0" t="e">
        <f aca="false">-$T$14*(COS(AH150))^2+$AR$9*(SIN(AH150))^2</f>
        <v>#VALUE!</v>
      </c>
      <c r="AT150" s="0" t="e">
        <f aca="false">-($U$14/2)*(2*COS(2*AH150)*SIN(AH150/2)+SIN(2*AH150)*COS(AH150/2)/2)+2*AQ59*AP59*$N$29*SIN(AH150)*COS(AH150)/$J$9</f>
        <v>#VALUE!</v>
      </c>
      <c r="AU150" s="0" t="e">
        <f aca="false">-($U$14/2)*SIN(2*AH150)*SIN(AH150/2)+AQ150*AP150*$N$29*(SIN(AH150)^2)/$J$9</f>
        <v>#VALUE!</v>
      </c>
      <c r="AV150" s="0" t="e">
        <f aca="false">($U$14*($F$9/12-$W$14)/(2*$K$9))*(2*COS(2*AH150)*SIN(AH150/2)/2+SIN(2*AH150)*COS(AH150/2)/2)+2*AP59*AQ59*$N$29*($F$9/12-$S$10)*SIN(AH150)*COS(AH150)/($J$9*$K$9)</f>
        <v>#VALUE!</v>
      </c>
      <c r="AW150" s="0" t="n">
        <f aca="false">AG150</f>
        <v>141</v>
      </c>
      <c r="AX150" s="0" t="e">
        <f aca="false">($U$14*($F$9/12-$W$14)/(2*$K$9)*SIN(2*AH150)*SIN(AH150/2)+AP150*AQ150*$N$29*($F$9/12-$S$10)*(SIN(AH150))^2/($J$9*$K$9))</f>
        <v>#VALUE!</v>
      </c>
      <c r="AY150" s="0" t="e">
        <f aca="false">AS150*COS(AH150)+AU150*SIN(AH150)</f>
        <v>#VALUE!</v>
      </c>
      <c r="AZ150" s="0" t="e">
        <f aca="false">AX150</f>
        <v>#VALUE!</v>
      </c>
      <c r="BA150" s="0" t="n">
        <f aca="false">AW150</f>
        <v>141</v>
      </c>
      <c r="BB150" s="0" t="e">
        <f aca="false">IF(AND(AV150&lt;0,AZ150*AZ151&lt;0),BA150+(BA151-BA150)*AZ150/(AZ151-AZ150),"")</f>
        <v>#VALUE!</v>
      </c>
      <c r="BC150" s="0" t="e">
        <f aca="false">IF(AND(AV150&lt;0,AZ150*AZ151&lt;0),AY150+(AY151-AY150)*AZ150/(AZ151-AZ150),"")</f>
        <v>#VALUE!</v>
      </c>
    </row>
    <row r="151" customFormat="false" ht="12.75" hidden="false" customHeight="false" outlineLevel="0" collapsed="false">
      <c r="AG151" s="0" t="n">
        <f aca="false">AG150+1</f>
        <v>142</v>
      </c>
      <c r="AH151" s="0" t="n">
        <f aca="false">AG151*PI()/180</f>
        <v>2.47836753783195</v>
      </c>
      <c r="AI151" s="0" t="n">
        <f aca="false">$D$9*SIN(AH151)</f>
        <v>1.23132295065132</v>
      </c>
      <c r="AJ151" s="19" t="n">
        <f aca="false">$E$9*$Q$10*SIN(AH151)/$K$9</f>
        <v>1089118.5973477</v>
      </c>
      <c r="AK151" s="0" t="e">
        <f aca="false">interpfn($Y$9:$Z$36,AI151,2)</f>
        <v>#VALUE!</v>
      </c>
      <c r="AL151" s="0" t="e">
        <f aca="false">interpfn($AA$9:$AB$27,AJ151,2)</f>
        <v>#VALUE!</v>
      </c>
      <c r="AM151" s="0" t="n">
        <f aca="false">IF(AI151&gt;0.45,1,AL151)</f>
        <v>1</v>
      </c>
      <c r="AO151" s="0" t="e">
        <f aca="false">interpfn($AE$9:$AF$22,AI151,2)</f>
        <v>#VALUE!</v>
      </c>
      <c r="AP151" s="0" t="e">
        <f aca="false">AK151*AM151</f>
        <v>#VALUE!</v>
      </c>
      <c r="AQ151" s="0" t="e">
        <f aca="false">$AN$9*AO151</f>
        <v>#VALUE!</v>
      </c>
      <c r="AS151" s="0" t="e">
        <f aca="false">-$T$14*(COS(AH151))^2+$AR$9*(SIN(AH151))^2</f>
        <v>#VALUE!</v>
      </c>
      <c r="AT151" s="0" t="e">
        <f aca="false">-($U$14/2)*(2*COS(2*AH151)*SIN(AH151/2)+SIN(2*AH151)*COS(AH151/2)/2)+2*AQ60*AP60*$N$29*SIN(AH151)*COS(AH151)/$J$9</f>
        <v>#VALUE!</v>
      </c>
      <c r="AU151" s="0" t="e">
        <f aca="false">-($U$14/2)*SIN(2*AH151)*SIN(AH151/2)+AQ151*AP151*$N$29*(SIN(AH151)^2)/$J$9</f>
        <v>#VALUE!</v>
      </c>
      <c r="AV151" s="0" t="e">
        <f aca="false">($U$14*($F$9/12-$W$14)/(2*$K$9))*(2*COS(2*AH151)*SIN(AH151/2)/2+SIN(2*AH151)*COS(AH151/2)/2)+2*AP60*AQ60*$N$29*($F$9/12-$S$10)*SIN(AH151)*COS(AH151)/($J$9*$K$9)</f>
        <v>#VALUE!</v>
      </c>
      <c r="AW151" s="0" t="n">
        <f aca="false">AG151</f>
        <v>142</v>
      </c>
      <c r="AX151" s="0" t="e">
        <f aca="false">($U$14*($F$9/12-$W$14)/(2*$K$9)*SIN(2*AH151)*SIN(AH151/2)+AP151*AQ151*$N$29*($F$9/12-$S$10)*(SIN(AH151))^2/($J$9*$K$9))</f>
        <v>#VALUE!</v>
      </c>
      <c r="AY151" s="0" t="e">
        <f aca="false">AS151*COS(AH151)+AU151*SIN(AH151)</f>
        <v>#VALUE!</v>
      </c>
      <c r="AZ151" s="0" t="e">
        <f aca="false">AX151</f>
        <v>#VALUE!</v>
      </c>
      <c r="BA151" s="0" t="n">
        <f aca="false">AW151</f>
        <v>142</v>
      </c>
      <c r="BB151" s="0" t="e">
        <f aca="false">IF(AND(AV151&lt;0,AZ151*AZ152&lt;0),BA151+(BA152-BA151)*AZ151/(AZ152-AZ151),"")</f>
        <v>#VALUE!</v>
      </c>
      <c r="BC151" s="0" t="e">
        <f aca="false">IF(AND(AV151&lt;0,AZ151*AZ152&lt;0),AY151+(AY152-AY151)*AZ151/(AZ152-AZ151),"")</f>
        <v>#VALUE!</v>
      </c>
    </row>
    <row r="152" customFormat="false" ht="12.75" hidden="false" customHeight="false" outlineLevel="0" collapsed="false">
      <c r="AG152" s="0" t="n">
        <f aca="false">AG151+1</f>
        <v>143</v>
      </c>
      <c r="AH152" s="0" t="n">
        <f aca="false">AG152*PI()/180</f>
        <v>2.49582083035189</v>
      </c>
      <c r="AI152" s="0" t="n">
        <f aca="false">$D$9*SIN(AH152)</f>
        <v>1.2036300463041</v>
      </c>
      <c r="AJ152" s="19" t="n">
        <f aca="false">$E$9*$Q$10*SIN(AH152)/$K$9</f>
        <v>1064623.92101346</v>
      </c>
      <c r="AK152" s="0" t="e">
        <f aca="false">interpfn($Y$9:$Z$36,AI152,2)</f>
        <v>#VALUE!</v>
      </c>
      <c r="AL152" s="0" t="e">
        <f aca="false">interpfn($AA$9:$AB$27,AJ152,2)</f>
        <v>#VALUE!</v>
      </c>
      <c r="AM152" s="0" t="n">
        <f aca="false">IF(AI152&gt;0.45,1,AL152)</f>
        <v>1</v>
      </c>
      <c r="AO152" s="0" t="e">
        <f aca="false">interpfn($AE$9:$AF$22,AI152,2)</f>
        <v>#VALUE!</v>
      </c>
      <c r="AP152" s="0" t="e">
        <f aca="false">AK152*AM152</f>
        <v>#VALUE!</v>
      </c>
      <c r="AQ152" s="0" t="e">
        <f aca="false">$AN$9*AO152</f>
        <v>#VALUE!</v>
      </c>
      <c r="AS152" s="0" t="e">
        <f aca="false">-$T$14*(COS(AH152))^2+$AR$9*(SIN(AH152))^2</f>
        <v>#VALUE!</v>
      </c>
      <c r="AT152" s="0" t="e">
        <f aca="false">-($U$14/2)*(2*COS(2*AH152)*SIN(AH152/2)+SIN(2*AH152)*COS(AH152/2)/2)+2*AQ61*AP61*$N$29*SIN(AH152)*COS(AH152)/$J$9</f>
        <v>#VALUE!</v>
      </c>
      <c r="AU152" s="0" t="e">
        <f aca="false">-($U$14/2)*SIN(2*AH152)*SIN(AH152/2)+AQ152*AP152*$N$29*(SIN(AH152)^2)/$J$9</f>
        <v>#VALUE!</v>
      </c>
      <c r="AV152" s="0" t="e">
        <f aca="false">($U$14*($F$9/12-$W$14)/(2*$K$9))*(2*COS(2*AH152)*SIN(AH152/2)/2+SIN(2*AH152)*COS(AH152/2)/2)+2*AP61*AQ61*$N$29*($F$9/12-$S$10)*SIN(AH152)*COS(AH152)/($J$9*$K$9)</f>
        <v>#VALUE!</v>
      </c>
      <c r="AW152" s="0" t="n">
        <f aca="false">AG152</f>
        <v>143</v>
      </c>
      <c r="AX152" s="0" t="e">
        <f aca="false">($U$14*($F$9/12-$W$14)/(2*$K$9)*SIN(2*AH152)*SIN(AH152/2)+AP152*AQ152*$N$29*($F$9/12-$S$10)*(SIN(AH152))^2/($J$9*$K$9))</f>
        <v>#VALUE!</v>
      </c>
      <c r="AY152" s="0" t="e">
        <f aca="false">AS152*COS(AH152)+AU152*SIN(AH152)</f>
        <v>#VALUE!</v>
      </c>
      <c r="AZ152" s="0" t="e">
        <f aca="false">AX152</f>
        <v>#VALUE!</v>
      </c>
      <c r="BA152" s="0" t="n">
        <f aca="false">AW152</f>
        <v>143</v>
      </c>
      <c r="BB152" s="0" t="e">
        <f aca="false">IF(AND(AV152&lt;0,AZ152*AZ153&lt;0),BA152+(BA153-BA152)*AZ152/(AZ153-AZ152),"")</f>
        <v>#VALUE!</v>
      </c>
      <c r="BC152" s="0" t="e">
        <f aca="false">IF(AND(AV152&lt;0,AZ152*AZ153&lt;0),AY152+(AY153-AY152)*AZ152/(AZ153-AZ152),"")</f>
        <v>#VALUE!</v>
      </c>
    </row>
    <row r="153" customFormat="false" ht="12.75" hidden="false" customHeight="false" outlineLevel="0" collapsed="false">
      <c r="AG153" s="0" t="n">
        <f aca="false">AG152+1</f>
        <v>144</v>
      </c>
      <c r="AH153" s="0" t="n">
        <f aca="false">AG153*PI()/180</f>
        <v>2.51327412287183</v>
      </c>
      <c r="AI153" s="0" t="n">
        <f aca="false">$D$9*SIN(AH153)</f>
        <v>1.17557050458495</v>
      </c>
      <c r="AJ153" s="19" t="n">
        <f aca="false">$E$9*$Q$10*SIN(AH153)/$K$9</f>
        <v>1039804.94991963</v>
      </c>
      <c r="AK153" s="0" t="e">
        <f aca="false">interpfn($Y$9:$Z$36,AI153,2)</f>
        <v>#VALUE!</v>
      </c>
      <c r="AL153" s="0" t="e">
        <f aca="false">interpfn($AA$9:$AB$27,AJ153,2)</f>
        <v>#VALUE!</v>
      </c>
      <c r="AM153" s="0" t="n">
        <f aca="false">IF(AI153&gt;0.45,1,AL153)</f>
        <v>1</v>
      </c>
      <c r="AO153" s="0" t="e">
        <f aca="false">interpfn($AE$9:$AF$22,AI153,2)</f>
        <v>#VALUE!</v>
      </c>
      <c r="AP153" s="0" t="e">
        <f aca="false">AK153*AM153</f>
        <v>#VALUE!</v>
      </c>
      <c r="AQ153" s="0" t="e">
        <f aca="false">$AN$9*AO153</f>
        <v>#VALUE!</v>
      </c>
      <c r="AS153" s="0" t="e">
        <f aca="false">-$T$14*(COS(AH153))^2+$AR$9*(SIN(AH153))^2</f>
        <v>#VALUE!</v>
      </c>
      <c r="AT153" s="0" t="e">
        <f aca="false">-($U$14/2)*(2*COS(2*AH153)*SIN(AH153/2)+SIN(2*AH153)*COS(AH153/2)/2)+2*AQ62*AP62*$N$29*SIN(AH153)*COS(AH153)/$J$9</f>
        <v>#VALUE!</v>
      </c>
      <c r="AU153" s="0" t="e">
        <f aca="false">-($U$14/2)*SIN(2*AH153)*SIN(AH153/2)+AQ153*AP153*$N$29*(SIN(AH153)^2)/$J$9</f>
        <v>#VALUE!</v>
      </c>
      <c r="AV153" s="0" t="e">
        <f aca="false">($U$14*($F$9/12-$W$14)/(2*$K$9))*(2*COS(2*AH153)*SIN(AH153/2)/2+SIN(2*AH153)*COS(AH153/2)/2)+2*AP62*AQ62*$N$29*($F$9/12-$S$10)*SIN(AH153)*COS(AH153)/($J$9*$K$9)</f>
        <v>#VALUE!</v>
      </c>
      <c r="AW153" s="0" t="n">
        <f aca="false">AG153</f>
        <v>144</v>
      </c>
      <c r="AX153" s="0" t="e">
        <f aca="false">($U$14*($F$9/12-$W$14)/(2*$K$9)*SIN(2*AH153)*SIN(AH153/2)+AP153*AQ153*$N$29*($F$9/12-$S$10)*(SIN(AH153))^2/($J$9*$K$9))</f>
        <v>#VALUE!</v>
      </c>
      <c r="AY153" s="0" t="e">
        <f aca="false">AS153*COS(AH153)+AU153*SIN(AH153)</f>
        <v>#VALUE!</v>
      </c>
      <c r="AZ153" s="0" t="e">
        <f aca="false">AX153</f>
        <v>#VALUE!</v>
      </c>
      <c r="BA153" s="0" t="n">
        <f aca="false">AW153</f>
        <v>144</v>
      </c>
      <c r="BB153" s="0" t="e">
        <f aca="false">IF(AND(AV153&lt;0,AZ153*AZ154&lt;0),BA153+(BA154-BA153)*AZ153/(AZ154-AZ153),"")</f>
        <v>#VALUE!</v>
      </c>
      <c r="BC153" s="0" t="e">
        <f aca="false">IF(AND(AV153&lt;0,AZ153*AZ154&lt;0),AY153+(AY154-AY153)*AZ153/(AZ154-AZ153),"")</f>
        <v>#VALUE!</v>
      </c>
    </row>
    <row r="154" customFormat="false" ht="12.75" hidden="false" customHeight="false" outlineLevel="0" collapsed="false">
      <c r="AG154" s="0" t="n">
        <f aca="false">AG153+1</f>
        <v>145</v>
      </c>
      <c r="AH154" s="0" t="n">
        <f aca="false">AG154*PI()/180</f>
        <v>2.53072741539178</v>
      </c>
      <c r="AI154" s="0" t="n">
        <f aca="false">$D$9*SIN(AH154)</f>
        <v>1.14715287270209</v>
      </c>
      <c r="AJ154" s="19" t="n">
        <f aca="false">$E$9*$Q$10*SIN(AH154)/$K$9</f>
        <v>1014669.24416524</v>
      </c>
      <c r="AK154" s="0" t="e">
        <f aca="false">interpfn($Y$9:$Z$36,AI154,2)</f>
        <v>#VALUE!</v>
      </c>
      <c r="AL154" s="0" t="e">
        <f aca="false">interpfn($AA$9:$AB$27,AJ154,2)</f>
        <v>#VALUE!</v>
      </c>
      <c r="AM154" s="0" t="n">
        <f aca="false">IF(AI154&gt;0.45,1,AL154)</f>
        <v>1</v>
      </c>
      <c r="AO154" s="0" t="e">
        <f aca="false">interpfn($AE$9:$AF$22,AI154,2)</f>
        <v>#VALUE!</v>
      </c>
      <c r="AP154" s="0" t="e">
        <f aca="false">AK154*AM154</f>
        <v>#VALUE!</v>
      </c>
      <c r="AQ154" s="0" t="e">
        <f aca="false">$AN$9*AO154</f>
        <v>#VALUE!</v>
      </c>
      <c r="AS154" s="0" t="e">
        <f aca="false">-$T$14*(COS(AH154))^2+$AR$9*(SIN(AH154))^2</f>
        <v>#VALUE!</v>
      </c>
      <c r="AT154" s="0" t="e">
        <f aca="false">-($U$14/2)*(2*COS(2*AH154)*SIN(AH154/2)+SIN(2*AH154)*COS(AH154/2)/2)+2*AQ63*AP63*$N$29*SIN(AH154)*COS(AH154)/$J$9</f>
        <v>#VALUE!</v>
      </c>
      <c r="AU154" s="0" t="e">
        <f aca="false">-($U$14/2)*SIN(2*AH154)*SIN(AH154/2)+AQ154*AP154*$N$29*(SIN(AH154)^2)/$J$9</f>
        <v>#VALUE!</v>
      </c>
      <c r="AV154" s="0" t="e">
        <f aca="false">($U$14*($F$9/12-$W$14)/(2*$K$9))*(2*COS(2*AH154)*SIN(AH154/2)/2+SIN(2*AH154)*COS(AH154/2)/2)+2*AP63*AQ63*$N$29*($F$9/12-$S$10)*SIN(AH154)*COS(AH154)/($J$9*$K$9)</f>
        <v>#VALUE!</v>
      </c>
      <c r="AW154" s="0" t="n">
        <f aca="false">AG154</f>
        <v>145</v>
      </c>
      <c r="AX154" s="0" t="e">
        <f aca="false">($U$14*($F$9/12-$W$14)/(2*$K$9)*SIN(2*AH154)*SIN(AH154/2)+AP154*AQ154*$N$29*($F$9/12-$S$10)*(SIN(AH154))^2/($J$9*$K$9))</f>
        <v>#VALUE!</v>
      </c>
      <c r="AY154" s="0" t="e">
        <f aca="false">AS154*COS(AH154)+AU154*SIN(AH154)</f>
        <v>#VALUE!</v>
      </c>
      <c r="AZ154" s="0" t="e">
        <f aca="false">AX154</f>
        <v>#VALUE!</v>
      </c>
      <c r="BA154" s="0" t="n">
        <f aca="false">AW154</f>
        <v>145</v>
      </c>
      <c r="BB154" s="0" t="e">
        <f aca="false">IF(AND(AV154&lt;0,AZ154*AZ155&lt;0),BA154+(BA155-BA154)*AZ154/(AZ155-AZ154),"")</f>
        <v>#VALUE!</v>
      </c>
      <c r="BC154" s="0" t="e">
        <f aca="false">IF(AND(AV154&lt;0,AZ154*AZ155&lt;0),AY154+(AY155-AY154)*AZ154/(AZ155-AZ154),"")</f>
        <v>#VALUE!</v>
      </c>
    </row>
    <row r="155" customFormat="false" ht="12.75" hidden="false" customHeight="false" outlineLevel="0" collapsed="false">
      <c r="AG155" s="0" t="n">
        <f aca="false">AG154+1</f>
        <v>146</v>
      </c>
      <c r="AH155" s="0" t="n">
        <f aca="false">AG155*PI()/180</f>
        <v>2.54818070791172</v>
      </c>
      <c r="AI155" s="0" t="n">
        <f aca="false">$D$9*SIN(AH155)</f>
        <v>1.11838580694149</v>
      </c>
      <c r="AJ155" s="19" t="n">
        <f aca="false">$E$9*$Q$10*SIN(AH155)/$K$9</f>
        <v>989224.460329761</v>
      </c>
      <c r="AK155" s="0" t="e">
        <f aca="false">interpfn($Y$9:$Z$36,AI155,2)</f>
        <v>#VALUE!</v>
      </c>
      <c r="AL155" s="0" t="e">
        <f aca="false">interpfn($AA$9:$AB$27,AJ155,2)</f>
        <v>#VALUE!</v>
      </c>
      <c r="AM155" s="0" t="n">
        <f aca="false">IF(AI155&gt;0.45,1,AL155)</f>
        <v>1</v>
      </c>
      <c r="AO155" s="0" t="e">
        <f aca="false">interpfn($AE$9:$AF$22,AI155,2)</f>
        <v>#VALUE!</v>
      </c>
      <c r="AP155" s="0" t="e">
        <f aca="false">AK155*AM155</f>
        <v>#VALUE!</v>
      </c>
      <c r="AQ155" s="0" t="e">
        <f aca="false">$AN$9*AO155</f>
        <v>#VALUE!</v>
      </c>
      <c r="AS155" s="0" t="e">
        <f aca="false">-$T$14*(COS(AH155))^2+$AR$9*(SIN(AH155))^2</f>
        <v>#VALUE!</v>
      </c>
      <c r="AT155" s="0" t="e">
        <f aca="false">-($U$14/2)*(2*COS(2*AH155)*SIN(AH155/2)+SIN(2*AH155)*COS(AH155/2)/2)+2*AQ64*AP64*$N$29*SIN(AH155)*COS(AH155)/$J$9</f>
        <v>#VALUE!</v>
      </c>
      <c r="AU155" s="0" t="e">
        <f aca="false">-($U$14/2)*SIN(2*AH155)*SIN(AH155/2)+AQ155*AP155*$N$29*(SIN(AH155)^2)/$J$9</f>
        <v>#VALUE!</v>
      </c>
      <c r="AV155" s="0" t="e">
        <f aca="false">($U$14*($F$9/12-$W$14)/(2*$K$9))*(2*COS(2*AH155)*SIN(AH155/2)/2+SIN(2*AH155)*COS(AH155/2)/2)+2*AP64*AQ64*$N$29*($F$9/12-$S$10)*SIN(AH155)*COS(AH155)/($J$9*$K$9)</f>
        <v>#VALUE!</v>
      </c>
      <c r="AW155" s="0" t="n">
        <f aca="false">AG155</f>
        <v>146</v>
      </c>
      <c r="AX155" s="0" t="e">
        <f aca="false">($U$14*($F$9/12-$W$14)/(2*$K$9)*SIN(2*AH155)*SIN(AH155/2)+AP155*AQ155*$N$29*($F$9/12-$S$10)*(SIN(AH155))^2/($J$9*$K$9))</f>
        <v>#VALUE!</v>
      </c>
      <c r="AY155" s="0" t="e">
        <f aca="false">AS155*COS(AH155)+AU155*SIN(AH155)</f>
        <v>#VALUE!</v>
      </c>
      <c r="AZ155" s="0" t="e">
        <f aca="false">AX155</f>
        <v>#VALUE!</v>
      </c>
      <c r="BA155" s="0" t="n">
        <f aca="false">AW155</f>
        <v>146</v>
      </c>
      <c r="BB155" s="0" t="e">
        <f aca="false">IF(AND(AV155&lt;0,AZ155*AZ156&lt;0),BA155+(BA156-BA155)*AZ155/(AZ156-AZ155),"")</f>
        <v>#VALUE!</v>
      </c>
      <c r="BC155" s="0" t="e">
        <f aca="false">IF(AND(AV155&lt;0,AZ155*AZ156&lt;0),AY155+(AY156-AY155)*AZ155/(AZ156-AZ155),"")</f>
        <v>#VALUE!</v>
      </c>
    </row>
    <row r="156" customFormat="false" ht="12.75" hidden="false" customHeight="false" outlineLevel="0" collapsed="false">
      <c r="AG156" s="0" t="n">
        <f aca="false">AG155+1</f>
        <v>147</v>
      </c>
      <c r="AH156" s="0" t="n">
        <f aca="false">AG156*PI()/180</f>
        <v>2.56563400043166</v>
      </c>
      <c r="AI156" s="0" t="n">
        <f aca="false">$D$9*SIN(AH156)</f>
        <v>1.08927807003005</v>
      </c>
      <c r="AJ156" s="19" t="n">
        <f aca="false">$E$9*$Q$10*SIN(AH156)/$K$9</f>
        <v>963478.349140828</v>
      </c>
      <c r="AK156" s="0" t="e">
        <f aca="false">interpfn($Y$9:$Z$36,AI156,2)</f>
        <v>#VALUE!</v>
      </c>
      <c r="AL156" s="0" t="e">
        <f aca="false">interpfn($AA$9:$AB$27,AJ156,2)</f>
        <v>#VALUE!</v>
      </c>
      <c r="AM156" s="0" t="n">
        <f aca="false">IF(AI156&gt;0.45,1,AL156)</f>
        <v>1</v>
      </c>
      <c r="AO156" s="0" t="e">
        <f aca="false">interpfn($AE$9:$AF$22,AI156,2)</f>
        <v>#VALUE!</v>
      </c>
      <c r="AP156" s="0" t="e">
        <f aca="false">AK156*AM156</f>
        <v>#VALUE!</v>
      </c>
      <c r="AQ156" s="0" t="e">
        <f aca="false">$AN$9*AO156</f>
        <v>#VALUE!</v>
      </c>
      <c r="AS156" s="0" t="e">
        <f aca="false">-$T$14*(COS(AH156))^2+$AR$9*(SIN(AH156))^2</f>
        <v>#VALUE!</v>
      </c>
      <c r="AT156" s="0" t="e">
        <f aca="false">-($U$14/2)*(2*COS(2*AH156)*SIN(AH156/2)+SIN(2*AH156)*COS(AH156/2)/2)+2*AQ65*AP65*$N$29*SIN(AH156)*COS(AH156)/$J$9</f>
        <v>#VALUE!</v>
      </c>
      <c r="AU156" s="0" t="e">
        <f aca="false">-($U$14/2)*SIN(2*AH156)*SIN(AH156/2)+AQ156*AP156*$N$29*(SIN(AH156)^2)/$J$9</f>
        <v>#VALUE!</v>
      </c>
      <c r="AV156" s="0" t="e">
        <f aca="false">($U$14*($F$9/12-$W$14)/(2*$K$9))*(2*COS(2*AH156)*SIN(AH156/2)/2+SIN(2*AH156)*COS(AH156/2)/2)+2*AP65*AQ65*$N$29*($F$9/12-$S$10)*SIN(AH156)*COS(AH156)/($J$9*$K$9)</f>
        <v>#VALUE!</v>
      </c>
      <c r="AW156" s="0" t="n">
        <f aca="false">AG156</f>
        <v>147</v>
      </c>
      <c r="AX156" s="0" t="e">
        <f aca="false">($U$14*($F$9/12-$W$14)/(2*$K$9)*SIN(2*AH156)*SIN(AH156/2)+AP156*AQ156*$N$29*($F$9/12-$S$10)*(SIN(AH156))^2/($J$9*$K$9))</f>
        <v>#VALUE!</v>
      </c>
      <c r="AY156" s="0" t="e">
        <f aca="false">AS156*COS(AH156)+AU156*SIN(AH156)</f>
        <v>#VALUE!</v>
      </c>
      <c r="AZ156" s="0" t="e">
        <f aca="false">AX156</f>
        <v>#VALUE!</v>
      </c>
      <c r="BA156" s="0" t="n">
        <f aca="false">AW156</f>
        <v>147</v>
      </c>
      <c r="BB156" s="0" t="e">
        <f aca="false">IF(AND(AV156&lt;0,AZ156*AZ157&lt;0),BA156+(BA157-BA156)*AZ156/(AZ157-AZ156),"")</f>
        <v>#VALUE!</v>
      </c>
      <c r="BC156" s="0" t="e">
        <f aca="false">IF(AND(AV156&lt;0,AZ156*AZ157&lt;0),AY156+(AY157-AY156)*AZ156/(AZ157-AZ156),"")</f>
        <v>#VALUE!</v>
      </c>
    </row>
    <row r="157" customFormat="false" ht="12.75" hidden="false" customHeight="false" outlineLevel="0" collapsed="false">
      <c r="AG157" s="0" t="n">
        <f aca="false">AG156+1</f>
        <v>148</v>
      </c>
      <c r="AH157" s="0" t="n">
        <f aca="false">AG157*PI()/180</f>
        <v>2.58308729295161</v>
      </c>
      <c r="AI157" s="0" t="n">
        <f aca="false">$D$9*SIN(AH157)</f>
        <v>1.05983852846641</v>
      </c>
      <c r="AJ157" s="19" t="n">
        <f aca="false">$E$9*$Q$10*SIN(AH157)/$K$9</f>
        <v>937438.753113323</v>
      </c>
      <c r="AK157" s="0" t="e">
        <f aca="false">interpfn($Y$9:$Z$36,AI157,2)</f>
        <v>#VALUE!</v>
      </c>
      <c r="AL157" s="0" t="e">
        <f aca="false">interpfn($AA$9:$AB$27,AJ157,2)</f>
        <v>#VALUE!</v>
      </c>
      <c r="AM157" s="0" t="n">
        <f aca="false">IF(AI157&gt;0.45,1,AL157)</f>
        <v>1</v>
      </c>
      <c r="AO157" s="0" t="e">
        <f aca="false">interpfn($AE$9:$AF$22,AI157,2)</f>
        <v>#VALUE!</v>
      </c>
      <c r="AP157" s="0" t="e">
        <f aca="false">AK157*AM157</f>
        <v>#VALUE!</v>
      </c>
      <c r="AQ157" s="0" t="e">
        <f aca="false">$AN$9*AO157</f>
        <v>#VALUE!</v>
      </c>
      <c r="AS157" s="0" t="e">
        <f aca="false">-$T$14*(COS(AH157))^2+$AR$9*(SIN(AH157))^2</f>
        <v>#VALUE!</v>
      </c>
      <c r="AT157" s="0" t="e">
        <f aca="false">-($U$14/2)*(2*COS(2*AH157)*SIN(AH157/2)+SIN(2*AH157)*COS(AH157/2)/2)+2*AQ66*AP66*$N$29*SIN(AH157)*COS(AH157)/$J$9</f>
        <v>#VALUE!</v>
      </c>
      <c r="AU157" s="0" t="e">
        <f aca="false">-($U$14/2)*SIN(2*AH157)*SIN(AH157/2)+AQ157*AP157*$N$29*(SIN(AH157)^2)/$J$9</f>
        <v>#VALUE!</v>
      </c>
      <c r="AV157" s="0" t="e">
        <f aca="false">($U$14*($F$9/12-$W$14)/(2*$K$9))*(2*COS(2*AH157)*SIN(AH157/2)/2+SIN(2*AH157)*COS(AH157/2)/2)+2*AP66*AQ66*$N$29*($F$9/12-$S$10)*SIN(AH157)*COS(AH157)/($J$9*$K$9)</f>
        <v>#VALUE!</v>
      </c>
      <c r="AW157" s="0" t="n">
        <f aca="false">AG157</f>
        <v>148</v>
      </c>
      <c r="AX157" s="0" t="e">
        <f aca="false">($U$14*($F$9/12-$W$14)/(2*$K$9)*SIN(2*AH157)*SIN(AH157/2)+AP157*AQ157*$N$29*($F$9/12-$S$10)*(SIN(AH157))^2/($J$9*$K$9))</f>
        <v>#VALUE!</v>
      </c>
      <c r="AY157" s="0" t="e">
        <f aca="false">AS157*COS(AH157)+AU157*SIN(AH157)</f>
        <v>#VALUE!</v>
      </c>
      <c r="AZ157" s="0" t="e">
        <f aca="false">AX157</f>
        <v>#VALUE!</v>
      </c>
      <c r="BA157" s="0" t="n">
        <f aca="false">AW157</f>
        <v>148</v>
      </c>
      <c r="BB157" s="0" t="e">
        <f aca="false">IF(AND(AV157&lt;0,AZ157*AZ158&lt;0),BA157+(BA158-BA157)*AZ157/(AZ158-AZ157),"")</f>
        <v>#VALUE!</v>
      </c>
      <c r="BC157" s="0" t="e">
        <f aca="false">IF(AND(AV157&lt;0,AZ157*AZ158&lt;0),AY157+(AY158-AY157)*AZ157/(AZ158-AZ157),"")</f>
        <v>#VALUE!</v>
      </c>
    </row>
    <row r="158" customFormat="false" ht="12.75" hidden="false" customHeight="false" outlineLevel="0" collapsed="false">
      <c r="AG158" s="0" t="n">
        <f aca="false">AG157+1</f>
        <v>149</v>
      </c>
      <c r="AH158" s="0" t="n">
        <f aca="false">AG158*PI()/180</f>
        <v>2.60054058547155</v>
      </c>
      <c r="AI158" s="0" t="n">
        <f aca="false">$D$9*SIN(AH158)</f>
        <v>1.03007614982011</v>
      </c>
      <c r="AJ158" s="19" t="n">
        <f aca="false">$E$9*$Q$10*SIN(AH158)/$K$9</f>
        <v>911113.604160447</v>
      </c>
      <c r="AK158" s="0" t="e">
        <f aca="false">interpfn($Y$9:$Z$36,AI158,2)</f>
        <v>#VALUE!</v>
      </c>
      <c r="AL158" s="0" t="e">
        <f aca="false">interpfn($AA$9:$AB$27,AJ158,2)</f>
        <v>#VALUE!</v>
      </c>
      <c r="AM158" s="0" t="n">
        <f aca="false">IF(AI158&gt;0.45,1,AL158)</f>
        <v>1</v>
      </c>
      <c r="AO158" s="0" t="e">
        <f aca="false">interpfn($AE$9:$AF$22,AI158,2)</f>
        <v>#VALUE!</v>
      </c>
      <c r="AP158" s="0" t="e">
        <f aca="false">AK158*AM158</f>
        <v>#VALUE!</v>
      </c>
      <c r="AQ158" s="0" t="e">
        <f aca="false">$AN$9*AO158</f>
        <v>#VALUE!</v>
      </c>
      <c r="AS158" s="0" t="e">
        <f aca="false">-$T$14*(COS(AH158))^2+$AR$9*(SIN(AH158))^2</f>
        <v>#VALUE!</v>
      </c>
      <c r="AT158" s="0" t="e">
        <f aca="false">-($U$14/2)*(2*COS(2*AH158)*SIN(AH158/2)+SIN(2*AH158)*COS(AH158/2)/2)+2*AQ67*AP67*$N$29*SIN(AH158)*COS(AH158)/$J$9</f>
        <v>#VALUE!</v>
      </c>
      <c r="AU158" s="0" t="e">
        <f aca="false">-($U$14/2)*SIN(2*AH158)*SIN(AH158/2)+AQ158*AP158*$N$29*(SIN(AH158)^2)/$J$9</f>
        <v>#VALUE!</v>
      </c>
      <c r="AV158" s="0" t="e">
        <f aca="false">($U$14*($F$9/12-$W$14)/(2*$K$9))*(2*COS(2*AH158)*SIN(AH158/2)/2+SIN(2*AH158)*COS(AH158/2)/2)+2*AP67*AQ67*$N$29*($F$9/12-$S$10)*SIN(AH158)*COS(AH158)/($J$9*$K$9)</f>
        <v>#VALUE!</v>
      </c>
      <c r="AW158" s="0" t="n">
        <f aca="false">AG158</f>
        <v>149</v>
      </c>
      <c r="AX158" s="0" t="e">
        <f aca="false">($U$14*($F$9/12-$W$14)/(2*$K$9)*SIN(2*AH158)*SIN(AH158/2)+AP158*AQ158*$N$29*($F$9/12-$S$10)*(SIN(AH158))^2/($J$9*$K$9))</f>
        <v>#VALUE!</v>
      </c>
      <c r="AY158" s="0" t="e">
        <f aca="false">AS158*COS(AH158)+AU158*SIN(AH158)</f>
        <v>#VALUE!</v>
      </c>
      <c r="AZ158" s="0" t="e">
        <f aca="false">AX158</f>
        <v>#VALUE!</v>
      </c>
      <c r="BA158" s="0" t="n">
        <f aca="false">AW158</f>
        <v>149</v>
      </c>
      <c r="BB158" s="0" t="e">
        <f aca="false">IF(AND(AV158&lt;0,AZ158*AZ159&lt;0),BA158+(BA159-BA158)*AZ158/(AZ159-AZ158),"")</f>
        <v>#VALUE!</v>
      </c>
      <c r="BC158" s="0" t="e">
        <f aca="false">IF(AND(AV158&lt;0,AZ158*AZ159&lt;0),AY158+(AY159-AY158)*AZ158/(AZ159-AZ158),"")</f>
        <v>#VALUE!</v>
      </c>
    </row>
    <row r="159" customFormat="false" ht="12.75" hidden="false" customHeight="false" outlineLevel="0" collapsed="false">
      <c r="AG159" s="0" t="n">
        <f aca="false">AG158+1</f>
        <v>150</v>
      </c>
      <c r="AH159" s="0" t="n">
        <f aca="false">AG159*PI()/180</f>
        <v>2.61799387799149</v>
      </c>
      <c r="AI159" s="0" t="n">
        <f aca="false">$D$9*SIN(AH159)</f>
        <v>1</v>
      </c>
      <c r="AJ159" s="19" t="n">
        <f aca="false">$E$9*$Q$10*SIN(AH159)/$K$9</f>
        <v>884510.921177588</v>
      </c>
      <c r="AK159" s="0" t="e">
        <f aca="false">interpfn($Y$9:$Z$36,AI159,2)</f>
        <v>#VALUE!</v>
      </c>
      <c r="AL159" s="0" t="e">
        <f aca="false">interpfn($AA$9:$AB$27,AJ159,2)</f>
        <v>#VALUE!</v>
      </c>
      <c r="AM159" s="0" t="n">
        <f aca="false">IF(AI159&gt;0.45,1,AL159)</f>
        <v>1</v>
      </c>
      <c r="AO159" s="0" t="e">
        <f aca="false">interpfn($AE$9:$AF$22,AI159,2)</f>
        <v>#VALUE!</v>
      </c>
      <c r="AP159" s="0" t="e">
        <f aca="false">AK159*AM159</f>
        <v>#VALUE!</v>
      </c>
      <c r="AQ159" s="0" t="e">
        <f aca="false">$AN$9*AO159</f>
        <v>#VALUE!</v>
      </c>
      <c r="AS159" s="0" t="e">
        <f aca="false">-$T$14*(COS(AH159))^2+$AR$9*(SIN(AH159))^2</f>
        <v>#VALUE!</v>
      </c>
      <c r="AT159" s="0" t="e">
        <f aca="false">-($U$14/2)*(2*COS(2*AH159)*SIN(AH159/2)+SIN(2*AH159)*COS(AH159/2)/2)+2*AQ68*AP68*$N$29*SIN(AH159)*COS(AH159)/$J$9</f>
        <v>#VALUE!</v>
      </c>
      <c r="AU159" s="0" t="e">
        <f aca="false">-($U$14/2)*SIN(2*AH159)*SIN(AH159/2)+AQ159*AP159*$N$29*(SIN(AH159)^2)/$J$9</f>
        <v>#VALUE!</v>
      </c>
      <c r="AV159" s="0" t="e">
        <f aca="false">($U$14*($F$9/12-$W$14)/(2*$K$9))*(2*COS(2*AH159)*SIN(AH159/2)/2+SIN(2*AH159)*COS(AH159/2)/2)+2*AP68*AQ68*$N$29*($F$9/12-$S$10)*SIN(AH159)*COS(AH159)/($J$9*$K$9)</f>
        <v>#VALUE!</v>
      </c>
      <c r="AW159" s="0" t="n">
        <f aca="false">AG159</f>
        <v>150</v>
      </c>
      <c r="AX159" s="0" t="e">
        <f aca="false">($U$14*($F$9/12-$W$14)/(2*$K$9)*SIN(2*AH159)*SIN(AH159/2)+AP159*AQ159*$N$29*($F$9/12-$S$10)*(SIN(AH159))^2/($J$9*$K$9))</f>
        <v>#VALUE!</v>
      </c>
      <c r="AY159" s="0" t="e">
        <f aca="false">AS159*COS(AH159)+AU159*SIN(AH159)</f>
        <v>#VALUE!</v>
      </c>
      <c r="AZ159" s="0" t="e">
        <f aca="false">AX159</f>
        <v>#VALUE!</v>
      </c>
      <c r="BA159" s="0" t="n">
        <f aca="false">AW159</f>
        <v>150</v>
      </c>
      <c r="BB159" s="0" t="e">
        <f aca="false">IF(AND(AV159&lt;0,AZ159*AZ160&lt;0),BA159+(BA160-BA159)*AZ159/(AZ160-AZ159),"")</f>
        <v>#VALUE!</v>
      </c>
      <c r="BC159" s="0" t="e">
        <f aca="false">IF(AND(AV159&lt;0,AZ159*AZ160&lt;0),AY159+(AY160-AY159)*AZ159/(AZ160-AZ159),"")</f>
        <v>#VALUE!</v>
      </c>
    </row>
    <row r="160" customFormat="false" ht="12.75" hidden="false" customHeight="false" outlineLevel="0" collapsed="false">
      <c r="AG160" s="0" t="n">
        <f aca="false">AG159+1</f>
        <v>151</v>
      </c>
      <c r="AH160" s="0" t="n">
        <f aca="false">AG160*PI()/180</f>
        <v>2.63544717051144</v>
      </c>
      <c r="AI160" s="0" t="n">
        <f aca="false">$D$9*SIN(AH160)</f>
        <v>0.969619240492674</v>
      </c>
      <c r="AJ160" s="19" t="n">
        <f aca="false">$E$9*$Q$10*SIN(AH160)/$K$9</f>
        <v>857638.807599688</v>
      </c>
      <c r="AK160" s="0" t="e">
        <f aca="false">interpfn($Y$9:$Z$36,AI160,2)</f>
        <v>#VALUE!</v>
      </c>
      <c r="AL160" s="0" t="e">
        <f aca="false">interpfn($AA$9:$AB$27,AJ160,2)</f>
        <v>#VALUE!</v>
      </c>
      <c r="AM160" s="0" t="n">
        <f aca="false">IF(AI160&gt;0.45,1,AL160)</f>
        <v>1</v>
      </c>
      <c r="AO160" s="0" t="e">
        <f aca="false">interpfn($AE$9:$AF$22,AI160,2)</f>
        <v>#VALUE!</v>
      </c>
      <c r="AP160" s="0" t="e">
        <f aca="false">AK160*AM160</f>
        <v>#VALUE!</v>
      </c>
      <c r="AQ160" s="0" t="e">
        <f aca="false">$AN$9*AO160</f>
        <v>#VALUE!</v>
      </c>
      <c r="AS160" s="0" t="e">
        <f aca="false">-$T$14*(COS(AH160))^2+$AR$9*(SIN(AH160))^2</f>
        <v>#VALUE!</v>
      </c>
      <c r="AT160" s="0" t="e">
        <f aca="false">-($U$14/2)*(2*COS(2*AH160)*SIN(AH160/2)+SIN(2*AH160)*COS(AH160/2)/2)+2*AQ69*AP69*$N$29*SIN(AH160)*COS(AH160)/$J$9</f>
        <v>#VALUE!</v>
      </c>
      <c r="AU160" s="0" t="e">
        <f aca="false">-($U$14/2)*SIN(2*AH160)*SIN(AH160/2)+AQ160*AP160*$N$29*(SIN(AH160)^2)/$J$9</f>
        <v>#VALUE!</v>
      </c>
      <c r="AV160" s="0" t="e">
        <f aca="false">($U$14*($F$9/12-$W$14)/(2*$K$9))*(2*COS(2*AH160)*SIN(AH160/2)/2+SIN(2*AH160)*COS(AH160/2)/2)+2*AP69*AQ69*$N$29*($F$9/12-$S$10)*SIN(AH160)*COS(AH160)/($J$9*$K$9)</f>
        <v>#VALUE!</v>
      </c>
      <c r="AW160" s="0" t="n">
        <f aca="false">AG160</f>
        <v>151</v>
      </c>
      <c r="AX160" s="0" t="e">
        <f aca="false">($U$14*($F$9/12-$W$14)/(2*$K$9)*SIN(2*AH160)*SIN(AH160/2)+AP160*AQ160*$N$29*($F$9/12-$S$10)*(SIN(AH160))^2/($J$9*$K$9))</f>
        <v>#VALUE!</v>
      </c>
      <c r="AY160" s="0" t="e">
        <f aca="false">AS160*COS(AH160)+AU160*SIN(AH160)</f>
        <v>#VALUE!</v>
      </c>
      <c r="AZ160" s="0" t="e">
        <f aca="false">AX160</f>
        <v>#VALUE!</v>
      </c>
      <c r="BA160" s="0" t="n">
        <f aca="false">AW160</f>
        <v>151</v>
      </c>
      <c r="BB160" s="0" t="e">
        <f aca="false">IF(AND(AV160&lt;0,AZ160*AZ161&lt;0),BA160+(BA161-BA160)*AZ160/(AZ161-AZ160),"")</f>
        <v>#VALUE!</v>
      </c>
      <c r="BC160" s="0" t="e">
        <f aca="false">IF(AND(AV160&lt;0,AZ160*AZ161&lt;0),AY160+(AY161-AY160)*AZ160/(AZ161-AZ160),"")</f>
        <v>#VALUE!</v>
      </c>
    </row>
    <row r="161" customFormat="false" ht="12.75" hidden="false" customHeight="false" outlineLevel="0" collapsed="false">
      <c r="AG161" s="0" t="n">
        <f aca="false">AG160+1</f>
        <v>152</v>
      </c>
      <c r="AH161" s="0" t="n">
        <f aca="false">AG161*PI()/180</f>
        <v>2.65290046303138</v>
      </c>
      <c r="AI161" s="0" t="n">
        <f aca="false">$D$9*SIN(AH161)</f>
        <v>0.938943125571782</v>
      </c>
      <c r="AJ161" s="19" t="n">
        <f aca="false">$E$9*$Q$10*SIN(AH161)/$K$9</f>
        <v>830505.448932861</v>
      </c>
      <c r="AK161" s="0" t="e">
        <f aca="false">interpfn($Y$9:$Z$36,AI161,2)</f>
        <v>#VALUE!</v>
      </c>
      <c r="AL161" s="0" t="e">
        <f aca="false">interpfn($AA$9:$AB$27,AJ161,2)</f>
        <v>#VALUE!</v>
      </c>
      <c r="AM161" s="0" t="n">
        <f aca="false">IF(AI161&gt;0.45,1,AL161)</f>
        <v>1</v>
      </c>
      <c r="AO161" s="0" t="e">
        <f aca="false">interpfn($AE$9:$AF$22,AI161,2)</f>
        <v>#VALUE!</v>
      </c>
      <c r="AP161" s="0" t="e">
        <f aca="false">AK161*AM161</f>
        <v>#VALUE!</v>
      </c>
      <c r="AQ161" s="0" t="e">
        <f aca="false">$AN$9*AO161</f>
        <v>#VALUE!</v>
      </c>
      <c r="AS161" s="0" t="e">
        <f aca="false">-$T$14*(COS(AH161))^2+$AR$9*(SIN(AH161))^2</f>
        <v>#VALUE!</v>
      </c>
      <c r="AT161" s="0" t="e">
        <f aca="false">-($U$14/2)*(2*COS(2*AH161)*SIN(AH161/2)+SIN(2*AH161)*COS(AH161/2)/2)+2*AQ70*AP70*$N$29*SIN(AH161)*COS(AH161)/$J$9</f>
        <v>#VALUE!</v>
      </c>
      <c r="AU161" s="0" t="e">
        <f aca="false">-($U$14/2)*SIN(2*AH161)*SIN(AH161/2)+AQ161*AP161*$N$29*(SIN(AH161)^2)/$J$9</f>
        <v>#VALUE!</v>
      </c>
      <c r="AV161" s="0" t="e">
        <f aca="false">($U$14*($F$9/12-$W$14)/(2*$K$9))*(2*COS(2*AH161)*SIN(AH161/2)/2+SIN(2*AH161)*COS(AH161/2)/2)+2*AP70*AQ70*$N$29*($F$9/12-$S$10)*SIN(AH161)*COS(AH161)/($J$9*$K$9)</f>
        <v>#VALUE!</v>
      </c>
      <c r="AW161" s="0" t="n">
        <f aca="false">AG161</f>
        <v>152</v>
      </c>
      <c r="AX161" s="0" t="e">
        <f aca="false">($U$14*($F$9/12-$W$14)/(2*$K$9)*SIN(2*AH161)*SIN(AH161/2)+AP161*AQ161*$N$29*($F$9/12-$S$10)*(SIN(AH161))^2/($J$9*$K$9))</f>
        <v>#VALUE!</v>
      </c>
      <c r="AY161" s="0" t="e">
        <f aca="false">AS161*COS(AH161)+AU161*SIN(AH161)</f>
        <v>#VALUE!</v>
      </c>
      <c r="AZ161" s="0" t="e">
        <f aca="false">AX161</f>
        <v>#VALUE!</v>
      </c>
      <c r="BA161" s="0" t="n">
        <f aca="false">AW161</f>
        <v>152</v>
      </c>
      <c r="BB161" s="0" t="e">
        <f aca="false">IF(AND(AV161&lt;0,AZ161*AZ162&lt;0),BA161+(BA162-BA161)*AZ161/(AZ162-AZ161),"")</f>
        <v>#VALUE!</v>
      </c>
      <c r="BC161" s="0" t="e">
        <f aca="false">IF(AND(AV161&lt;0,AZ161*AZ162&lt;0),AY161+(AY162-AY161)*AZ161/(AZ162-AZ161),"")</f>
        <v>#VALUE!</v>
      </c>
    </row>
    <row r="162" customFormat="false" ht="12.75" hidden="false" customHeight="false" outlineLevel="0" collapsed="false">
      <c r="AG162" s="0" t="n">
        <f aca="false">AG161+1</f>
        <v>153</v>
      </c>
      <c r="AH162" s="0" t="n">
        <f aca="false">AG162*PI()/180</f>
        <v>2.67035375555132</v>
      </c>
      <c r="AI162" s="0" t="n">
        <f aca="false">$D$9*SIN(AH162)</f>
        <v>0.907980999479094</v>
      </c>
      <c r="AJ162" s="19" t="n">
        <f aca="false">$E$9*$Q$10*SIN(AH162)/$K$9</f>
        <v>803119.110261</v>
      </c>
      <c r="AK162" s="0" t="e">
        <f aca="false">interpfn($Y$9:$Z$36,AI162,2)</f>
        <v>#VALUE!</v>
      </c>
      <c r="AL162" s="0" t="e">
        <f aca="false">interpfn($AA$9:$AB$27,AJ162,2)</f>
        <v>#VALUE!</v>
      </c>
      <c r="AM162" s="0" t="n">
        <f aca="false">IF(AI162&gt;0.45,1,AL162)</f>
        <v>1</v>
      </c>
      <c r="AO162" s="0" t="e">
        <f aca="false">interpfn($AE$9:$AF$22,AI162,2)</f>
        <v>#VALUE!</v>
      </c>
      <c r="AP162" s="0" t="e">
        <f aca="false">AK162*AM162</f>
        <v>#VALUE!</v>
      </c>
      <c r="AQ162" s="0" t="e">
        <f aca="false">$AN$9*AO162</f>
        <v>#VALUE!</v>
      </c>
      <c r="AS162" s="0" t="e">
        <f aca="false">-$T$14*(COS(AH162))^2+$AR$9*(SIN(AH162))^2</f>
        <v>#VALUE!</v>
      </c>
      <c r="AT162" s="0" t="e">
        <f aca="false">-($U$14/2)*(2*COS(2*AH162)*SIN(AH162/2)+SIN(2*AH162)*COS(AH162/2)/2)+2*AQ71*AP71*$N$29*SIN(AH162)*COS(AH162)/$J$9</f>
        <v>#VALUE!</v>
      </c>
      <c r="AU162" s="0" t="e">
        <f aca="false">-($U$14/2)*SIN(2*AH162)*SIN(AH162/2)+AQ162*AP162*$N$29*(SIN(AH162)^2)/$J$9</f>
        <v>#VALUE!</v>
      </c>
      <c r="AV162" s="0" t="e">
        <f aca="false">($U$14*($F$9/12-$W$14)/(2*$K$9))*(2*COS(2*AH162)*SIN(AH162/2)/2+SIN(2*AH162)*COS(AH162/2)/2)+2*AP71*AQ71*$N$29*($F$9/12-$S$10)*SIN(AH162)*COS(AH162)/($J$9*$K$9)</f>
        <v>#VALUE!</v>
      </c>
      <c r="AW162" s="0" t="n">
        <f aca="false">AG162</f>
        <v>153</v>
      </c>
      <c r="AX162" s="0" t="e">
        <f aca="false">($U$14*($F$9/12-$W$14)/(2*$K$9)*SIN(2*AH162)*SIN(AH162/2)+AP162*AQ162*$N$29*($F$9/12-$S$10)*(SIN(AH162))^2/($J$9*$K$9))</f>
        <v>#VALUE!</v>
      </c>
      <c r="AY162" s="0" t="e">
        <f aca="false">AS162*COS(AH162)+AU162*SIN(AH162)</f>
        <v>#VALUE!</v>
      </c>
      <c r="AZ162" s="0" t="e">
        <f aca="false">AX162</f>
        <v>#VALUE!</v>
      </c>
      <c r="BA162" s="0" t="n">
        <f aca="false">AW162</f>
        <v>153</v>
      </c>
      <c r="BB162" s="0" t="e">
        <f aca="false">IF(AND(AV162&lt;0,AZ162*AZ163&lt;0),BA162+(BA163-BA162)*AZ162/(AZ163-AZ162),"")</f>
        <v>#VALUE!</v>
      </c>
      <c r="BC162" s="0" t="e">
        <f aca="false">IF(AND(AV162&lt;0,AZ162*AZ163&lt;0),AY162+(AY163-AY162)*AZ162/(AZ163-AZ162),"")</f>
        <v>#VALUE!</v>
      </c>
    </row>
    <row r="163" customFormat="false" ht="12.75" hidden="false" customHeight="false" outlineLevel="0" collapsed="false">
      <c r="AG163" s="0" t="n">
        <f aca="false">AG162+1</f>
        <v>154</v>
      </c>
      <c r="AH163" s="0" t="n">
        <f aca="false">AG163*PI()/180</f>
        <v>2.68780704807127</v>
      </c>
      <c r="AI163" s="0" t="n">
        <f aca="false">$D$9*SIN(AH163)</f>
        <v>0.876742293578155</v>
      </c>
      <c r="AJ163" s="19" t="n">
        <f aca="false">$E$9*$Q$10*SIN(AH163)/$K$9</f>
        <v>775488.133728165</v>
      </c>
      <c r="AK163" s="0" t="e">
        <f aca="false">interpfn($Y$9:$Z$36,AI163,2)</f>
        <v>#VALUE!</v>
      </c>
      <c r="AL163" s="0" t="e">
        <f aca="false">interpfn($AA$9:$AB$27,AJ163,2)</f>
        <v>#VALUE!</v>
      </c>
      <c r="AM163" s="0" t="n">
        <f aca="false">IF(AI163&gt;0.45,1,AL163)</f>
        <v>1</v>
      </c>
      <c r="AO163" s="0" t="e">
        <f aca="false">interpfn($AE$9:$AF$22,AI163,2)</f>
        <v>#VALUE!</v>
      </c>
      <c r="AP163" s="0" t="e">
        <f aca="false">AK163*AM163</f>
        <v>#VALUE!</v>
      </c>
      <c r="AQ163" s="0" t="e">
        <f aca="false">$AN$9*AO163</f>
        <v>#VALUE!</v>
      </c>
      <c r="AS163" s="0" t="e">
        <f aca="false">-$T$14*(COS(AH163))^2+$AR$9*(SIN(AH163))^2</f>
        <v>#VALUE!</v>
      </c>
      <c r="AT163" s="0" t="e">
        <f aca="false">-($U$14/2)*(2*COS(2*AH163)*SIN(AH163/2)+SIN(2*AH163)*COS(AH163/2)/2)+2*AQ72*AP72*$N$29*SIN(AH163)*COS(AH163)/$J$9</f>
        <v>#VALUE!</v>
      </c>
      <c r="AU163" s="0" t="e">
        <f aca="false">-($U$14/2)*SIN(2*AH163)*SIN(AH163/2)+AQ163*AP163*$N$29*(SIN(AH163)^2)/$J$9</f>
        <v>#VALUE!</v>
      </c>
      <c r="AV163" s="0" t="e">
        <f aca="false">($U$14*($F$9/12-$W$14)/(2*$K$9))*(2*COS(2*AH163)*SIN(AH163/2)/2+SIN(2*AH163)*COS(AH163/2)/2)+2*AP72*AQ72*$N$29*($F$9/12-$S$10)*SIN(AH163)*COS(AH163)/($J$9*$K$9)</f>
        <v>#VALUE!</v>
      </c>
      <c r="AW163" s="0" t="n">
        <f aca="false">AG163</f>
        <v>154</v>
      </c>
      <c r="AX163" s="0" t="e">
        <f aca="false">($U$14*($F$9/12-$W$14)/(2*$K$9)*SIN(2*AH163)*SIN(AH163/2)+AP163*AQ163*$N$29*($F$9/12-$S$10)*(SIN(AH163))^2/($J$9*$K$9))</f>
        <v>#VALUE!</v>
      </c>
      <c r="AY163" s="0" t="e">
        <f aca="false">AS163*COS(AH163)+AU163*SIN(AH163)</f>
        <v>#VALUE!</v>
      </c>
      <c r="AZ163" s="0" t="e">
        <f aca="false">AX163</f>
        <v>#VALUE!</v>
      </c>
      <c r="BA163" s="0" t="n">
        <f aca="false">AW163</f>
        <v>154</v>
      </c>
      <c r="BB163" s="0" t="e">
        <f aca="false">IF(AND(AV163&lt;0,AZ163*AZ164&lt;0),BA163+(BA164-BA163)*AZ163/(AZ164-AZ163),"")</f>
        <v>#VALUE!</v>
      </c>
      <c r="BC163" s="0" t="e">
        <f aca="false">IF(AND(AV163&lt;0,AZ163*AZ164&lt;0),AY163+(AY164-AY163)*AZ163/(AZ164-AZ163),"")</f>
        <v>#VALUE!</v>
      </c>
    </row>
    <row r="164" customFormat="false" ht="12.75" hidden="false" customHeight="false" outlineLevel="0" collapsed="false">
      <c r="AG164" s="0" t="n">
        <f aca="false">AG163+1</f>
        <v>155</v>
      </c>
      <c r="AH164" s="0" t="n">
        <f aca="false">AG164*PI()/180</f>
        <v>2.70526034059121</v>
      </c>
      <c r="AI164" s="0" t="n">
        <f aca="false">$D$9*SIN(AH164)</f>
        <v>0.845236523481399</v>
      </c>
      <c r="AJ164" s="19" t="n">
        <f aca="false">$E$9*$Q$10*SIN(AH164)/$K$9</f>
        <v>747620.935997474</v>
      </c>
      <c r="AK164" s="0" t="e">
        <f aca="false">interpfn($Y$9:$Z$36,AI164,2)</f>
        <v>#VALUE!</v>
      </c>
      <c r="AL164" s="0" t="e">
        <f aca="false">interpfn($AA$9:$AB$27,AJ164,2)</f>
        <v>#VALUE!</v>
      </c>
      <c r="AM164" s="0" t="n">
        <f aca="false">IF(AI164&gt;0.45,1,AL164)</f>
        <v>1</v>
      </c>
      <c r="AO164" s="0" t="e">
        <f aca="false">interpfn($AE$9:$AF$22,AI164,2)</f>
        <v>#VALUE!</v>
      </c>
      <c r="AP164" s="0" t="e">
        <f aca="false">AK164*AM164</f>
        <v>#VALUE!</v>
      </c>
      <c r="AQ164" s="0" t="e">
        <f aca="false">$AN$9*AO164</f>
        <v>#VALUE!</v>
      </c>
      <c r="AS164" s="0" t="e">
        <f aca="false">-$T$14*(COS(AH164))^2+$AR$9*(SIN(AH164))^2</f>
        <v>#VALUE!</v>
      </c>
      <c r="AT164" s="0" t="e">
        <f aca="false">-($U$14/2)*(2*COS(2*AH164)*SIN(AH164/2)+SIN(2*AH164)*COS(AH164/2)/2)+2*AQ73*AP73*$N$29*SIN(AH164)*COS(AH164)/$J$9</f>
        <v>#VALUE!</v>
      </c>
      <c r="AU164" s="0" t="e">
        <f aca="false">-($U$14/2)*SIN(2*AH164)*SIN(AH164/2)+AQ164*AP164*$N$29*(SIN(AH164)^2)/$J$9</f>
        <v>#VALUE!</v>
      </c>
      <c r="AV164" s="0" t="e">
        <f aca="false">($U$14*($F$9/12-$W$14)/(2*$K$9))*(2*COS(2*AH164)*SIN(AH164/2)/2+SIN(2*AH164)*COS(AH164/2)/2)+2*AP73*AQ73*$N$29*($F$9/12-$S$10)*SIN(AH164)*COS(AH164)/($J$9*$K$9)</f>
        <v>#VALUE!</v>
      </c>
      <c r="AW164" s="0" t="n">
        <f aca="false">AG164</f>
        <v>155</v>
      </c>
      <c r="AX164" s="0" t="e">
        <f aca="false">($U$14*($F$9/12-$W$14)/(2*$K$9)*SIN(2*AH164)*SIN(AH164/2)+AP164*AQ164*$N$29*($F$9/12-$S$10)*(SIN(AH164))^2/($J$9*$K$9))</f>
        <v>#VALUE!</v>
      </c>
      <c r="AY164" s="0" t="e">
        <f aca="false">AS164*COS(AH164)+AU164*SIN(AH164)</f>
        <v>#VALUE!</v>
      </c>
      <c r="AZ164" s="0" t="e">
        <f aca="false">AX164</f>
        <v>#VALUE!</v>
      </c>
      <c r="BA164" s="0" t="n">
        <f aca="false">AW164</f>
        <v>155</v>
      </c>
      <c r="BB164" s="0" t="e">
        <f aca="false">IF(AND(AV164&lt;0,AZ164*AZ165&lt;0),BA164+(BA165-BA164)*AZ164/(AZ165-AZ164),"")</f>
        <v>#VALUE!</v>
      </c>
      <c r="BC164" s="0" t="e">
        <f aca="false">IF(AND(AV164&lt;0,AZ164*AZ165&lt;0),AY164+(AY165-AY164)*AZ164/(AZ165-AZ164),"")</f>
        <v>#VALUE!</v>
      </c>
    </row>
    <row r="165" customFormat="false" ht="12.75" hidden="false" customHeight="false" outlineLevel="0" collapsed="false">
      <c r="AG165" s="0" t="n">
        <f aca="false">AG164+1</f>
        <v>156</v>
      </c>
      <c r="AH165" s="0" t="n">
        <f aca="false">AG165*PI()/180</f>
        <v>2.72271363311115</v>
      </c>
      <c r="AI165" s="0" t="n">
        <f aca="false">$D$9*SIN(AH165)</f>
        <v>0.813473286151601</v>
      </c>
      <c r="AJ165" s="19" t="n">
        <f aca="false">$E$9*$Q$10*SIN(AH165)/$K$9</f>
        <v>719526.005687312</v>
      </c>
      <c r="AK165" s="0" t="e">
        <f aca="false">interpfn($Y$9:$Z$36,AI165,2)</f>
        <v>#VALUE!</v>
      </c>
      <c r="AL165" s="0" t="e">
        <f aca="false">interpfn($AA$9:$AB$27,AJ165,2)</f>
        <v>#VALUE!</v>
      </c>
      <c r="AM165" s="0" t="n">
        <f aca="false">IF(AI165&gt;0.45,1,AL165)</f>
        <v>1</v>
      </c>
      <c r="AO165" s="0" t="e">
        <f aca="false">interpfn($AE$9:$AF$22,AI165,2)</f>
        <v>#VALUE!</v>
      </c>
      <c r="AP165" s="0" t="e">
        <f aca="false">AK165*AM165</f>
        <v>#VALUE!</v>
      </c>
      <c r="AQ165" s="0" t="e">
        <f aca="false">$AN$9*AO165</f>
        <v>#VALUE!</v>
      </c>
      <c r="AS165" s="0" t="e">
        <f aca="false">-$T$14*(COS(AH165))^2+$AR$9*(SIN(AH165))^2</f>
        <v>#VALUE!</v>
      </c>
      <c r="AT165" s="0" t="e">
        <f aca="false">-($U$14/2)*(2*COS(2*AH165)*SIN(AH165/2)+SIN(2*AH165)*COS(AH165/2)/2)+2*AQ74*AP74*$N$29*SIN(AH165)*COS(AH165)/$J$9</f>
        <v>#VALUE!</v>
      </c>
      <c r="AU165" s="0" t="e">
        <f aca="false">-($U$14/2)*SIN(2*AH165)*SIN(AH165/2)+AQ165*AP165*$N$29*(SIN(AH165)^2)/$J$9</f>
        <v>#VALUE!</v>
      </c>
      <c r="AV165" s="0" t="e">
        <f aca="false">($U$14*($F$9/12-$W$14)/(2*$K$9))*(2*COS(2*AH165)*SIN(AH165/2)/2+SIN(2*AH165)*COS(AH165/2)/2)+2*AP74*AQ74*$N$29*($F$9/12-$S$10)*SIN(AH165)*COS(AH165)/($J$9*$K$9)</f>
        <v>#VALUE!</v>
      </c>
      <c r="AW165" s="0" t="n">
        <f aca="false">AG165</f>
        <v>156</v>
      </c>
      <c r="AX165" s="0" t="e">
        <f aca="false">($U$14*($F$9/12-$W$14)/(2*$K$9)*SIN(2*AH165)*SIN(AH165/2)+AP165*AQ165*$N$29*($F$9/12-$S$10)*(SIN(AH165))^2/($J$9*$K$9))</f>
        <v>#VALUE!</v>
      </c>
      <c r="AY165" s="0" t="e">
        <f aca="false">AS165*COS(AH165)+AU165*SIN(AH165)</f>
        <v>#VALUE!</v>
      </c>
      <c r="AZ165" s="0" t="e">
        <f aca="false">AX165</f>
        <v>#VALUE!</v>
      </c>
      <c r="BA165" s="0" t="n">
        <f aca="false">AW165</f>
        <v>156</v>
      </c>
      <c r="BB165" s="0" t="e">
        <f aca="false">IF(AND(AV165&lt;0,AZ165*AZ166&lt;0),BA165+(BA166-BA165)*AZ165/(AZ166-AZ165),"")</f>
        <v>#VALUE!</v>
      </c>
      <c r="BC165" s="0" t="e">
        <f aca="false">IF(AND(AV165&lt;0,AZ165*AZ166&lt;0),AY165+(AY166-AY165)*AZ165/(AZ166-AZ165),"")</f>
        <v>#VALUE!</v>
      </c>
    </row>
    <row r="166" customFormat="false" ht="12.75" hidden="false" customHeight="false" outlineLevel="0" collapsed="false">
      <c r="AG166" s="0" t="n">
        <f aca="false">AG165+1</f>
        <v>157</v>
      </c>
      <c r="AH166" s="0" t="n">
        <f aca="false">AG166*PI()/180</f>
        <v>2.7401669256311</v>
      </c>
      <c r="AI166" s="0" t="n">
        <f aca="false">$D$9*SIN(AH166)</f>
        <v>0.781462256978548</v>
      </c>
      <c r="AJ166" s="19" t="n">
        <f aca="false">$E$9*$Q$10*SIN(AH166)/$K$9</f>
        <v>691211.900785613</v>
      </c>
      <c r="AK166" s="0" t="e">
        <f aca="false">interpfn($Y$9:$Z$36,AI166,2)</f>
        <v>#VALUE!</v>
      </c>
      <c r="AL166" s="0" t="e">
        <f aca="false">interpfn($AA$9:$AB$27,AJ166,2)</f>
        <v>#VALUE!</v>
      </c>
      <c r="AM166" s="0" t="n">
        <f aca="false">IF(AI166&gt;0.45,1,AL166)</f>
        <v>1</v>
      </c>
      <c r="AO166" s="0" t="e">
        <f aca="false">interpfn($AE$9:$AF$22,AI166,2)</f>
        <v>#VALUE!</v>
      </c>
      <c r="AP166" s="0" t="e">
        <f aca="false">AK166*AM166</f>
        <v>#VALUE!</v>
      </c>
      <c r="AQ166" s="0" t="e">
        <f aca="false">$AN$9*AO166</f>
        <v>#VALUE!</v>
      </c>
      <c r="AS166" s="0" t="e">
        <f aca="false">-$T$14*(COS(AH166))^2+$AR$9*(SIN(AH166))^2</f>
        <v>#VALUE!</v>
      </c>
      <c r="AT166" s="0" t="e">
        <f aca="false">-($U$14/2)*(2*COS(2*AH166)*SIN(AH166/2)+SIN(2*AH166)*COS(AH166/2)/2)+2*AQ75*AP75*$N$29*SIN(AH166)*COS(AH166)/$J$9</f>
        <v>#VALUE!</v>
      </c>
      <c r="AU166" s="0" t="e">
        <f aca="false">-($U$14/2)*SIN(2*AH166)*SIN(AH166/2)+AQ166*AP166*$N$29*(SIN(AH166)^2)/$J$9</f>
        <v>#VALUE!</v>
      </c>
      <c r="AV166" s="0" t="e">
        <f aca="false">($U$14*($F$9/12-$W$14)/(2*$K$9))*(2*COS(2*AH166)*SIN(AH166/2)/2+SIN(2*AH166)*COS(AH166/2)/2)+2*AP75*AQ75*$N$29*($F$9/12-$S$10)*SIN(AH166)*COS(AH166)/($J$9*$K$9)</f>
        <v>#VALUE!</v>
      </c>
      <c r="AW166" s="0" t="n">
        <f aca="false">AG166</f>
        <v>157</v>
      </c>
      <c r="AX166" s="0" t="e">
        <f aca="false">($U$14*($F$9/12-$W$14)/(2*$K$9)*SIN(2*AH166)*SIN(AH166/2)+AP166*AQ166*$N$29*($F$9/12-$S$10)*(SIN(AH166))^2/($J$9*$K$9))</f>
        <v>#VALUE!</v>
      </c>
      <c r="AY166" s="0" t="e">
        <f aca="false">AS166*COS(AH166)+AU166*SIN(AH166)</f>
        <v>#VALUE!</v>
      </c>
      <c r="AZ166" s="0" t="e">
        <f aca="false">AX166</f>
        <v>#VALUE!</v>
      </c>
      <c r="BA166" s="0" t="n">
        <f aca="false">AW166</f>
        <v>157</v>
      </c>
      <c r="BB166" s="0" t="e">
        <f aca="false">IF(AND(AV166&lt;0,AZ166*AZ167&lt;0),BA166+(BA167-BA166)*AZ166/(AZ167-AZ166),"")</f>
        <v>#VALUE!</v>
      </c>
      <c r="BC166" s="0" t="e">
        <f aca="false">IF(AND(AV166&lt;0,AZ166*AZ167&lt;0),AY166+(AY167-AY166)*AZ166/(AZ167-AZ166),"")</f>
        <v>#VALUE!</v>
      </c>
    </row>
    <row r="167" customFormat="false" ht="12.75" hidden="false" customHeight="false" outlineLevel="0" collapsed="false">
      <c r="AG167" s="0" t="n">
        <f aca="false">AG166+1</f>
        <v>158</v>
      </c>
      <c r="AH167" s="0" t="n">
        <f aca="false">AG167*PI()/180</f>
        <v>2.75762021815104</v>
      </c>
      <c r="AI167" s="0" t="n">
        <f aca="false">$D$9*SIN(AH167)</f>
        <v>0.749213186831825</v>
      </c>
      <c r="AJ167" s="19" t="n">
        <f aca="false">$E$9*$Q$10*SIN(AH167)/$K$9</f>
        <v>662687.246043013</v>
      </c>
      <c r="AK167" s="0" t="e">
        <f aca="false">interpfn($Y$9:$Z$36,AI167,2)</f>
        <v>#VALUE!</v>
      </c>
      <c r="AL167" s="0" t="e">
        <f aca="false">interpfn($AA$9:$AB$27,AJ167,2)</f>
        <v>#VALUE!</v>
      </c>
      <c r="AM167" s="0" t="n">
        <f aca="false">IF(AI167&gt;0.45,1,AL167)</f>
        <v>1</v>
      </c>
      <c r="AO167" s="0" t="e">
        <f aca="false">interpfn($AE$9:$AF$22,AI167,2)</f>
        <v>#VALUE!</v>
      </c>
      <c r="AP167" s="0" t="e">
        <f aca="false">AK167*AM167</f>
        <v>#VALUE!</v>
      </c>
      <c r="AQ167" s="0" t="e">
        <f aca="false">$AN$9*AO167</f>
        <v>#VALUE!</v>
      </c>
      <c r="AS167" s="0" t="e">
        <f aca="false">-$T$14*(COS(AH167))^2+$AR$9*(SIN(AH167))^2</f>
        <v>#VALUE!</v>
      </c>
      <c r="AT167" s="0" t="e">
        <f aca="false">-($U$14/2)*(2*COS(2*AH167)*SIN(AH167/2)+SIN(2*AH167)*COS(AH167/2)/2)+2*AQ76*AP76*$N$29*SIN(AH167)*COS(AH167)/$J$9</f>
        <v>#VALUE!</v>
      </c>
      <c r="AU167" s="0" t="e">
        <f aca="false">-($U$14/2)*SIN(2*AH167)*SIN(AH167/2)+AQ167*AP167*$N$29*(SIN(AH167)^2)/$J$9</f>
        <v>#VALUE!</v>
      </c>
      <c r="AV167" s="0" t="e">
        <f aca="false">($U$14*($F$9/12-$W$14)/(2*$K$9))*(2*COS(2*AH167)*SIN(AH167/2)/2+SIN(2*AH167)*COS(AH167/2)/2)+2*AP76*AQ76*$N$29*($F$9/12-$S$10)*SIN(AH167)*COS(AH167)/($J$9*$K$9)</f>
        <v>#VALUE!</v>
      </c>
      <c r="AW167" s="0" t="n">
        <f aca="false">AG167</f>
        <v>158</v>
      </c>
      <c r="AX167" s="0" t="e">
        <f aca="false">($U$14*($F$9/12-$W$14)/(2*$K$9)*SIN(2*AH167)*SIN(AH167/2)+AP167*AQ167*$N$29*($F$9/12-$S$10)*(SIN(AH167))^2/($J$9*$K$9))</f>
        <v>#VALUE!</v>
      </c>
      <c r="AY167" s="0" t="e">
        <f aca="false">AS167*COS(AH167)+AU167*SIN(AH167)</f>
        <v>#VALUE!</v>
      </c>
      <c r="AZ167" s="0" t="e">
        <f aca="false">AX167</f>
        <v>#VALUE!</v>
      </c>
      <c r="BA167" s="0" t="n">
        <f aca="false">AW167</f>
        <v>158</v>
      </c>
      <c r="BB167" s="0" t="e">
        <f aca="false">IF(AND(AV167&lt;0,AZ167*AZ168&lt;0),BA167+(BA168-BA167)*AZ167/(AZ168-AZ167),"")</f>
        <v>#VALUE!</v>
      </c>
      <c r="BC167" s="0" t="e">
        <f aca="false">IF(AND(AV167&lt;0,AZ167*AZ168&lt;0),AY167+(AY168-AY167)*AZ167/(AZ168-AZ167),"")</f>
        <v>#VALUE!</v>
      </c>
    </row>
    <row r="168" customFormat="false" ht="12.75" hidden="false" customHeight="false" outlineLevel="0" collapsed="false">
      <c r="AG168" s="0" t="n">
        <f aca="false">AG167+1</f>
        <v>159</v>
      </c>
      <c r="AH168" s="0" t="n">
        <f aca="false">AG168*PI()/180</f>
        <v>2.77507351067098</v>
      </c>
      <c r="AI168" s="0" t="n">
        <f aca="false">$D$9*SIN(AH168)</f>
        <v>0.7167358990906</v>
      </c>
      <c r="AJ168" s="19" t="n">
        <f aca="false">$E$9*$Q$10*SIN(AH168)/$K$9</f>
        <v>633960.730345674</v>
      </c>
      <c r="AK168" s="0" t="e">
        <f aca="false">interpfn($Y$9:$Z$36,AI168,2)</f>
        <v>#VALUE!</v>
      </c>
      <c r="AL168" s="0" t="e">
        <f aca="false">interpfn($AA$9:$AB$27,AJ168,2)</f>
        <v>#VALUE!</v>
      </c>
      <c r="AM168" s="0" t="n">
        <f aca="false">IF(AI168&gt;0.45,1,AL168)</f>
        <v>1</v>
      </c>
      <c r="AO168" s="0" t="e">
        <f aca="false">interpfn($AE$9:$AF$22,AI168,2)</f>
        <v>#VALUE!</v>
      </c>
      <c r="AP168" s="0" t="e">
        <f aca="false">AK168*AM168</f>
        <v>#VALUE!</v>
      </c>
      <c r="AQ168" s="0" t="e">
        <f aca="false">$AN$9*AO168</f>
        <v>#VALUE!</v>
      </c>
      <c r="AS168" s="0" t="e">
        <f aca="false">-$T$14*(COS(AH168))^2+$AR$9*(SIN(AH168))^2</f>
        <v>#VALUE!</v>
      </c>
      <c r="AT168" s="0" t="e">
        <f aca="false">-($U$14/2)*(2*COS(2*AH168)*SIN(AH168/2)+SIN(2*AH168)*COS(AH168/2)/2)+2*AQ77*AP77*$N$29*SIN(AH168)*COS(AH168)/$J$9</f>
        <v>#VALUE!</v>
      </c>
      <c r="AU168" s="0" t="e">
        <f aca="false">-($U$14/2)*SIN(2*AH168)*SIN(AH168/2)+AQ168*AP168*$N$29*(SIN(AH168)^2)/$J$9</f>
        <v>#VALUE!</v>
      </c>
      <c r="AV168" s="0" t="e">
        <f aca="false">($U$14*($F$9/12-$W$14)/(2*$K$9))*(2*COS(2*AH168)*SIN(AH168/2)/2+SIN(2*AH168)*COS(AH168/2)/2)+2*AP77*AQ77*$N$29*($F$9/12-$S$10)*SIN(AH168)*COS(AH168)/($J$9*$K$9)</f>
        <v>#VALUE!</v>
      </c>
      <c r="AW168" s="0" t="n">
        <f aca="false">AG168</f>
        <v>159</v>
      </c>
      <c r="AX168" s="0" t="e">
        <f aca="false">($U$14*($F$9/12-$W$14)/(2*$K$9)*SIN(2*AH168)*SIN(AH168/2)+AP168*AQ168*$N$29*($F$9/12-$S$10)*(SIN(AH168))^2/($J$9*$K$9))</f>
        <v>#VALUE!</v>
      </c>
      <c r="AY168" s="0" t="e">
        <f aca="false">AS168*COS(AH168)+AU168*SIN(AH168)</f>
        <v>#VALUE!</v>
      </c>
      <c r="AZ168" s="0" t="e">
        <f aca="false">AX168</f>
        <v>#VALUE!</v>
      </c>
      <c r="BA168" s="0" t="n">
        <f aca="false">AW168</f>
        <v>159</v>
      </c>
      <c r="BB168" s="0" t="e">
        <f aca="false">IF(AND(AV168&lt;0,AZ168*AZ169&lt;0),BA168+(BA169-BA168)*AZ168/(AZ169-AZ168),"")</f>
        <v>#VALUE!</v>
      </c>
      <c r="BC168" s="0" t="e">
        <f aca="false">IF(AND(AV168&lt;0,AZ168*AZ169&lt;0),AY168+(AY169-AY168)*AZ168/(AZ169-AZ168),"")</f>
        <v>#VALUE!</v>
      </c>
    </row>
    <row r="169" customFormat="false" ht="12.75" hidden="false" customHeight="false" outlineLevel="0" collapsed="false">
      <c r="AG169" s="0" t="n">
        <f aca="false">AG168+1</f>
        <v>160</v>
      </c>
      <c r="AH169" s="0" t="n">
        <f aca="false">AG169*PI()/180</f>
        <v>2.79252680319093</v>
      </c>
      <c r="AI169" s="0" t="n">
        <f aca="false">$D$9*SIN(AH169)</f>
        <v>0.684040286651338</v>
      </c>
      <c r="AJ169" s="19" t="n">
        <f aca="false">$E$9*$Q$10*SIN(AH169)/$K$9</f>
        <v>605041.104068556</v>
      </c>
      <c r="AK169" s="0" t="e">
        <f aca="false">interpfn($Y$9:$Z$36,AI169,2)</f>
        <v>#VALUE!</v>
      </c>
      <c r="AL169" s="0" t="e">
        <f aca="false">interpfn($AA$9:$AB$27,AJ169,2)</f>
        <v>#VALUE!</v>
      </c>
      <c r="AM169" s="0" t="n">
        <f aca="false">IF(AI169&gt;0.45,1,AL169)</f>
        <v>1</v>
      </c>
      <c r="AO169" s="0" t="e">
        <f aca="false">interpfn($AE$9:$AF$22,AI169,2)</f>
        <v>#VALUE!</v>
      </c>
      <c r="AP169" s="0" t="e">
        <f aca="false">AK169*AM169</f>
        <v>#VALUE!</v>
      </c>
      <c r="AQ169" s="0" t="e">
        <f aca="false">$AN$9*AO169</f>
        <v>#VALUE!</v>
      </c>
      <c r="AS169" s="0" t="e">
        <f aca="false">-$T$14*(COS(AH169))^2+$AR$9*(SIN(AH169))^2</f>
        <v>#VALUE!</v>
      </c>
      <c r="AT169" s="0" t="e">
        <f aca="false">-($U$14/2)*(2*COS(2*AH169)*SIN(AH169/2)+SIN(2*AH169)*COS(AH169/2)/2)+2*AQ78*AP78*$N$29*SIN(AH169)*COS(AH169)/$J$9</f>
        <v>#VALUE!</v>
      </c>
      <c r="AU169" s="0" t="e">
        <f aca="false">-($U$14/2)*SIN(2*AH169)*SIN(AH169/2)+AQ169*AP169*$N$29*(SIN(AH169)^2)/$J$9</f>
        <v>#VALUE!</v>
      </c>
      <c r="AV169" s="0" t="e">
        <f aca="false">($U$14*($F$9/12-$W$14)/(2*$K$9))*(2*COS(2*AH169)*SIN(AH169/2)/2+SIN(2*AH169)*COS(AH169/2)/2)+2*AP78*AQ78*$N$29*($F$9/12-$S$10)*SIN(AH169)*COS(AH169)/($J$9*$K$9)</f>
        <v>#VALUE!</v>
      </c>
      <c r="AW169" s="0" t="n">
        <f aca="false">AG169</f>
        <v>160</v>
      </c>
      <c r="AX169" s="0" t="e">
        <f aca="false">($U$14*($F$9/12-$W$14)/(2*$K$9)*SIN(2*AH169)*SIN(AH169/2)+AP169*AQ169*$N$29*($F$9/12-$S$10)*(SIN(AH169))^2/($J$9*$K$9))</f>
        <v>#VALUE!</v>
      </c>
      <c r="AY169" s="0" t="e">
        <f aca="false">AS169*COS(AH169)+AU169*SIN(AH169)</f>
        <v>#VALUE!</v>
      </c>
      <c r="AZ169" s="0" t="e">
        <f aca="false">AX169</f>
        <v>#VALUE!</v>
      </c>
      <c r="BA169" s="0" t="n">
        <f aca="false">AW169</f>
        <v>160</v>
      </c>
      <c r="BB169" s="0" t="e">
        <f aca="false">IF(AND(AV169&lt;0,AZ169*AZ170&lt;0),BA169+(BA170-BA169)*AZ169/(AZ170-AZ169),"")</f>
        <v>#VALUE!</v>
      </c>
      <c r="BC169" s="0" t="e">
        <f aca="false">IF(AND(AV169&lt;0,AZ169*AZ170&lt;0),AY169+(AY170-AY169)*AZ169/(AZ170-AZ169),"")</f>
        <v>#VALUE!</v>
      </c>
    </row>
    <row r="170" customFormat="false" ht="12.75" hidden="false" customHeight="false" outlineLevel="0" collapsed="false">
      <c r="AG170" s="0" t="n">
        <f aca="false">AG169+1</f>
        <v>161</v>
      </c>
      <c r="AH170" s="0" t="n">
        <f aca="false">AG170*PI()/180</f>
        <v>2.80998009571087</v>
      </c>
      <c r="AI170" s="0" t="n">
        <f aca="false">$D$9*SIN(AH170)</f>
        <v>0.651136308914314</v>
      </c>
      <c r="AJ170" s="19" t="n">
        <f aca="false">$E$9*$Q$10*SIN(AH170)/$K$9</f>
        <v>575937.176409974</v>
      </c>
      <c r="AK170" s="0" t="e">
        <f aca="false">interpfn($Y$9:$Z$36,AI170,2)</f>
        <v>#VALUE!</v>
      </c>
      <c r="AL170" s="0" t="e">
        <f aca="false">interpfn($AA$9:$AB$27,AJ170,2)</f>
        <v>#VALUE!</v>
      </c>
      <c r="AM170" s="0" t="n">
        <f aca="false">IF(AI170&gt;0.45,1,AL170)</f>
        <v>1</v>
      </c>
      <c r="AO170" s="0" t="e">
        <f aca="false">interpfn($AE$9:$AF$22,AI170,2)</f>
        <v>#VALUE!</v>
      </c>
      <c r="AP170" s="0" t="e">
        <f aca="false">AK170*AM170</f>
        <v>#VALUE!</v>
      </c>
      <c r="AQ170" s="0" t="e">
        <f aca="false">$AN$9*AO170</f>
        <v>#VALUE!</v>
      </c>
      <c r="AS170" s="0" t="e">
        <f aca="false">-$T$14*(COS(AH170))^2+$AR$9*(SIN(AH170))^2</f>
        <v>#VALUE!</v>
      </c>
      <c r="AT170" s="0" t="e">
        <f aca="false">-($U$14/2)*(2*COS(2*AH170)*SIN(AH170/2)+SIN(2*AH170)*COS(AH170/2)/2)+2*AQ79*AP79*$N$29*SIN(AH170)*COS(AH170)/$J$9</f>
        <v>#VALUE!</v>
      </c>
      <c r="AU170" s="0" t="e">
        <f aca="false">-($U$14/2)*SIN(2*AH170)*SIN(AH170/2)+AQ170*AP170*$N$29*(SIN(AH170)^2)/$J$9</f>
        <v>#VALUE!</v>
      </c>
      <c r="AV170" s="0" t="e">
        <f aca="false">($U$14*($F$9/12-$W$14)/(2*$K$9))*(2*COS(2*AH170)*SIN(AH170/2)/2+SIN(2*AH170)*COS(AH170/2)/2)+2*AP79*AQ79*$N$29*($F$9/12-$S$10)*SIN(AH170)*COS(AH170)/($J$9*$K$9)</f>
        <v>#VALUE!</v>
      </c>
      <c r="AW170" s="0" t="n">
        <f aca="false">AG170</f>
        <v>161</v>
      </c>
      <c r="AX170" s="0" t="e">
        <f aca="false">($U$14*($F$9/12-$W$14)/(2*$K$9)*SIN(2*AH170)*SIN(AH170/2)+AP170*AQ170*$N$29*($F$9/12-$S$10)*(SIN(AH170))^2/($J$9*$K$9))</f>
        <v>#VALUE!</v>
      </c>
      <c r="AY170" s="0" t="e">
        <f aca="false">AS170*COS(AH170)+AU170*SIN(AH170)</f>
        <v>#VALUE!</v>
      </c>
      <c r="AZ170" s="0" t="e">
        <f aca="false">AX170</f>
        <v>#VALUE!</v>
      </c>
      <c r="BA170" s="0" t="n">
        <f aca="false">AW170</f>
        <v>161</v>
      </c>
      <c r="BB170" s="0" t="e">
        <f aca="false">IF(AND(AV170&lt;0,AZ170*AZ171&lt;0),BA170+(BA171-BA170)*AZ170/(AZ171-AZ170),"")</f>
        <v>#VALUE!</v>
      </c>
      <c r="BC170" s="0" t="e">
        <f aca="false">IF(AND(AV170&lt;0,AZ170*AZ171&lt;0),AY170+(AY171-AY170)*AZ170/(AZ171-AZ170),"")</f>
        <v>#VALUE!</v>
      </c>
    </row>
    <row r="171" customFormat="false" ht="12.75" hidden="false" customHeight="false" outlineLevel="0" collapsed="false">
      <c r="AG171" s="0" t="n">
        <f aca="false">AG170+1</f>
        <v>162</v>
      </c>
      <c r="AH171" s="0" t="n">
        <f aca="false">AG171*PI()/180</f>
        <v>2.82743338823081</v>
      </c>
      <c r="AI171" s="0" t="n">
        <f aca="false">$D$9*SIN(AH171)</f>
        <v>0.618033988749895</v>
      </c>
      <c r="AJ171" s="19" t="n">
        <f aca="false">$E$9*$Q$10*SIN(AH171)/$K$9</f>
        <v>546657.812708229</v>
      </c>
      <c r="AK171" s="0" t="e">
        <f aca="false">interpfn($Y$9:$Z$36,AI171,2)</f>
        <v>#VALUE!</v>
      </c>
      <c r="AL171" s="0" t="e">
        <f aca="false">interpfn($AA$9:$AB$27,AJ171,2)</f>
        <v>#VALUE!</v>
      </c>
      <c r="AM171" s="0" t="n">
        <f aca="false">IF(AI171&gt;0.45,1,AL171)</f>
        <v>1</v>
      </c>
      <c r="AO171" s="0" t="e">
        <f aca="false">interpfn($AE$9:$AF$22,AI171,2)</f>
        <v>#VALUE!</v>
      </c>
      <c r="AP171" s="0" t="e">
        <f aca="false">AK171*AM171</f>
        <v>#VALUE!</v>
      </c>
      <c r="AQ171" s="0" t="e">
        <f aca="false">$AN$9*AO171</f>
        <v>#VALUE!</v>
      </c>
      <c r="AS171" s="0" t="e">
        <f aca="false">-$T$14*(COS(AH171))^2+$AR$9*(SIN(AH171))^2</f>
        <v>#VALUE!</v>
      </c>
      <c r="AT171" s="0" t="e">
        <f aca="false">-($U$14/2)*(2*COS(2*AH171)*SIN(AH171/2)+SIN(2*AH171)*COS(AH171/2)/2)+2*AQ80*AP80*$N$29*SIN(AH171)*COS(AH171)/$J$9</f>
        <v>#VALUE!</v>
      </c>
      <c r="AU171" s="0" t="e">
        <f aca="false">-($U$14/2)*SIN(2*AH171)*SIN(AH171/2)+AQ171*AP171*$N$29*(SIN(AH171)^2)/$J$9</f>
        <v>#VALUE!</v>
      </c>
      <c r="AV171" s="0" t="e">
        <f aca="false">($U$14*($F$9/12-$W$14)/(2*$K$9))*(2*COS(2*AH171)*SIN(AH171/2)/2+SIN(2*AH171)*COS(AH171/2)/2)+2*AP80*AQ80*$N$29*($F$9/12-$S$10)*SIN(AH171)*COS(AH171)/($J$9*$K$9)</f>
        <v>#VALUE!</v>
      </c>
      <c r="AW171" s="0" t="n">
        <f aca="false">AG171</f>
        <v>162</v>
      </c>
      <c r="AX171" s="0" t="e">
        <f aca="false">($U$14*($F$9/12-$W$14)/(2*$K$9)*SIN(2*AH171)*SIN(AH171/2)+AP171*AQ171*$N$29*($F$9/12-$S$10)*(SIN(AH171))^2/($J$9*$K$9))</f>
        <v>#VALUE!</v>
      </c>
      <c r="AY171" s="0" t="e">
        <f aca="false">AS171*COS(AH171)+AU171*SIN(AH171)</f>
        <v>#VALUE!</v>
      </c>
      <c r="AZ171" s="0" t="e">
        <f aca="false">AX171</f>
        <v>#VALUE!</v>
      </c>
      <c r="BA171" s="0" t="n">
        <f aca="false">AW171</f>
        <v>162</v>
      </c>
      <c r="BB171" s="0" t="e">
        <f aca="false">IF(AND(AV171&lt;0,AZ171*AZ172&lt;0),BA171+(BA172-BA171)*AZ171/(AZ172-AZ171),"")</f>
        <v>#VALUE!</v>
      </c>
      <c r="BC171" s="0" t="e">
        <f aca="false">IF(AND(AV171&lt;0,AZ171*AZ172&lt;0),AY171+(AY172-AY171)*AZ171/(AZ172-AZ171),"")</f>
        <v>#VALUE!</v>
      </c>
    </row>
    <row r="172" customFormat="false" ht="12.75" hidden="false" customHeight="false" outlineLevel="0" collapsed="false">
      <c r="AG172" s="0" t="n">
        <f aca="false">AG171+1</f>
        <v>163</v>
      </c>
      <c r="AH172" s="0" t="n">
        <f aca="false">AG172*PI()/180</f>
        <v>2.84488668075076</v>
      </c>
      <c r="AI172" s="0" t="n">
        <f aca="false">$D$9*SIN(AH172)</f>
        <v>0.584743409445474</v>
      </c>
      <c r="AJ172" s="19" t="n">
        <f aca="false">$E$9*$Q$10*SIN(AH172)/$K$9</f>
        <v>517211.93174114</v>
      </c>
      <c r="AK172" s="0" t="e">
        <f aca="false">interpfn($Y$9:$Z$36,AI172,2)</f>
        <v>#VALUE!</v>
      </c>
      <c r="AL172" s="0" t="e">
        <f aca="false">interpfn($AA$9:$AB$27,AJ172,2)</f>
        <v>#VALUE!</v>
      </c>
      <c r="AM172" s="0" t="n">
        <f aca="false">IF(AI172&gt;0.45,1,AL172)</f>
        <v>1</v>
      </c>
      <c r="AO172" s="0" t="e">
        <f aca="false">interpfn($AE$9:$AF$22,AI172,2)</f>
        <v>#VALUE!</v>
      </c>
      <c r="AP172" s="0" t="e">
        <f aca="false">AK172*AM172</f>
        <v>#VALUE!</v>
      </c>
      <c r="AQ172" s="0" t="e">
        <f aca="false">$AN$9*AO172</f>
        <v>#VALUE!</v>
      </c>
      <c r="AS172" s="0" t="e">
        <f aca="false">-$T$14*(COS(AH172))^2+$AR$9*(SIN(AH172))^2</f>
        <v>#VALUE!</v>
      </c>
      <c r="AT172" s="0" t="e">
        <f aca="false">-($U$14/2)*(2*COS(2*AH172)*SIN(AH172/2)+SIN(2*AH172)*COS(AH172/2)/2)+2*AQ81*AP81*$N$29*SIN(AH172)*COS(AH172)/$J$9</f>
        <v>#VALUE!</v>
      </c>
      <c r="AU172" s="0" t="e">
        <f aca="false">-($U$14/2)*SIN(2*AH172)*SIN(AH172/2)+AQ172*AP172*$N$29*(SIN(AH172)^2)/$J$9</f>
        <v>#VALUE!</v>
      </c>
      <c r="AV172" s="0" t="e">
        <f aca="false">($U$14*($F$9/12-$W$14)/(2*$K$9))*(2*COS(2*AH172)*SIN(AH172/2)/2+SIN(2*AH172)*COS(AH172/2)/2)+2*AP81*AQ81*$N$29*($F$9/12-$S$10)*SIN(AH172)*COS(AH172)/($J$9*$K$9)</f>
        <v>#VALUE!</v>
      </c>
      <c r="AW172" s="0" t="n">
        <f aca="false">AG172</f>
        <v>163</v>
      </c>
      <c r="AX172" s="0" t="e">
        <f aca="false">($U$14*($F$9/12-$W$14)/(2*$K$9)*SIN(2*AH172)*SIN(AH172/2)+AP172*AQ172*$N$29*($F$9/12-$S$10)*(SIN(AH172))^2/($J$9*$K$9))</f>
        <v>#VALUE!</v>
      </c>
      <c r="AY172" s="0" t="e">
        <f aca="false">AS172*COS(AH172)+AU172*SIN(AH172)</f>
        <v>#VALUE!</v>
      </c>
      <c r="AZ172" s="0" t="e">
        <f aca="false">AX172</f>
        <v>#VALUE!</v>
      </c>
      <c r="BA172" s="0" t="n">
        <f aca="false">AW172</f>
        <v>163</v>
      </c>
      <c r="BB172" s="0" t="e">
        <f aca="false">IF(AND(AV172&lt;0,AZ172*AZ173&lt;0),BA172+(BA173-BA172)*AZ172/(AZ173-AZ172),"")</f>
        <v>#VALUE!</v>
      </c>
      <c r="BC172" s="0" t="e">
        <f aca="false">IF(AND(AV172&lt;0,AZ172*AZ173&lt;0),AY172+(AY173-AY172)*AZ172/(AZ173-AZ172),"")</f>
        <v>#VALUE!</v>
      </c>
    </row>
    <row r="173" customFormat="false" ht="12.75" hidden="false" customHeight="false" outlineLevel="0" collapsed="false">
      <c r="AG173" s="0" t="n">
        <f aca="false">AG172+1</f>
        <v>164</v>
      </c>
      <c r="AH173" s="0" t="n">
        <f aca="false">AG173*PI()/180</f>
        <v>2.8623399732707</v>
      </c>
      <c r="AI173" s="0" t="n">
        <f aca="false">$D$9*SIN(AH173)</f>
        <v>0.551274711633999</v>
      </c>
      <c r="AJ173" s="19" t="n">
        <f aca="false">$E$9*$Q$10*SIN(AH173)/$K$9</f>
        <v>487608.503009298</v>
      </c>
      <c r="AK173" s="0" t="e">
        <f aca="false">interpfn($Y$9:$Z$36,AI173,2)</f>
        <v>#VALUE!</v>
      </c>
      <c r="AL173" s="0" t="e">
        <f aca="false">interpfn($AA$9:$AB$27,AJ173,2)</f>
        <v>#VALUE!</v>
      </c>
      <c r="AM173" s="0" t="n">
        <f aca="false">IF(AI173&gt;0.45,1,AL173)</f>
        <v>1</v>
      </c>
      <c r="AO173" s="0" t="e">
        <f aca="false">interpfn($AE$9:$AF$22,AI173,2)</f>
        <v>#VALUE!</v>
      </c>
      <c r="AP173" s="0" t="e">
        <f aca="false">AK173*AM173</f>
        <v>#VALUE!</v>
      </c>
      <c r="AQ173" s="0" t="e">
        <f aca="false">$AN$9*AO173</f>
        <v>#VALUE!</v>
      </c>
      <c r="AS173" s="0" t="e">
        <f aca="false">-$T$14*(COS(AH173))^2+$AR$9*(SIN(AH173))^2</f>
        <v>#VALUE!</v>
      </c>
      <c r="AT173" s="0" t="e">
        <f aca="false">-($U$14/2)*(2*COS(2*AH173)*SIN(AH173/2)+SIN(2*AH173)*COS(AH173/2)/2)+2*AQ82*AP82*$N$29*SIN(AH173)*COS(AH173)/$J$9</f>
        <v>#VALUE!</v>
      </c>
      <c r="AU173" s="0" t="e">
        <f aca="false">-($U$14/2)*SIN(2*AH173)*SIN(AH173/2)+AQ173*AP173*$N$29*(SIN(AH173)^2)/$J$9</f>
        <v>#VALUE!</v>
      </c>
      <c r="AV173" s="0" t="e">
        <f aca="false">($U$14*($F$9/12-$W$14)/(2*$K$9))*(2*COS(2*AH173)*SIN(AH173/2)/2+SIN(2*AH173)*COS(AH173/2)/2)+2*AP82*AQ82*$N$29*($F$9/12-$S$10)*SIN(AH173)*COS(AH173)/($J$9*$K$9)</f>
        <v>#VALUE!</v>
      </c>
      <c r="AW173" s="0" t="n">
        <f aca="false">AG173</f>
        <v>164</v>
      </c>
      <c r="AX173" s="0" t="e">
        <f aca="false">($U$14*($F$9/12-$W$14)/(2*$K$9)*SIN(2*AH173)*SIN(AH173/2)+AP173*AQ173*$N$29*($F$9/12-$S$10)*(SIN(AH173))^2/($J$9*$K$9))</f>
        <v>#VALUE!</v>
      </c>
      <c r="AY173" s="0" t="e">
        <f aca="false">AS173*COS(AH173)+AU173*SIN(AH173)</f>
        <v>#VALUE!</v>
      </c>
      <c r="AZ173" s="0" t="e">
        <f aca="false">AX173</f>
        <v>#VALUE!</v>
      </c>
      <c r="BA173" s="0" t="n">
        <f aca="false">AW173</f>
        <v>164</v>
      </c>
      <c r="BB173" s="0" t="e">
        <f aca="false">IF(AND(AV173&lt;0,AZ173*AZ174&lt;0),BA173+(BA174-BA173)*AZ173/(AZ174-AZ173),"")</f>
        <v>#VALUE!</v>
      </c>
      <c r="BC173" s="0" t="e">
        <f aca="false">IF(AND(AV173&lt;0,AZ173*AZ174&lt;0),AY173+(AY174-AY173)*AZ173/(AZ174-AZ173),"")</f>
        <v>#VALUE!</v>
      </c>
    </row>
    <row r="174" customFormat="false" ht="12.75" hidden="false" customHeight="false" outlineLevel="0" collapsed="false">
      <c r="AG174" s="0" t="n">
        <f aca="false">AG173+1</f>
        <v>165</v>
      </c>
      <c r="AH174" s="0" t="n">
        <f aca="false">AG174*PI()/180</f>
        <v>2.87979326579064</v>
      </c>
      <c r="AI174" s="0" t="n">
        <f aca="false">$D$9*SIN(AH174)</f>
        <v>0.517638090205042</v>
      </c>
      <c r="AJ174" s="19" t="n">
        <f aca="false">$E$9*$Q$10*SIN(AH174)/$K$9</f>
        <v>457856.544003869</v>
      </c>
      <c r="AK174" s="0" t="e">
        <f aca="false">interpfn($Y$9:$Z$36,AI174,2)</f>
        <v>#VALUE!</v>
      </c>
      <c r="AL174" s="0" t="e">
        <f aca="false">interpfn($AA$9:$AB$27,AJ174,2)</f>
        <v>#VALUE!</v>
      </c>
      <c r="AM174" s="0" t="n">
        <f aca="false">IF(AI174&gt;0.45,1,AL174)</f>
        <v>1</v>
      </c>
      <c r="AO174" s="0" t="e">
        <f aca="false">interpfn($AE$9:$AF$22,AI174,2)</f>
        <v>#VALUE!</v>
      </c>
      <c r="AP174" s="0" t="e">
        <f aca="false">AK174*AM174</f>
        <v>#VALUE!</v>
      </c>
      <c r="AQ174" s="0" t="e">
        <f aca="false">$AN$9*AO174</f>
        <v>#VALUE!</v>
      </c>
      <c r="AS174" s="0" t="e">
        <f aca="false">-$T$14*(COS(AH174))^2+$AR$9*(SIN(AH174))^2</f>
        <v>#VALUE!</v>
      </c>
      <c r="AT174" s="0" t="e">
        <f aca="false">-($U$14/2)*(2*COS(2*AH174)*SIN(AH174/2)+SIN(2*AH174)*COS(AH174/2)/2)+2*AQ83*AP83*$N$29*SIN(AH174)*COS(AH174)/$J$9</f>
        <v>#VALUE!</v>
      </c>
      <c r="AU174" s="0" t="e">
        <f aca="false">-($U$14/2)*SIN(2*AH174)*SIN(AH174/2)+AQ174*AP174*$N$29*(SIN(AH174)^2)/$J$9</f>
        <v>#VALUE!</v>
      </c>
      <c r="AV174" s="0" t="e">
        <f aca="false">($U$14*($F$9/12-$W$14)/(2*$K$9))*(2*COS(2*AH174)*SIN(AH174/2)/2+SIN(2*AH174)*COS(AH174/2)/2)+2*AP83*AQ83*$N$29*($F$9/12-$S$10)*SIN(AH174)*COS(AH174)/($J$9*$K$9)</f>
        <v>#VALUE!</v>
      </c>
      <c r="AW174" s="0" t="n">
        <f aca="false">AG174</f>
        <v>165</v>
      </c>
      <c r="AX174" s="0" t="e">
        <f aca="false">($U$14*($F$9/12-$W$14)/(2*$K$9)*SIN(2*AH174)*SIN(AH174/2)+AP174*AQ174*$N$29*($F$9/12-$S$10)*(SIN(AH174))^2/($J$9*$K$9))</f>
        <v>#VALUE!</v>
      </c>
      <c r="AY174" s="0" t="e">
        <f aca="false">AS174*COS(AH174)+AU174*SIN(AH174)</f>
        <v>#VALUE!</v>
      </c>
      <c r="AZ174" s="0" t="e">
        <f aca="false">AX174</f>
        <v>#VALUE!</v>
      </c>
      <c r="BA174" s="0" t="n">
        <f aca="false">AW174</f>
        <v>165</v>
      </c>
      <c r="BB174" s="0" t="e">
        <f aca="false">IF(AND(AV174&lt;0,AZ174*AZ175&lt;0),BA174+(BA175-BA174)*AZ174/(AZ175-AZ174),"")</f>
        <v>#VALUE!</v>
      </c>
      <c r="BC174" s="0" t="e">
        <f aca="false">IF(AND(AV174&lt;0,AZ174*AZ175&lt;0),AY174+(AY175-AY174)*AZ174/(AZ175-AZ174),"")</f>
        <v>#VALUE!</v>
      </c>
    </row>
    <row r="175" customFormat="false" ht="12.75" hidden="false" customHeight="false" outlineLevel="0" collapsed="false">
      <c r="AG175" s="0" t="n">
        <f aca="false">AG174+1</f>
        <v>166</v>
      </c>
      <c r="AH175" s="0" t="n">
        <f aca="false">AG175*PI()/180</f>
        <v>2.89724655831059</v>
      </c>
      <c r="AI175" s="0" t="n">
        <f aca="false">$D$9*SIN(AH175)</f>
        <v>0.483843791199335</v>
      </c>
      <c r="AJ175" s="19" t="n">
        <f aca="false">$E$9*$Q$10*SIN(AH175)/$K$9</f>
        <v>427965.117459781</v>
      </c>
      <c r="AK175" s="0" t="e">
        <f aca="false">interpfn($Y$9:$Z$36,AI175,2)</f>
        <v>#VALUE!</v>
      </c>
      <c r="AL175" s="0" t="e">
        <f aca="false">interpfn($AA$9:$AB$27,AJ175,2)</f>
        <v>#VALUE!</v>
      </c>
      <c r="AM175" s="0" t="n">
        <f aca="false">IF(AI175&gt;0.45,1,AL175)</f>
        <v>1</v>
      </c>
      <c r="AO175" s="0" t="e">
        <f aca="false">interpfn($AE$9:$AF$22,AI175,2)</f>
        <v>#VALUE!</v>
      </c>
      <c r="AP175" s="0" t="e">
        <f aca="false">AK175*AM175</f>
        <v>#VALUE!</v>
      </c>
      <c r="AQ175" s="0" t="e">
        <f aca="false">$AN$9*AO175</f>
        <v>#VALUE!</v>
      </c>
      <c r="AS175" s="0" t="e">
        <f aca="false">-$T$14*(COS(AH175))^2+$AR$9*(SIN(AH175))^2</f>
        <v>#VALUE!</v>
      </c>
      <c r="AT175" s="0" t="e">
        <f aca="false">-($U$14/2)*(2*COS(2*AH175)*SIN(AH175/2)+SIN(2*AH175)*COS(AH175/2)/2)+2*AQ84*AP84*$N$29*SIN(AH175)*COS(AH175)/$J$9</f>
        <v>#VALUE!</v>
      </c>
      <c r="AU175" s="0" t="e">
        <f aca="false">-($U$14/2)*SIN(2*AH175)*SIN(AH175/2)+AQ175*AP175*$N$29*(SIN(AH175)^2)/$J$9</f>
        <v>#VALUE!</v>
      </c>
      <c r="AV175" s="0" t="e">
        <f aca="false">($U$14*($F$9/12-$W$14)/(2*$K$9))*(2*COS(2*AH175)*SIN(AH175/2)/2+SIN(2*AH175)*COS(AH175/2)/2)+2*AP84*AQ84*$N$29*($F$9/12-$S$10)*SIN(AH175)*COS(AH175)/($J$9*$K$9)</f>
        <v>#VALUE!</v>
      </c>
      <c r="AW175" s="0" t="n">
        <f aca="false">AG175</f>
        <v>166</v>
      </c>
      <c r="AX175" s="0" t="e">
        <f aca="false">($U$14*($F$9/12-$W$14)/(2*$K$9)*SIN(2*AH175)*SIN(AH175/2)+AP175*AQ175*$N$29*($F$9/12-$S$10)*(SIN(AH175))^2/($J$9*$K$9))</f>
        <v>#VALUE!</v>
      </c>
      <c r="AY175" s="0" t="e">
        <f aca="false">AS175*COS(AH175)+AU175*SIN(AH175)</f>
        <v>#VALUE!</v>
      </c>
      <c r="AZ175" s="0" t="e">
        <f aca="false">AX175</f>
        <v>#VALUE!</v>
      </c>
      <c r="BA175" s="0" t="n">
        <f aca="false">AW175</f>
        <v>166</v>
      </c>
      <c r="BB175" s="0" t="e">
        <f aca="false">IF(AND(AV175&lt;0,AZ175*AZ176&lt;0),BA175+(BA176-BA175)*AZ175/(AZ176-AZ175),"")</f>
        <v>#VALUE!</v>
      </c>
      <c r="BC175" s="0" t="e">
        <f aca="false">IF(AND(AV175&lt;0,AZ175*AZ176&lt;0),AY175+(AY176-AY175)*AZ175/(AZ176-AZ175),"")</f>
        <v>#VALUE!</v>
      </c>
    </row>
    <row r="176" customFormat="false" ht="12.75" hidden="false" customHeight="false" outlineLevel="0" collapsed="false">
      <c r="AG176" s="0" t="n">
        <f aca="false">AG175+1</f>
        <v>167</v>
      </c>
      <c r="AH176" s="0" t="n">
        <f aca="false">AG176*PI()/180</f>
        <v>2.91469985083053</v>
      </c>
      <c r="AI176" s="0" t="n">
        <f aca="false">$D$9*SIN(AH176)</f>
        <v>0.44990210868773</v>
      </c>
      <c r="AJ176" s="19" t="n">
        <f aca="false">$E$9*$Q$10*SIN(AH176)/$K$9</f>
        <v>397943.328595123</v>
      </c>
      <c r="AK176" s="0" t="e">
        <f aca="false">interpfn($Y$9:$Z$36,AI176,2)</f>
        <v>#VALUE!</v>
      </c>
      <c r="AL176" s="0" t="e">
        <f aca="false">interpfn($AA$9:$AB$27,AJ176,2)</f>
        <v>#VALUE!</v>
      </c>
      <c r="AM176" s="0" t="e">
        <f aca="false">IF(AI176&gt;0.45,1,AL176)</f>
        <v>#VALUE!</v>
      </c>
      <c r="AO176" s="0" t="e">
        <f aca="false">interpfn($AE$9:$AF$22,AI176,2)</f>
        <v>#VALUE!</v>
      </c>
      <c r="AP176" s="0" t="e">
        <f aca="false">AK176*AM176</f>
        <v>#VALUE!</v>
      </c>
      <c r="AQ176" s="0" t="e">
        <f aca="false">$AN$9*AO176</f>
        <v>#VALUE!</v>
      </c>
      <c r="AS176" s="0" t="e">
        <f aca="false">-$T$14*(COS(AH176))^2+$AR$9*(SIN(AH176))^2</f>
        <v>#VALUE!</v>
      </c>
      <c r="AT176" s="0" t="e">
        <f aca="false">-($U$14/2)*(2*COS(2*AH176)*SIN(AH176/2)+SIN(2*AH176)*COS(AH176/2)/2)+2*AQ85*AP85*$N$29*SIN(AH176)*COS(AH176)/$J$9</f>
        <v>#VALUE!</v>
      </c>
      <c r="AU176" s="0" t="e">
        <f aca="false">-($U$14/2)*SIN(2*AH176)*SIN(AH176/2)+AQ176*AP176*$N$29*(SIN(AH176)^2)/$J$9</f>
        <v>#VALUE!</v>
      </c>
      <c r="AV176" s="0" t="e">
        <f aca="false">($U$14*($F$9/12-$W$14)/(2*$K$9))*(2*COS(2*AH176)*SIN(AH176/2)/2+SIN(2*AH176)*COS(AH176/2)/2)+2*AP85*AQ85*$N$29*($F$9/12-$S$10)*SIN(AH176)*COS(AH176)/($J$9*$K$9)</f>
        <v>#VALUE!</v>
      </c>
      <c r="AW176" s="0" t="n">
        <f aca="false">AG176</f>
        <v>167</v>
      </c>
      <c r="AX176" s="0" t="e">
        <f aca="false">($U$14*($F$9/12-$W$14)/(2*$K$9)*SIN(2*AH176)*SIN(AH176/2)+AP176*AQ176*$N$29*($F$9/12-$S$10)*(SIN(AH176))^2/($J$9*$K$9))</f>
        <v>#VALUE!</v>
      </c>
      <c r="AY176" s="0" t="e">
        <f aca="false">AS176*COS(AH176)+AU176*SIN(AH176)</f>
        <v>#VALUE!</v>
      </c>
      <c r="AZ176" s="0" t="e">
        <f aca="false">AX176</f>
        <v>#VALUE!</v>
      </c>
      <c r="BA176" s="0" t="n">
        <f aca="false">AW176</f>
        <v>167</v>
      </c>
      <c r="BB176" s="0" t="e">
        <f aca="false">IF(AND(AV176&lt;0,AZ176*AZ177&lt;0),BA176+(BA177-BA176)*AZ176/(AZ177-AZ176),"")</f>
        <v>#VALUE!</v>
      </c>
      <c r="BC176" s="0" t="e">
        <f aca="false">IF(AND(AV176&lt;0,AZ176*AZ177&lt;0),AY176+(AY177-AY176)*AZ176/(AZ177-AZ176),"")</f>
        <v>#VALUE!</v>
      </c>
    </row>
    <row r="177" customFormat="false" ht="12.75" hidden="false" customHeight="false" outlineLevel="0" collapsed="false">
      <c r="AG177" s="0" t="n">
        <f aca="false">AG176+1</f>
        <v>168</v>
      </c>
      <c r="AH177" s="0" t="n">
        <f aca="false">AG177*PI()/180</f>
        <v>2.93215314335047</v>
      </c>
      <c r="AI177" s="0" t="n">
        <f aca="false">$D$9*SIN(AH177)</f>
        <v>0.415823381635519</v>
      </c>
      <c r="AJ177" s="19" t="n">
        <f aca="false">$E$9*$Q$10*SIN(AH177)/$K$9</f>
        <v>367800.322337612</v>
      </c>
      <c r="AK177" s="0" t="e">
        <f aca="false">interpfn($Y$9:$Z$36,AI177,2)</f>
        <v>#VALUE!</v>
      </c>
      <c r="AL177" s="0" t="e">
        <f aca="false">interpfn($AA$9:$AB$27,AJ177,2)</f>
        <v>#VALUE!</v>
      </c>
      <c r="AM177" s="0" t="e">
        <f aca="false">IF(AI177&gt;0.45,1,AL177)</f>
        <v>#VALUE!</v>
      </c>
      <c r="AO177" s="0" t="e">
        <f aca="false">interpfn($AE$9:$AF$22,AI177,2)</f>
        <v>#VALUE!</v>
      </c>
      <c r="AP177" s="0" t="e">
        <f aca="false">AK177*AM177</f>
        <v>#VALUE!</v>
      </c>
      <c r="AQ177" s="0" t="e">
        <f aca="false">$AN$9*AO177</f>
        <v>#VALUE!</v>
      </c>
      <c r="AS177" s="0" t="e">
        <f aca="false">-$T$14*(COS(AH177))^2+$AR$9*(SIN(AH177))^2</f>
        <v>#VALUE!</v>
      </c>
      <c r="AT177" s="0" t="e">
        <f aca="false">-($U$14/2)*(2*COS(2*AH177)*SIN(AH177/2)+SIN(2*AH177)*COS(AH177/2)/2)+2*AQ86*AP86*$N$29*SIN(AH177)*COS(AH177)/$J$9</f>
        <v>#VALUE!</v>
      </c>
      <c r="AU177" s="0" t="e">
        <f aca="false">-($U$14/2)*SIN(2*AH177)*SIN(AH177/2)+AQ177*AP177*$N$29*(SIN(AH177)^2)/$J$9</f>
        <v>#VALUE!</v>
      </c>
      <c r="AV177" s="0" t="e">
        <f aca="false">($U$14*($F$9/12-$W$14)/(2*$K$9))*(2*COS(2*AH177)*SIN(AH177/2)/2+SIN(2*AH177)*COS(AH177/2)/2)+2*AP86*AQ86*$N$29*($F$9/12-$S$10)*SIN(AH177)*COS(AH177)/($J$9*$K$9)</f>
        <v>#VALUE!</v>
      </c>
      <c r="AW177" s="0" t="n">
        <f aca="false">AG177</f>
        <v>168</v>
      </c>
      <c r="AX177" s="0" t="e">
        <f aca="false">($U$14*($F$9/12-$W$14)/(2*$K$9)*SIN(2*AH177)*SIN(AH177/2)+AP177*AQ177*$N$29*($F$9/12-$S$10)*(SIN(AH177))^2/($J$9*$K$9))</f>
        <v>#VALUE!</v>
      </c>
      <c r="AY177" s="0" t="e">
        <f aca="false">AS177*COS(AH177)+AU177*SIN(AH177)</f>
        <v>#VALUE!</v>
      </c>
      <c r="AZ177" s="0" t="e">
        <f aca="false">AX177</f>
        <v>#VALUE!</v>
      </c>
      <c r="BA177" s="0" t="n">
        <f aca="false">AW177</f>
        <v>168</v>
      </c>
      <c r="BB177" s="0" t="e">
        <f aca="false">IF(AND(AV177&lt;0,AZ177*AZ178&lt;0),BA177+(BA178-BA177)*AZ177/(AZ178-AZ177),"")</f>
        <v>#VALUE!</v>
      </c>
      <c r="BC177" s="0" t="e">
        <f aca="false">IF(AND(AV177&lt;0,AZ177*AZ178&lt;0),AY177+(AY178-AY177)*AZ177/(AZ178-AZ177),"")</f>
        <v>#VALUE!</v>
      </c>
    </row>
    <row r="178" customFormat="false" ht="12.75" hidden="false" customHeight="false" outlineLevel="0" collapsed="false">
      <c r="AG178" s="0" t="n">
        <f aca="false">AG177+1</f>
        <v>169</v>
      </c>
      <c r="AH178" s="0" t="n">
        <f aca="false">AG178*PI()/180</f>
        <v>2.94960643587042</v>
      </c>
      <c r="AI178" s="0" t="n">
        <f aca="false">$D$9*SIN(AH178)</f>
        <v>0.38161799075309</v>
      </c>
      <c r="AJ178" s="19" t="n">
        <f aca="false">$E$9*$Q$10*SIN(AH178)/$K$9</f>
        <v>337545.280538956</v>
      </c>
      <c r="AK178" s="0" t="e">
        <f aca="false">interpfn($Y$9:$Z$36,AI178,2)</f>
        <v>#VALUE!</v>
      </c>
      <c r="AL178" s="0" t="e">
        <f aca="false">interpfn($AA$9:$AB$27,AJ178,2)</f>
        <v>#VALUE!</v>
      </c>
      <c r="AM178" s="0" t="e">
        <f aca="false">IF(AI178&gt;0.45,1,AL178)</f>
        <v>#VALUE!</v>
      </c>
      <c r="AO178" s="0" t="e">
        <f aca="false">interpfn($AE$9:$AF$22,AI178,2)</f>
        <v>#VALUE!</v>
      </c>
      <c r="AP178" s="0" t="e">
        <f aca="false">AK178*AM178</f>
        <v>#VALUE!</v>
      </c>
      <c r="AQ178" s="0" t="e">
        <f aca="false">$AN$9*AO178</f>
        <v>#VALUE!</v>
      </c>
      <c r="AS178" s="0" t="e">
        <f aca="false">-$T$14*(COS(AH178))^2+$AR$9*(SIN(AH178))^2</f>
        <v>#VALUE!</v>
      </c>
      <c r="AT178" s="0" t="e">
        <f aca="false">-($U$14/2)*(2*COS(2*AH178)*SIN(AH178/2)+SIN(2*AH178)*COS(AH178/2)/2)+2*AQ87*AP87*$N$29*SIN(AH178)*COS(AH178)/$J$9</f>
        <v>#VALUE!</v>
      </c>
      <c r="AU178" s="0" t="e">
        <f aca="false">-($U$14/2)*SIN(2*AH178)*SIN(AH178/2)+AQ178*AP178*$N$29*(SIN(AH178)^2)/$J$9</f>
        <v>#VALUE!</v>
      </c>
      <c r="AV178" s="0" t="e">
        <f aca="false">($U$14*($F$9/12-$W$14)/(2*$K$9))*(2*COS(2*AH178)*SIN(AH178/2)/2+SIN(2*AH178)*COS(AH178/2)/2)+2*AP87*AQ87*$N$29*($F$9/12-$S$10)*SIN(AH178)*COS(AH178)/($J$9*$K$9)</f>
        <v>#VALUE!</v>
      </c>
      <c r="AW178" s="0" t="n">
        <f aca="false">AG178</f>
        <v>169</v>
      </c>
      <c r="AX178" s="0" t="e">
        <f aca="false">($U$14*($F$9/12-$W$14)/(2*$K$9)*SIN(2*AH178)*SIN(AH178/2)+AP178*AQ178*$N$29*($F$9/12-$S$10)*(SIN(AH178))^2/($J$9*$K$9))</f>
        <v>#VALUE!</v>
      </c>
      <c r="AY178" s="0" t="e">
        <f aca="false">AS178*COS(AH178)+AU178*SIN(AH178)</f>
        <v>#VALUE!</v>
      </c>
      <c r="AZ178" s="0" t="e">
        <f aca="false">AX178</f>
        <v>#VALUE!</v>
      </c>
      <c r="BA178" s="0" t="n">
        <f aca="false">AW178</f>
        <v>169</v>
      </c>
      <c r="BB178" s="0" t="e">
        <f aca="false">IF(AND(AV178&lt;0,AZ178*AZ179&lt;0),BA178+(BA179-BA178)*AZ178/(AZ179-AZ178),"")</f>
        <v>#VALUE!</v>
      </c>
      <c r="BC178" s="0" t="e">
        <f aca="false">IF(AND(AV178&lt;0,AZ178*AZ179&lt;0),AY178+(AY179-AY178)*AZ178/(AZ179-AZ178),"")</f>
        <v>#VALUE!</v>
      </c>
    </row>
    <row r="179" customFormat="false" ht="12.75" hidden="false" customHeight="false" outlineLevel="0" collapsed="false">
      <c r="AG179" s="0" t="n">
        <f aca="false">AG178+1</f>
        <v>170</v>
      </c>
      <c r="AH179" s="0" t="n">
        <f aca="false">AG179*PI()/180</f>
        <v>2.96705972839036</v>
      </c>
      <c r="AI179" s="0" t="n">
        <f aca="false">$D$9*SIN(AH179)</f>
        <v>0.347296355333861</v>
      </c>
      <c r="AJ179" s="19" t="n">
        <f aca="false">$E$9*$Q$10*SIN(AH179)/$K$9</f>
        <v>307187.419177972</v>
      </c>
      <c r="AK179" s="0" t="e">
        <f aca="false">interpfn($Y$9:$Z$36,AI179,2)</f>
        <v>#VALUE!</v>
      </c>
      <c r="AL179" s="0" t="e">
        <f aca="false">interpfn($AA$9:$AB$27,AJ179,2)</f>
        <v>#VALUE!</v>
      </c>
      <c r="AM179" s="0" t="e">
        <f aca="false">IF(AI179&gt;0.45,1,AL179)</f>
        <v>#VALUE!</v>
      </c>
      <c r="AO179" s="0" t="e">
        <f aca="false">interpfn($AE$9:$AF$22,AI179,2)</f>
        <v>#VALUE!</v>
      </c>
      <c r="AP179" s="0" t="e">
        <f aca="false">AK179*AM179</f>
        <v>#VALUE!</v>
      </c>
      <c r="AQ179" s="0" t="e">
        <f aca="false">$AN$9*AO179</f>
        <v>#VALUE!</v>
      </c>
      <c r="AS179" s="0" t="e">
        <f aca="false">-$T$14*(COS(AH179))^2+$AR$9*(SIN(AH179))^2</f>
        <v>#VALUE!</v>
      </c>
      <c r="AT179" s="0" t="e">
        <f aca="false">-($U$14/2)*(2*COS(2*AH179)*SIN(AH179/2)+SIN(2*AH179)*COS(AH179/2)/2)+2*AQ88*AP88*$N$29*SIN(AH179)*COS(AH179)/$J$9</f>
        <v>#VALUE!</v>
      </c>
      <c r="AU179" s="0" t="e">
        <f aca="false">-($U$14/2)*SIN(2*AH179)*SIN(AH179/2)+AQ179*AP179*$N$29*(SIN(AH179)^2)/$J$9</f>
        <v>#VALUE!</v>
      </c>
      <c r="AV179" s="0" t="e">
        <f aca="false">($U$14*($F$9/12-$W$14)/(2*$K$9))*(2*COS(2*AH179)*SIN(AH179/2)/2+SIN(2*AH179)*COS(AH179/2)/2)+2*AP88*AQ88*$N$29*($F$9/12-$S$10)*SIN(AH179)*COS(AH179)/($J$9*$K$9)</f>
        <v>#VALUE!</v>
      </c>
      <c r="AW179" s="0" t="n">
        <f aca="false">AG179</f>
        <v>170</v>
      </c>
      <c r="AX179" s="0" t="e">
        <f aca="false">($U$14*($F$9/12-$W$14)/(2*$K$9)*SIN(2*AH179)*SIN(AH179/2)+AP179*AQ179*$N$29*($F$9/12-$S$10)*(SIN(AH179))^2/($J$9*$K$9))</f>
        <v>#VALUE!</v>
      </c>
      <c r="AY179" s="0" t="e">
        <f aca="false">AS179*COS(AH179)+AU179*SIN(AH179)</f>
        <v>#VALUE!</v>
      </c>
      <c r="AZ179" s="0" t="e">
        <f aca="false">AX179</f>
        <v>#VALUE!</v>
      </c>
      <c r="BA179" s="0" t="n">
        <f aca="false">AW179</f>
        <v>170</v>
      </c>
      <c r="BB179" s="0" t="e">
        <f aca="false">IF(AND(AV179&lt;0,AZ179*AZ180&lt;0),BA179+(BA180-BA179)*AZ179/(AZ180-AZ179),"")</f>
        <v>#VALUE!</v>
      </c>
      <c r="BC179" s="0" t="e">
        <f aca="false">IF(AND(AV179&lt;0,AZ179*AZ180&lt;0),AY179+(AY180-AY179)*AZ179/(AZ180-AZ179),"")</f>
        <v>#VALUE!</v>
      </c>
    </row>
    <row r="180" customFormat="false" ht="12.75" hidden="false" customHeight="false" outlineLevel="0" collapsed="false">
      <c r="AG180" s="0" t="n">
        <f aca="false">AG179+1</f>
        <v>171</v>
      </c>
      <c r="AH180" s="0" t="n">
        <f aca="false">AG180*PI()/180</f>
        <v>2.9845130209103</v>
      </c>
      <c r="AI180" s="0" t="n">
        <f aca="false">$D$9*SIN(AH180)</f>
        <v>0.312868930080462</v>
      </c>
      <c r="AJ180" s="19" t="n">
        <f aca="false">$E$9*$Q$10*SIN(AH180)/$K$9</f>
        <v>276735.985553316</v>
      </c>
      <c r="AK180" s="0" t="e">
        <f aca="false">interpfn($Y$9:$Z$36,AI180,2)</f>
        <v>#VALUE!</v>
      </c>
      <c r="AL180" s="0" t="e">
        <f aca="false">interpfn($AA$9:$AB$27,AJ180,2)</f>
        <v>#VALUE!</v>
      </c>
      <c r="AM180" s="0" t="e">
        <f aca="false">IF(AI180&gt;0.45,1,AL180)</f>
        <v>#VALUE!</v>
      </c>
      <c r="AO180" s="0" t="e">
        <f aca="false">interpfn($AE$9:$AF$22,AI180,2)</f>
        <v>#VALUE!</v>
      </c>
      <c r="AP180" s="0" t="e">
        <f aca="false">AK180*AM180</f>
        <v>#VALUE!</v>
      </c>
      <c r="AQ180" s="0" t="e">
        <f aca="false">$AN$9*AO180</f>
        <v>#VALUE!</v>
      </c>
      <c r="AS180" s="0" t="e">
        <f aca="false">-$T$14*(COS(AH180))^2+$AR$9*(SIN(AH180))^2</f>
        <v>#VALUE!</v>
      </c>
      <c r="AT180" s="0" t="e">
        <f aca="false">-($U$14/2)*(2*COS(2*AH180)*SIN(AH180/2)+SIN(2*AH180)*COS(AH180/2)/2)+2*AQ89*AP89*$N$29*SIN(AH180)*COS(AH180)/$J$9</f>
        <v>#VALUE!</v>
      </c>
      <c r="AU180" s="0" t="e">
        <f aca="false">-($U$14/2)*SIN(2*AH180)*SIN(AH180/2)+AQ180*AP180*$N$29*(SIN(AH180)^2)/$J$9</f>
        <v>#VALUE!</v>
      </c>
      <c r="AV180" s="0" t="e">
        <f aca="false">($U$14*($F$9/12-$W$14)/(2*$K$9))*(2*COS(2*AH180)*SIN(AH180/2)/2+SIN(2*AH180)*COS(AH180/2)/2)+2*AP89*AQ89*$N$29*($F$9/12-$S$10)*SIN(AH180)*COS(AH180)/($J$9*$K$9)</f>
        <v>#VALUE!</v>
      </c>
      <c r="AW180" s="0" t="n">
        <f aca="false">AG180</f>
        <v>171</v>
      </c>
      <c r="AX180" s="0" t="e">
        <f aca="false">($U$14*($F$9/12-$W$14)/(2*$K$9)*SIN(2*AH180)*SIN(AH180/2)+AP180*AQ180*$N$29*($F$9/12-$S$10)*(SIN(AH180))^2/($J$9*$K$9))</f>
        <v>#VALUE!</v>
      </c>
      <c r="AY180" s="0" t="e">
        <f aca="false">AS180*COS(AH180)+AU180*SIN(AH180)</f>
        <v>#VALUE!</v>
      </c>
      <c r="AZ180" s="0" t="e">
        <f aca="false">AX180</f>
        <v>#VALUE!</v>
      </c>
      <c r="BA180" s="0" t="n">
        <f aca="false">AW180</f>
        <v>171</v>
      </c>
      <c r="BB180" s="0" t="e">
        <f aca="false">IF(AND(AV180&lt;0,AZ180*AZ181&lt;0),BA180+(BA181-BA180)*AZ180/(AZ181-AZ180),"")</f>
        <v>#VALUE!</v>
      </c>
      <c r="BC180" s="0" t="e">
        <f aca="false">IF(AND(AV180&lt;0,AZ180*AZ181&lt;0),AY180+(AY181-AY180)*AZ180/(AZ181-AZ180),"")</f>
        <v>#VALUE!</v>
      </c>
    </row>
    <row r="181" customFormat="false" ht="12.75" hidden="false" customHeight="false" outlineLevel="0" collapsed="false">
      <c r="AG181" s="0" t="n">
        <f aca="false">AG180+1</f>
        <v>172</v>
      </c>
      <c r="AH181" s="0" t="n">
        <f aca="false">AG181*PI()/180</f>
        <v>3.00196631343025</v>
      </c>
      <c r="AI181" s="0" t="n">
        <f aca="false">$D$9*SIN(AH181)</f>
        <v>0.278346201920132</v>
      </c>
      <c r="AJ181" s="19" t="n">
        <f aca="false">$E$9*$Q$10*SIN(AH181)/$K$9</f>
        <v>246200.255466658</v>
      </c>
      <c r="AK181" s="0" t="e">
        <f aca="false">interpfn($Y$9:$Z$36,AI181,2)</f>
        <v>#VALUE!</v>
      </c>
      <c r="AL181" s="0" t="e">
        <f aca="false">interpfn($AA$9:$AB$27,AJ181,2)</f>
        <v>#VALUE!</v>
      </c>
      <c r="AM181" s="0" t="e">
        <f aca="false">IF(AI181&gt;0.45,1,AL181)</f>
        <v>#VALUE!</v>
      </c>
      <c r="AO181" s="0" t="e">
        <f aca="false">interpfn($AE$9:$AF$22,AI181,2)</f>
        <v>#VALUE!</v>
      </c>
      <c r="AP181" s="0" t="e">
        <f aca="false">AK181*AM181</f>
        <v>#VALUE!</v>
      </c>
      <c r="AQ181" s="0" t="e">
        <f aca="false">$AN$9*AO181</f>
        <v>#VALUE!</v>
      </c>
      <c r="AS181" s="0" t="e">
        <f aca="false">-$T$14*(COS(AH181))^2+$AR$9*(SIN(AH181))^2</f>
        <v>#VALUE!</v>
      </c>
      <c r="AT181" s="0" t="e">
        <f aca="false">-($U$14/2)*(2*COS(2*AH181)*SIN(AH181/2)+SIN(2*AH181)*COS(AH181/2)/2)+2*AQ90*AP90*$N$29*SIN(AH181)*COS(AH181)/$J$9</f>
        <v>#VALUE!</v>
      </c>
      <c r="AU181" s="0" t="e">
        <f aca="false">-($U$14/2)*SIN(2*AH181)*SIN(AH181/2)+AQ181*AP181*$N$29*(SIN(AH181)^2)/$J$9</f>
        <v>#VALUE!</v>
      </c>
      <c r="AV181" s="0" t="e">
        <f aca="false">($U$14*($F$9/12-$W$14)/(2*$K$9))*(2*COS(2*AH181)*SIN(AH181/2)/2+SIN(2*AH181)*COS(AH181/2)/2)+2*AP90*AQ90*$N$29*($F$9/12-$S$10)*SIN(AH181)*COS(AH181)/($J$9*$K$9)</f>
        <v>#VALUE!</v>
      </c>
      <c r="AW181" s="0" t="n">
        <f aca="false">AG181</f>
        <v>172</v>
      </c>
      <c r="AX181" s="0" t="e">
        <f aca="false">($U$14*($F$9/12-$W$14)/(2*$K$9)*SIN(2*AH181)*SIN(AH181/2)+AP181*AQ181*$N$29*($F$9/12-$S$10)*(SIN(AH181))^2/($J$9*$K$9))</f>
        <v>#VALUE!</v>
      </c>
      <c r="AY181" s="0" t="e">
        <f aca="false">AS181*COS(AH181)+AU181*SIN(AH181)</f>
        <v>#VALUE!</v>
      </c>
      <c r="AZ181" s="0" t="e">
        <f aca="false">AX181</f>
        <v>#VALUE!</v>
      </c>
      <c r="BA181" s="0" t="n">
        <f aca="false">AW181</f>
        <v>172</v>
      </c>
      <c r="BB181" s="0" t="e">
        <f aca="false">IF(AND(AV181&lt;0,AZ181*AZ182&lt;0),BA181+(BA182-BA181)*AZ181/(AZ182-AZ181),"")</f>
        <v>#VALUE!</v>
      </c>
      <c r="BC181" s="0" t="e">
        <f aca="false">IF(AND(AV181&lt;0,AZ181*AZ182&lt;0),AY181+(AY182-AY181)*AZ181/(AZ182-AZ181),"")</f>
        <v>#VALUE!</v>
      </c>
    </row>
    <row r="182" customFormat="false" ht="12.75" hidden="false" customHeight="false" outlineLevel="0" collapsed="false">
      <c r="AG182" s="0" t="n">
        <f aca="false">AG181+1</f>
        <v>173</v>
      </c>
      <c r="AH182" s="0" t="n">
        <f aca="false">AG182*PI()/180</f>
        <v>3.01941960595019</v>
      </c>
      <c r="AI182" s="0" t="n">
        <f aca="false">$D$9*SIN(AH182)</f>
        <v>0.243738686810295</v>
      </c>
      <c r="AJ182" s="19" t="n">
        <f aca="false">$E$9*$Q$10*SIN(AH182)/$K$9</f>
        <v>215589.53039719</v>
      </c>
      <c r="AK182" s="0" t="e">
        <f aca="false">interpfn($Y$9:$Z$36,AI182,2)</f>
        <v>#VALUE!</v>
      </c>
      <c r="AL182" s="0" t="e">
        <f aca="false">interpfn($AA$9:$AB$27,AJ182,2)</f>
        <v>#VALUE!</v>
      </c>
      <c r="AM182" s="0" t="e">
        <f aca="false">IF(AI182&gt;0.45,1,AL182)</f>
        <v>#VALUE!</v>
      </c>
      <c r="AO182" s="0" t="e">
        <f aca="false">interpfn($AE$9:$AF$22,AI182,2)</f>
        <v>#VALUE!</v>
      </c>
      <c r="AP182" s="0" t="e">
        <f aca="false">AK182*AM182</f>
        <v>#VALUE!</v>
      </c>
      <c r="AQ182" s="0" t="e">
        <f aca="false">$AN$9*AO182</f>
        <v>#VALUE!</v>
      </c>
      <c r="AS182" s="0" t="e">
        <f aca="false">-$T$14*(COS(AH182))^2+$AR$9*(SIN(AH182))^2</f>
        <v>#VALUE!</v>
      </c>
      <c r="AT182" s="0" t="e">
        <f aca="false">-($U$14/2)*(2*COS(2*AH182)*SIN(AH182/2)+SIN(2*AH182)*COS(AH182/2)/2)+2*AQ91*AP91*$N$29*SIN(AH182)*COS(AH182)/$J$9</f>
        <v>#VALUE!</v>
      </c>
      <c r="AU182" s="0" t="e">
        <f aca="false">-($U$14/2)*SIN(2*AH182)*SIN(AH182/2)+AQ182*AP182*$N$29*(SIN(AH182)^2)/$J$9</f>
        <v>#VALUE!</v>
      </c>
      <c r="AV182" s="0" t="e">
        <f aca="false">($U$14*($F$9/12-$W$14)/(2*$K$9))*(2*COS(2*AH182)*SIN(AH182/2)/2+SIN(2*AH182)*COS(AH182/2)/2)+2*AP91*AQ91*$N$29*($F$9/12-$S$10)*SIN(AH182)*COS(AH182)/($J$9*$K$9)</f>
        <v>#VALUE!</v>
      </c>
      <c r="AW182" s="0" t="n">
        <f aca="false">AG182</f>
        <v>173</v>
      </c>
      <c r="AX182" s="0" t="e">
        <f aca="false">($U$14*($F$9/12-$W$14)/(2*$K$9)*SIN(2*AH182)*SIN(AH182/2)+AP182*AQ182*$N$29*($F$9/12-$S$10)*(SIN(AH182))^2/($J$9*$K$9))</f>
        <v>#VALUE!</v>
      </c>
      <c r="AY182" s="0" t="e">
        <f aca="false">AS182*COS(AH182)+AU182*SIN(AH182)</f>
        <v>#VALUE!</v>
      </c>
      <c r="AZ182" s="0" t="e">
        <f aca="false">AX182</f>
        <v>#VALUE!</v>
      </c>
      <c r="BA182" s="0" t="n">
        <f aca="false">AW182</f>
        <v>173</v>
      </c>
      <c r="BB182" s="0" t="e">
        <f aca="false">IF(AND(AV182&lt;0,AZ182*AZ183&lt;0),BA182+(BA183-BA182)*AZ182/(AZ183-AZ182),"")</f>
        <v>#VALUE!</v>
      </c>
      <c r="BC182" s="0" t="e">
        <f aca="false">IF(AND(AV182&lt;0,AZ182*AZ183&lt;0),AY182+(AY183-AY182)*AZ182/(AZ183-AZ182),"")</f>
        <v>#VALUE!</v>
      </c>
    </row>
    <row r="183" customFormat="false" ht="12.75" hidden="false" customHeight="false" outlineLevel="0" collapsed="false">
      <c r="AG183" s="0" t="n">
        <f aca="false">AG182+1</f>
        <v>174</v>
      </c>
      <c r="AH183" s="0" t="n">
        <f aca="false">AG183*PI()/180</f>
        <v>3.03687289847013</v>
      </c>
      <c r="AI183" s="0" t="n">
        <f aca="false">$D$9*SIN(AH183)</f>
        <v>0.209056926535307</v>
      </c>
      <c r="AJ183" s="19" t="n">
        <f aca="false">$E$9*$Q$10*SIN(AH183)/$K$9</f>
        <v>184913.1346683</v>
      </c>
      <c r="AK183" s="0" t="e">
        <f aca="false">interpfn($Y$9:$Z$36,AI183,2)</f>
        <v>#VALUE!</v>
      </c>
      <c r="AL183" s="0" t="e">
        <f aca="false">interpfn($AA$9:$AB$27,AJ183,2)</f>
        <v>#VALUE!</v>
      </c>
      <c r="AM183" s="0" t="e">
        <f aca="false">IF(AI183&gt;0.45,1,AL183)</f>
        <v>#VALUE!</v>
      </c>
      <c r="AO183" s="0" t="e">
        <f aca="false">interpfn($AE$9:$AF$22,AI183,2)</f>
        <v>#VALUE!</v>
      </c>
      <c r="AP183" s="0" t="e">
        <f aca="false">AK183*AM183</f>
        <v>#VALUE!</v>
      </c>
      <c r="AQ183" s="0" t="e">
        <f aca="false">$AN$9*AO183</f>
        <v>#VALUE!</v>
      </c>
      <c r="AS183" s="0" t="e">
        <f aca="false">-$T$14*(COS(AH183))^2+$AR$9*(SIN(AH183))^2</f>
        <v>#VALUE!</v>
      </c>
      <c r="AT183" s="0" t="e">
        <f aca="false">-($U$14/2)*(2*COS(2*AH183)*SIN(AH183/2)+SIN(2*AH183)*COS(AH183/2)/2)+2*AQ92*AP92*$N$29*SIN(AH183)*COS(AH183)/$J$9</f>
        <v>#VALUE!</v>
      </c>
      <c r="AU183" s="0" t="e">
        <f aca="false">-($U$14/2)*SIN(2*AH183)*SIN(AH183/2)+AQ183*AP183*$N$29*(SIN(AH183)^2)/$J$9</f>
        <v>#VALUE!</v>
      </c>
      <c r="AV183" s="0" t="e">
        <f aca="false">($U$14*($F$9/12-$W$14)/(2*$K$9))*(2*COS(2*AH183)*SIN(AH183/2)/2+SIN(2*AH183)*COS(AH183/2)/2)+2*AP92*AQ92*$N$29*($F$9/12-$S$10)*SIN(AH183)*COS(AH183)/($J$9*$K$9)</f>
        <v>#VALUE!</v>
      </c>
      <c r="AW183" s="0" t="n">
        <f aca="false">AG183</f>
        <v>174</v>
      </c>
      <c r="AX183" s="0" t="e">
        <f aca="false">($U$14*($F$9/12-$W$14)/(2*$K$9)*SIN(2*AH183)*SIN(AH183/2)+AP183*AQ183*$N$29*($F$9/12-$S$10)*(SIN(AH183))^2/($J$9*$K$9))</f>
        <v>#VALUE!</v>
      </c>
      <c r="AY183" s="0" t="e">
        <f aca="false">AS183*COS(AH183)+AU183*SIN(AH183)</f>
        <v>#VALUE!</v>
      </c>
      <c r="AZ183" s="0" t="e">
        <f aca="false">AX183</f>
        <v>#VALUE!</v>
      </c>
      <c r="BA183" s="0" t="n">
        <f aca="false">AW183</f>
        <v>174</v>
      </c>
      <c r="BB183" s="0" t="e">
        <f aca="false">IF(AND(AV183&lt;0,AZ183*AZ184&lt;0),BA183+(BA184-BA183)*AZ183/(AZ184-AZ183),"")</f>
        <v>#VALUE!</v>
      </c>
      <c r="BC183" s="0" t="e">
        <f aca="false">IF(AND(AV183&lt;0,AZ183*AZ184&lt;0),AY183+(AY184-AY183)*AZ183/(AZ184-AZ183),"")</f>
        <v>#VALUE!</v>
      </c>
    </row>
    <row r="184" customFormat="false" ht="12.75" hidden="false" customHeight="false" outlineLevel="0" collapsed="false">
      <c r="AG184" s="0" t="n">
        <f aca="false">AG183+1</f>
        <v>175</v>
      </c>
      <c r="AH184" s="0" t="n">
        <f aca="false">AG184*PI()/180</f>
        <v>3.05432619099008</v>
      </c>
      <c r="AI184" s="0" t="n">
        <f aca="false">$D$9*SIN(AH184)</f>
        <v>0.174311485495317</v>
      </c>
      <c r="AJ184" s="19" t="n">
        <f aca="false">$E$9*$Q$10*SIN(AH184)/$K$9</f>
        <v>154180.412607297</v>
      </c>
      <c r="AK184" s="0" t="e">
        <f aca="false">interpfn($Y$9:$Z$36,AI184,2)</f>
        <v>#VALUE!</v>
      </c>
      <c r="AL184" s="0" t="e">
        <f aca="false">interpfn($AA$9:$AB$27,AJ184,2)</f>
        <v>#VALUE!</v>
      </c>
      <c r="AM184" s="0" t="e">
        <f aca="false">IF(AI184&gt;0.45,1,AL184)</f>
        <v>#VALUE!</v>
      </c>
      <c r="AO184" s="0" t="e">
        <f aca="false">interpfn($AE$9:$AF$22,AI184,2)</f>
        <v>#VALUE!</v>
      </c>
      <c r="AP184" s="0" t="e">
        <f aca="false">AK184*AM184</f>
        <v>#VALUE!</v>
      </c>
      <c r="AQ184" s="0" t="e">
        <f aca="false">$AN$9*AO184</f>
        <v>#VALUE!</v>
      </c>
      <c r="AS184" s="0" t="e">
        <f aca="false">-$T$14*(COS(AH184))^2+$AR$9*(SIN(AH184))^2</f>
        <v>#VALUE!</v>
      </c>
      <c r="AT184" s="0" t="e">
        <f aca="false">-($U$14/2)*(2*COS(2*AH184)*SIN(AH184/2)+SIN(2*AH184)*COS(AH184/2)/2)+2*AQ93*AP93*$N$29*SIN(AH184)*COS(AH184)/$J$9</f>
        <v>#VALUE!</v>
      </c>
      <c r="AU184" s="0" t="e">
        <f aca="false">-($U$14/2)*SIN(2*AH184)*SIN(AH184/2)+AQ184*AP184*$N$29*(SIN(AH184)^2)/$J$9</f>
        <v>#VALUE!</v>
      </c>
      <c r="AV184" s="0" t="e">
        <f aca="false">($U$14*($F$9/12-$W$14)/(2*$K$9))*(2*COS(2*AH184)*SIN(AH184/2)/2+SIN(2*AH184)*COS(AH184/2)/2)+2*AP93*AQ93*$N$29*($F$9/12-$S$10)*SIN(AH184)*COS(AH184)/($J$9*$K$9)</f>
        <v>#VALUE!</v>
      </c>
      <c r="AW184" s="0" t="n">
        <f aca="false">AG184</f>
        <v>175</v>
      </c>
      <c r="AX184" s="0" t="e">
        <f aca="false">($U$14*($F$9/12-$W$14)/(2*$K$9)*SIN(2*AH184)*SIN(AH184/2)+AP184*AQ184*$N$29*($F$9/12-$S$10)*(SIN(AH184))^2/($J$9*$K$9))</f>
        <v>#VALUE!</v>
      </c>
      <c r="AY184" s="0" t="e">
        <f aca="false">AS184*COS(AH184)+AU184*SIN(AH184)</f>
        <v>#VALUE!</v>
      </c>
      <c r="AZ184" s="0" t="e">
        <f aca="false">AX184</f>
        <v>#VALUE!</v>
      </c>
      <c r="BA184" s="0" t="n">
        <f aca="false">AW184</f>
        <v>175</v>
      </c>
      <c r="BB184" s="0" t="e">
        <f aca="false">IF(AND(AV184&lt;0,AZ184*AZ185&lt;0),BA184+(BA185-BA184)*AZ184/(AZ185-AZ184),"")</f>
        <v>#VALUE!</v>
      </c>
      <c r="BC184" s="0" t="e">
        <f aca="false">IF(AND(AV184&lt;0,AZ184*AZ185&lt;0),AY184+(AY185-AY184)*AZ184/(AZ185-AZ184),"")</f>
        <v>#VALUE!</v>
      </c>
    </row>
    <row r="185" customFormat="false" ht="12.75" hidden="false" customHeight="false" outlineLevel="0" collapsed="false">
      <c r="AG185" s="0" t="n">
        <f aca="false">AG184+1</f>
        <v>176</v>
      </c>
      <c r="AH185" s="0" t="n">
        <f aca="false">AG185*PI()/180</f>
        <v>3.07177948351002</v>
      </c>
      <c r="AI185" s="0" t="n">
        <f aca="false">$D$9*SIN(AH185)</f>
        <v>0.139512947488251</v>
      </c>
      <c r="AJ185" s="19" t="n">
        <f aca="false">$E$9*$Q$10*SIN(AH185)/$K$9</f>
        <v>123400.725699033</v>
      </c>
      <c r="AK185" s="0" t="e">
        <f aca="false">interpfn($Y$9:$Z$36,AI185,2)</f>
        <v>#VALUE!</v>
      </c>
      <c r="AL185" s="0" t="e">
        <f aca="false">interpfn($AA$9:$AB$27,AJ185,2)</f>
        <v>#VALUE!</v>
      </c>
      <c r="AM185" s="0" t="e">
        <f aca="false">IF(AI185&gt;0.45,1,AL185)</f>
        <v>#VALUE!</v>
      </c>
      <c r="AO185" s="0" t="e">
        <f aca="false">interpfn($AE$9:$AF$22,AI185,2)</f>
        <v>#VALUE!</v>
      </c>
      <c r="AP185" s="0" t="e">
        <f aca="false">AK185*AM185</f>
        <v>#VALUE!</v>
      </c>
      <c r="AQ185" s="0" t="e">
        <f aca="false">$AN$9*AO185</f>
        <v>#VALUE!</v>
      </c>
      <c r="AS185" s="0" t="e">
        <f aca="false">-$T$14*(COS(AH185))^2+$AR$9*(SIN(AH185))^2</f>
        <v>#VALUE!</v>
      </c>
      <c r="AT185" s="0" t="e">
        <f aca="false">-($U$14/2)*(2*COS(2*AH185)*SIN(AH185/2)+SIN(2*AH185)*COS(AH185/2)/2)+2*AQ94*AP94*$N$29*SIN(AH185)*COS(AH185)/$J$9</f>
        <v>#VALUE!</v>
      </c>
      <c r="AU185" s="0" t="e">
        <f aca="false">-($U$14/2)*SIN(2*AH185)*SIN(AH185/2)+AQ185*AP185*$N$29*(SIN(AH185)^2)/$J$9</f>
        <v>#VALUE!</v>
      </c>
      <c r="AV185" s="0" t="e">
        <f aca="false">($U$14*($F$9/12-$W$14)/(2*$K$9))*(2*COS(2*AH185)*SIN(AH185/2)/2+SIN(2*AH185)*COS(AH185/2)/2)+2*AP94*AQ94*$N$29*($F$9/12-$S$10)*SIN(AH185)*COS(AH185)/($J$9*$K$9)</f>
        <v>#VALUE!</v>
      </c>
      <c r="AW185" s="0" t="n">
        <f aca="false">AG185</f>
        <v>176</v>
      </c>
      <c r="AX185" s="0" t="e">
        <f aca="false">($U$14*($F$9/12-$W$14)/(2*$K$9)*SIN(2*AH185)*SIN(AH185/2)+AP185*AQ185*$N$29*($F$9/12-$S$10)*(SIN(AH185))^2/($J$9*$K$9))</f>
        <v>#VALUE!</v>
      </c>
      <c r="AY185" s="0" t="e">
        <f aca="false">AS185*COS(AH185)+AU185*SIN(AH185)</f>
        <v>#VALUE!</v>
      </c>
      <c r="AZ185" s="0" t="e">
        <f aca="false">AX185</f>
        <v>#VALUE!</v>
      </c>
      <c r="BA185" s="0" t="n">
        <f aca="false">AW185</f>
        <v>176</v>
      </c>
      <c r="BB185" s="0" t="e">
        <f aca="false">IF(AND(AV185&lt;0,AZ185*AZ186&lt;0),BA185+(BA186-BA185)*AZ185/(AZ186-AZ185),"")</f>
        <v>#VALUE!</v>
      </c>
      <c r="BC185" s="0" t="e">
        <f aca="false">IF(AND(AV185&lt;0,AZ185*AZ186&lt;0),AY185+(AY186-AY185)*AZ185/(AZ186-AZ185),"")</f>
        <v>#VALUE!</v>
      </c>
    </row>
    <row r="186" customFormat="false" ht="12.75" hidden="false" customHeight="false" outlineLevel="0" collapsed="false">
      <c r="AG186" s="0" t="n">
        <f aca="false">AG185+1</f>
        <v>177</v>
      </c>
      <c r="AH186" s="0" t="n">
        <f aca="false">AG186*PI()/180</f>
        <v>3.08923277602996</v>
      </c>
      <c r="AI186" s="0" t="n">
        <f aca="false">$D$9*SIN(AH186)</f>
        <v>0.104671912485888</v>
      </c>
      <c r="AJ186" s="19" t="n">
        <f aca="false">$E$9*$Q$10*SIN(AH186)/$K$9</f>
        <v>92583.4497343123</v>
      </c>
      <c r="AK186" s="0" t="e">
        <f aca="false">interpfn($Y$9:$Z$36,AI186,2)</f>
        <v>#VALUE!</v>
      </c>
      <c r="AL186" s="0" t="e">
        <f aca="false">interpfn($AA$9:$AB$27,AJ186,2)</f>
        <v>#VALUE!</v>
      </c>
      <c r="AM186" s="0" t="e">
        <f aca="false">IF(AI186&gt;0.45,1,AL186)</f>
        <v>#VALUE!</v>
      </c>
      <c r="AO186" s="0" t="e">
        <f aca="false">interpfn($AE$9:$AF$22,AI186,2)</f>
        <v>#VALUE!</v>
      </c>
      <c r="AP186" s="0" t="e">
        <f aca="false">AK186*AM186</f>
        <v>#VALUE!</v>
      </c>
      <c r="AQ186" s="0" t="e">
        <f aca="false">$AN$9*AO186</f>
        <v>#VALUE!</v>
      </c>
      <c r="AS186" s="0" t="e">
        <f aca="false">-$T$14*(COS(AH186))^2+$AR$9*(SIN(AH186))^2</f>
        <v>#VALUE!</v>
      </c>
      <c r="AT186" s="0" t="e">
        <f aca="false">-($U$14/2)*(2*COS(2*AH186)*SIN(AH186/2)+SIN(2*AH186)*COS(AH186/2)/2)+2*AQ95*AP95*$N$29*SIN(AH186)*COS(AH186)/$J$9</f>
        <v>#VALUE!</v>
      </c>
      <c r="AU186" s="0" t="e">
        <f aca="false">-($U$14/2)*SIN(2*AH186)*SIN(AH186/2)+AQ186*AP186*$N$29*(SIN(AH186)^2)/$J$9</f>
        <v>#VALUE!</v>
      </c>
      <c r="AV186" s="0" t="e">
        <f aca="false">($U$14*($F$9/12-$W$14)/(2*$K$9))*(2*COS(2*AH186)*SIN(AH186/2)/2+SIN(2*AH186)*COS(AH186/2)/2)+2*AP95*AQ95*$N$29*($F$9/12-$S$10)*SIN(AH186)*COS(AH186)/($J$9*$K$9)</f>
        <v>#VALUE!</v>
      </c>
      <c r="AW186" s="0" t="n">
        <f aca="false">AG186</f>
        <v>177</v>
      </c>
      <c r="AX186" s="0" t="e">
        <f aca="false">($U$14*($F$9/12-$W$14)/(2*$K$9)*SIN(2*AH186)*SIN(AH186/2)+AP186*AQ186*$N$29*($F$9/12-$S$10)*(SIN(AH186))^2/($J$9*$K$9))</f>
        <v>#VALUE!</v>
      </c>
      <c r="AY186" s="0" t="e">
        <f aca="false">AS186*COS(AH186)+AU186*SIN(AH186)</f>
        <v>#VALUE!</v>
      </c>
      <c r="AZ186" s="0" t="e">
        <f aca="false">AX186</f>
        <v>#VALUE!</v>
      </c>
      <c r="BA186" s="0" t="n">
        <f aca="false">AW186</f>
        <v>177</v>
      </c>
      <c r="BB186" s="0" t="e">
        <f aca="false">IF(AND(AV186&lt;0,AZ186*AZ187&lt;0),BA186+(BA187-BA186)*AZ186/(AZ187-AZ186),"")</f>
        <v>#VALUE!</v>
      </c>
      <c r="BC186" s="0" t="e">
        <f aca="false">IF(AND(AV186&lt;0,AZ186*AZ187&lt;0),AY186+(AY187-AY186)*AZ186/(AZ187-AZ186),"")</f>
        <v>#VALUE!</v>
      </c>
    </row>
    <row r="187" customFormat="false" ht="12.75" hidden="false" customHeight="false" outlineLevel="0" collapsed="false">
      <c r="AG187" s="0" t="n">
        <f aca="false">AG186+1</f>
        <v>178</v>
      </c>
      <c r="AH187" s="0" t="n">
        <f aca="false">AG187*PI()/180</f>
        <v>3.10668606854991</v>
      </c>
      <c r="AI187" s="0" t="n">
        <f aca="false">$D$9*SIN(AH187)</f>
        <v>0.0697989934050014</v>
      </c>
      <c r="AJ187" s="19" t="n">
        <f aca="false">$E$9*$Q$10*SIN(AH187)/$K$9</f>
        <v>61737.9719539262</v>
      </c>
      <c r="AK187" s="0" t="e">
        <f aca="false">interpfn($Y$9:$Z$36,AI187,2)</f>
        <v>#VALUE!</v>
      </c>
      <c r="AL187" s="0" t="e">
        <f aca="false">interpfn($AA$9:$AB$27,AJ187,2)</f>
        <v>#VALUE!</v>
      </c>
      <c r="AM187" s="0" t="e">
        <f aca="false">IF(AI187&gt;0.45,1,AL187)</f>
        <v>#VALUE!</v>
      </c>
      <c r="AO187" s="0" t="e">
        <f aca="false">interpfn($AE$9:$AF$22,AI187,2)</f>
        <v>#VALUE!</v>
      </c>
      <c r="AP187" s="0" t="e">
        <f aca="false">AK187*AM187</f>
        <v>#VALUE!</v>
      </c>
      <c r="AQ187" s="0" t="e">
        <f aca="false">$AN$9*AO187</f>
        <v>#VALUE!</v>
      </c>
      <c r="AS187" s="0" t="e">
        <f aca="false">-$T$14*(COS(AH187))^2+$AR$9*(SIN(AH187))^2</f>
        <v>#VALUE!</v>
      </c>
      <c r="AT187" s="0" t="e">
        <f aca="false">-($U$14/2)*(2*COS(2*AH187)*SIN(AH187/2)+SIN(2*AH187)*COS(AH187/2)/2)+2*AQ96*AP96*$N$29*SIN(AH187)*COS(AH187)/$J$9</f>
        <v>#VALUE!</v>
      </c>
      <c r="AU187" s="0" t="e">
        <f aca="false">-($U$14/2)*SIN(2*AH187)*SIN(AH187/2)+AQ187*AP187*$N$29*(SIN(AH187)^2)/$J$9</f>
        <v>#VALUE!</v>
      </c>
      <c r="AV187" s="0" t="e">
        <f aca="false">($U$14*($F$9/12-$W$14)/(2*$K$9))*(2*COS(2*AH187)*SIN(AH187/2)/2+SIN(2*AH187)*COS(AH187/2)/2)+2*AP96*AQ96*$N$29*($F$9/12-$S$10)*SIN(AH187)*COS(AH187)/($J$9*$K$9)</f>
        <v>#VALUE!</v>
      </c>
      <c r="AW187" s="0" t="n">
        <f aca="false">AG187</f>
        <v>178</v>
      </c>
      <c r="AX187" s="0" t="e">
        <f aca="false">($U$14*($F$9/12-$W$14)/(2*$K$9)*SIN(2*AH187)*SIN(AH187/2)+AP187*AQ187*$N$29*($F$9/12-$S$10)*(SIN(AH187))^2/($J$9*$K$9))</f>
        <v>#VALUE!</v>
      </c>
      <c r="AY187" s="0" t="e">
        <f aca="false">AS187*COS(AH187)+AU187*SIN(AH187)</f>
        <v>#VALUE!</v>
      </c>
      <c r="AZ187" s="0" t="e">
        <f aca="false">AX187</f>
        <v>#VALUE!</v>
      </c>
      <c r="BA187" s="0" t="n">
        <f aca="false">AW187</f>
        <v>178</v>
      </c>
      <c r="BB187" s="0" t="e">
        <f aca="false">IF(AND(AV187&lt;0,AZ187*AZ188&lt;0),BA187+(BA188-BA187)*AZ187/(AZ188-AZ187),"")</f>
        <v>#VALUE!</v>
      </c>
      <c r="BC187" s="0" t="e">
        <f aca="false">IF(AND(AV187&lt;0,AZ187*AZ188&lt;0),AY187+(AY188-AY187)*AZ187/(AZ188-AZ187),"")</f>
        <v>#VALUE!</v>
      </c>
    </row>
    <row r="188" customFormat="false" ht="12.75" hidden="false" customHeight="false" outlineLevel="0" collapsed="false">
      <c r="AG188" s="0" t="n">
        <f aca="false">AG187+1</f>
        <v>179</v>
      </c>
      <c r="AH188" s="0" t="n">
        <f aca="false">AG188*PI()/180</f>
        <v>3.12413936106985</v>
      </c>
      <c r="AI188" s="0" t="n">
        <f aca="false">$D$9*SIN(AH188)</f>
        <v>0.0349048128745669</v>
      </c>
      <c r="AJ188" s="19" t="n">
        <f aca="false">$E$9*$Q$10*SIN(AH188)/$K$9</f>
        <v>30873.6881892145</v>
      </c>
      <c r="AK188" s="0" t="e">
        <f aca="false">interpfn($Y$9:$Z$36,AI188,2)</f>
        <v>#VALUE!</v>
      </c>
      <c r="AL188" s="0" t="e">
        <f aca="false">interpfn($AA$9:$AB$27,AJ188,2)</f>
        <v>#VALUE!</v>
      </c>
      <c r="AM188" s="0" t="e">
        <f aca="false">IF(AI188&gt;0.45,1,AL188)</f>
        <v>#VALUE!</v>
      </c>
      <c r="AO188" s="0" t="e">
        <f aca="false">interpfn($AE$9:$AF$22,AI188,2)</f>
        <v>#VALUE!</v>
      </c>
      <c r="AP188" s="0" t="e">
        <f aca="false">AK188*AM188</f>
        <v>#VALUE!</v>
      </c>
      <c r="AQ188" s="0" t="e">
        <f aca="false">$AN$9*AO188</f>
        <v>#VALUE!</v>
      </c>
      <c r="AS188" s="0" t="e">
        <f aca="false">-$T$14*(COS(AH188))^2+$AR$9*(SIN(AH188))^2</f>
        <v>#VALUE!</v>
      </c>
      <c r="AT188" s="0" t="e">
        <f aca="false">-($U$14/2)*(2*COS(2*AH188)*SIN(AH188/2)+SIN(2*AH188)*COS(AH188/2)/2)+2*AQ97*AP97*$N$29*SIN(AH188)*COS(AH188)/$J$9</f>
        <v>#VALUE!</v>
      </c>
      <c r="AU188" s="0" t="e">
        <f aca="false">-($U$14/2)*SIN(2*AH188)*SIN(AH188/2)+AQ188*AP188*$N$29*(SIN(AH188)^2)/$J$9</f>
        <v>#VALUE!</v>
      </c>
      <c r="AV188" s="0" t="e">
        <f aca="false">($U$14*($F$9/12-$W$14)/(2*$K$9))*(2*COS(2*AH188)*SIN(AH188/2)/2+SIN(2*AH188)*COS(AH188/2)/2)+2*AP97*AQ97*$N$29*($F$9/12-$S$10)*SIN(AH188)*COS(AH188)/($J$9*$K$9)</f>
        <v>#VALUE!</v>
      </c>
      <c r="AW188" s="0" t="n">
        <f aca="false">AG188</f>
        <v>179</v>
      </c>
      <c r="AX188" s="0" t="e">
        <f aca="false">($U$14*($F$9/12-$W$14)/(2*$K$9)*SIN(2*AH188)*SIN(AH188/2)+AP188*AQ188*$N$29*($F$9/12-$S$10)*(SIN(AH188))^2/($J$9*$K$9))</f>
        <v>#VALUE!</v>
      </c>
      <c r="AY188" s="0" t="e">
        <f aca="false">AS188*COS(AH188)+AU188*SIN(AH188)</f>
        <v>#VALUE!</v>
      </c>
      <c r="AZ188" s="0" t="e">
        <f aca="false">AX188</f>
        <v>#VALUE!</v>
      </c>
      <c r="BA188" s="0" t="n">
        <f aca="false">AW188</f>
        <v>179</v>
      </c>
      <c r="BB188" s="0" t="e">
        <f aca="false">IF(AND(AV188&lt;0,AZ188*AZ189&lt;0),BA188+(BA189-BA188)*AZ188/(AZ189-AZ188),"")</f>
        <v>#VALUE!</v>
      </c>
      <c r="BC188" s="0" t="e">
        <f aca="false">IF(AND(AV188&lt;0,AZ188*AZ189&lt;0),AY188+(AY189-AY188)*AZ188/(AZ189-AZ188),"")</f>
        <v>#VALUE!</v>
      </c>
    </row>
    <row r="189" customFormat="false" ht="12.75" hidden="false" customHeight="false" outlineLevel="0" collapsed="false">
      <c r="AG189" s="0" t="n">
        <f aca="false">AG188+1</f>
        <v>180</v>
      </c>
      <c r="AH189" s="0" t="n">
        <f aca="false">AG189*PI()/180</f>
        <v>3.14159265358979</v>
      </c>
      <c r="AI189" s="0" t="n">
        <f aca="false">$D$9*SIN(AH189)</f>
        <v>2.44929359829471E-016</v>
      </c>
      <c r="AJ189" s="19" t="n">
        <f aca="false">$E$9*$Q$10*SIN(AH189)/$K$9</f>
        <v>2.16642693686202E-010</v>
      </c>
      <c r="AK189" s="0" t="e">
        <f aca="false">interpfn($Y$9:$Z$36,AI189,2)</f>
        <v>#VALUE!</v>
      </c>
      <c r="AL189" s="0" t="e">
        <f aca="false">interpfn($AA$9:$AB$27,AJ189,2)</f>
        <v>#VALUE!</v>
      </c>
      <c r="AM189" s="0" t="e">
        <f aca="false">IF(AI189&gt;0.45,1,AL189)</f>
        <v>#VALUE!</v>
      </c>
      <c r="AO189" s="0" t="e">
        <f aca="false">interpfn($AE$9:$AF$22,AI189,2)</f>
        <v>#VALUE!</v>
      </c>
      <c r="AP189" s="0" t="e">
        <f aca="false">AK189*AM189</f>
        <v>#VALUE!</v>
      </c>
      <c r="AQ189" s="0" t="e">
        <f aca="false">$AN$9*AO189</f>
        <v>#VALUE!</v>
      </c>
      <c r="AS189" s="0" t="e">
        <f aca="false">-$T$14*(COS(AH189))^2+$AR$9*(SIN(AH189))^2</f>
        <v>#VALUE!</v>
      </c>
      <c r="AT189" s="0" t="e">
        <f aca="false">-($U$14/2)*(2*COS(2*AH189)*SIN(AH189/2)+SIN(2*AH189)*COS(AH189/2)/2)+2*AQ98*AP98*$N$29*SIN(AH189)*COS(AH189)/$J$9</f>
        <v>#VALUE!</v>
      </c>
      <c r="AU189" s="0" t="e">
        <f aca="false">-($U$14/2)*SIN(2*AH189)*SIN(AH189/2)+AQ189*AP189*$N$29*(SIN(AH189)^2)/$J$9</f>
        <v>#VALUE!</v>
      </c>
      <c r="AV189" s="0" t="e">
        <f aca="false">($U$14*($F$9/12-$W$14)/(2*$K$9))*(2*COS(2*AH189)*SIN(AH189/2)/2+SIN(2*AH189)*COS(AH189/2)/2)+2*AP98*AQ98*$N$29*($F$9/12-$S$10)*SIN(AH189)*COS(AH189)/($J$9*$K$9)</f>
        <v>#VALUE!</v>
      </c>
      <c r="AW189" s="0" t="n">
        <f aca="false">AG189</f>
        <v>180</v>
      </c>
      <c r="AX189" s="0" t="e">
        <f aca="false">($U$14*($F$9/12-$W$14)/(2*$K$9)*SIN(2*AH189)*SIN(AH189/2)+AP189*AQ189*$N$29*($F$9/12-$S$10)*(SIN(AH189))^2/($J$9*$K$9))</f>
        <v>#VALUE!</v>
      </c>
      <c r="AY189" s="0" t="e">
        <f aca="false">AS189*COS(AH189)+AU189*SIN(AH189)</f>
        <v>#VALUE!</v>
      </c>
      <c r="AZ189" s="0" t="e">
        <f aca="false">AX189</f>
        <v>#VALUE!</v>
      </c>
      <c r="BA189" s="0" t="n">
        <f aca="false">AW189</f>
        <v>180</v>
      </c>
      <c r="BB189" s="0" t="e">
        <f aca="false">IF(AND(AV189&lt;0,AZ189*AZ190&lt;0),BA189+(BA190-BA189)*AZ189/(AZ190-AZ189),"")</f>
        <v>#VALUE!</v>
      </c>
      <c r="BC189" s="0" t="e">
        <f aca="false">IF(AND(AV189&lt;0,AZ189*AZ190&lt;0),AY189+(AY190-AY189)*AZ189/(AZ190-AZ189),"")</f>
        <v>#VALUE!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2013-07-14T21:23:39Z</dcterms:created>
  <dc:creator>Owner</dc:creator>
  <dc:description/>
  <dc:language>en-US</dc:language>
  <cp:lastModifiedBy>Owner</cp:lastModifiedBy>
  <dcterms:modified xsi:type="dcterms:W3CDTF">2013-07-20T12:36:34Z</dcterms:modified>
  <cp:revision>0</cp:revision>
  <dc:subject/>
  <dc:title/>
</cp:coreProperties>
</file>