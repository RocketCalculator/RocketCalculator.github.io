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3" sheetId="2" state="visible" r:id="rId4"/>
    <sheet name="Sheet2" sheetId="3" state="visible" r:id="rId5"/>
    <sheet name="Sheet4" sheetId="4" state="visible" r:id="rId6"/>
  </sheets>
  <definedNames>
    <definedName function="false" hidden="false" name="Alpha" vbProcedure="false">Sheet1!$O$7</definedName>
    <definedName function="false" hidden="false" name="b" vbProcedure="false">Sheet1!$D$7</definedName>
    <definedName function="false" hidden="false" name="Caplam" vbProcedure="false">Sheet1!$D$32</definedName>
    <definedName function="false" hidden="false" name="CDaa" vbProcedure="false">Sheet1!$C$27</definedName>
    <definedName function="false" hidden="false" name="Chrd1" vbProcedure="false">Sheet1!$Y$7</definedName>
    <definedName function="false" hidden="false" name="Chrd2" vbProcedure="false">Sheet1!$Z$7</definedName>
    <definedName function="false" hidden="false" name="CLin" vbProcedure="false">Sheet1!$AS$7</definedName>
    <definedName function="false" hidden="false" name="CLp" vbProcedure="false">Sheet1!$AF$7</definedName>
    <definedName function="false" hidden="false" name="CMa" vbProcedure="false">Sheet1!$AC$7</definedName>
    <definedName function="false" hidden="false" name="CNaa" vbProcedure="false">Sheet1!$W$7</definedName>
    <definedName function="false" hidden="false" name="CNaf" vbProcedure="false">Sheet1!$V$7</definedName>
    <definedName function="false" hidden="false" name="CNan" vbProcedure="false">Sheet1!$M$7</definedName>
    <definedName function="false" hidden="false" name="CNpa" vbProcedure="false">Sheet1!$AE$7</definedName>
    <definedName function="false" hidden="false" name="CNr" vbProcedure="false">Sheet1!$AD$7</definedName>
    <definedName function="false" hidden="false" name="Cr" vbProcedure="false">Sheet1!$AA$7</definedName>
    <definedName function="false" hidden="false" name="Ct" vbProcedure="false">Sheet1!$AB$7</definedName>
    <definedName function="false" hidden="false" name="deltaT" vbProcedure="false">#REF!</definedName>
    <definedName function="false" hidden="false" name="Gamma" vbProcedure="false">Sheet1!$P$7</definedName>
    <definedName function="false" hidden="false" name="Ip" vbProcedure="false">Sheet1!$J$7</definedName>
    <definedName function="false" hidden="false" name="L" vbProcedure="false">Sheet1!$H$7</definedName>
    <definedName function="false" hidden="false" name="lambda" vbProcedure="false">Sheet1!$X$7</definedName>
    <definedName function="false" hidden="false" name="lref" vbProcedure="false">2*Sheet1!$E$7</definedName>
    <definedName function="false" hidden="false" name="LT" vbProcedure="false">#REF!</definedName>
    <definedName function="false" hidden="false" name="N" vbProcedure="false">Sheet1!$T$7</definedName>
    <definedName function="false" hidden="false" name="Omega" vbProcedure="false">Sheet1!$AI$7</definedName>
    <definedName function="false" hidden="false" name="OmegaCap" vbProcedure="false">#REF!</definedName>
    <definedName function="false" hidden="false" name="OmegaN" vbProcedure="false">Sheet1!$AH$7</definedName>
    <definedName function="false" hidden="false" name="Phi" vbProcedure="false">Sheet1!$U$7</definedName>
    <definedName function="false" hidden="false" name="PhiV" vbProcedure="false">Sheet1!$S$7</definedName>
    <definedName function="false" hidden="false" name="q" vbProcedure="false">Sheet1!$AG$7</definedName>
    <definedName function="false" hidden="false" name="Rad" vbProcedure="false">Sheet1!$E$7</definedName>
    <definedName function="false" hidden="false" name="rV" vbProcedure="false">Sheet1!$Q$7</definedName>
    <definedName function="false" hidden="false" name="sI" vbProcedure="false">Sheet1!$R$7</definedName>
    <definedName function="false" hidden="false" name="SM" vbProcedure="false">Sheet1!$L$7</definedName>
    <definedName function="false" hidden="false" name="Sref" vbProcedure="false">Sheet1!$AJ$7</definedName>
    <definedName function="false" hidden="false" name="T" vbProcedure="false">#REF!</definedName>
    <definedName function="false" hidden="false" name="U" vbProcedure="false">Sheet1!$C$7</definedName>
    <definedName function="false" hidden="false" name="W" vbProcedure="false">Sheet1!$I$7</definedName>
    <definedName function="false" hidden="false" name="X" vbProcedure="false">Sheet1!$F$7</definedName>
    <definedName function="false" hidden="false" name="Xcg" vbProcedure="false">Sheet1!$K$7</definedName>
    <definedName function="false" hidden="false" name="Xcpf" vbProcedure="false">Sheet1!$F$7</definedName>
    <definedName function="false" hidden="false" name="Xcpn" vbProcedure="false">Sheet1!$G$7</definedName>
    <definedName function="false" hidden="false" name="XS" vbProcedure="false">Sheet1!$N$7</definedName>
    <definedName function="false" hidden="false" localSheetId="0" name="solver_adj" vbProcedure="false">Sheet1!$D$7</definedName>
    <definedName function="false" hidden="false" localSheetId="0" name="solver_cvg" vbProcedure="false">0.0001</definedName>
    <definedName function="false" hidden="false" localSheetId="0" name="solver_drv" vbProcedure="false">1</definedName>
    <definedName function="false" hidden="false" localSheetId="0" name="solver_est" vbProcedure="false">1</definedName>
    <definedName function="false" hidden="false" localSheetId="0" name="solver_itr" vbProcedure="false">100</definedName>
    <definedName function="false" hidden="false" localSheetId="0" name="solver_lhs1" vbProcedure="false">Sheet1!$AJ$7</definedName>
    <definedName function="false" hidden="false" localSheetId="0" name="solver_lhs2" vbProcedure="false">Sheet1!$AJ$7</definedName>
    <definedName function="false" hidden="false" localSheetId="0" name="solver_lin" vbProcedure="false">2</definedName>
    <definedName function="false" hidden="false" localSheetId="0" name="solver_neg" vbProcedure="false">2</definedName>
    <definedName function="false" hidden="false" localSheetId="0" name="solver_num" vbProcedure="false">1</definedName>
    <definedName function="false" hidden="false" localSheetId="0" name="solver_nwt" vbProcedure="false">1</definedName>
    <definedName function="false" hidden="false" localSheetId="0" name="solver_opt" vbProcedure="false">#REF!</definedName>
    <definedName function="false" hidden="false" localSheetId="0" name="solver_pre" vbProcedure="false">0.000001</definedName>
    <definedName function="false" hidden="false" localSheetId="0" name="solver_rel1" vbProcedure="false">2</definedName>
    <definedName function="false" hidden="false" localSheetId="0" name="solver_rel2" vbProcedure="false">1</definedName>
    <definedName function="false" hidden="false" localSheetId="0" name="solver_rhs1" vbProcedure="false">2.85</definedName>
    <definedName function="false" hidden="false" localSheetId="0" name="solver_rhs2" vbProcedure="false">Sref=2.85</definedName>
    <definedName function="false" hidden="false" localSheetId="0" name="solver_scl" vbProcedure="false">2</definedName>
    <definedName function="false" hidden="false" localSheetId="0" name="solver_sho" vbProcedure="false">2</definedName>
    <definedName function="false" hidden="false" localSheetId="0" name="solver_tim" vbProcedure="false">100</definedName>
    <definedName function="false" hidden="false" localSheetId="0" name="solver_tol" vbProcedure="false">0.05</definedName>
    <definedName function="false" hidden="false" localSheetId="0" name="solver_typ" vbProcedure="false">2</definedName>
    <definedName function="false" hidden="false" localSheetId="0" name="solver_val" vbProcedure="false">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<sst xmlns="http://schemas.openxmlformats.org/spreadsheetml/2006/main" count="303" uniqueCount="126">
  <si>
    <t xml:space="preserve">Variable</t>
  </si>
  <si>
    <t xml:space="preserve">Flight Speed, in/s</t>
  </si>
  <si>
    <t xml:space="preserve">Fin Exposed Semispan, in</t>
  </si>
  <si>
    <t xml:space="preserve">Body Radius, in</t>
  </si>
  <si>
    <t xml:space="preserve">Fin-Body Station, in Aft of Nose</t>
  </si>
  <si>
    <t xml:space="preserve">Nose-Body Station, in Aft of Nose</t>
  </si>
  <si>
    <t xml:space="preserve">Overall Body Length, in </t>
  </si>
  <si>
    <t xml:space="preserve">Total Body Weight, lb</t>
  </si>
  <si>
    <r>
      <rPr>
        <sz val="10"/>
        <rFont val="Arial"/>
        <family val="0"/>
      </rPr>
      <t xml:space="preserve">Pitch Moment of Inertia, sl-in</t>
    </r>
    <r>
      <rPr>
        <vertAlign val="superscript"/>
        <sz val="10"/>
        <rFont val="Arial"/>
        <family val="2"/>
      </rPr>
      <t xml:space="preserve">2</t>
    </r>
  </si>
  <si>
    <t xml:space="preserve">CG Body Station, in Aft of Nose</t>
  </si>
  <si>
    <t xml:space="preserve">Required Static Margin, in</t>
  </si>
  <si>
    <t xml:space="preserve">Nose Normal Force Coefficient Slope, 1 / rad</t>
  </si>
  <si>
    <t xml:space="preserve">Vortex Separation Body Station, in Aft of Nose</t>
  </si>
  <si>
    <t xml:space="preserve">Angle of Attack, rad</t>
  </si>
  <si>
    <r>
      <rPr>
        <sz val="10"/>
        <rFont val="Arial"/>
        <family val="0"/>
      </rPr>
      <t xml:space="preserve">Free Vortex Circulation, in</t>
    </r>
    <r>
      <rPr>
        <vertAlign val="superscript"/>
        <sz val="10"/>
        <rFont val="Arial"/>
        <family val="2"/>
      </rPr>
      <t xml:space="preserve">2</t>
    </r>
    <r>
      <rPr>
        <sz val="10"/>
        <rFont val="Arial"/>
        <family val="0"/>
      </rPr>
      <t xml:space="preserve">/s</t>
    </r>
  </si>
  <si>
    <t xml:space="preserve">Radial Location of a Free Vortex, in</t>
  </si>
  <si>
    <t xml:space="preserve">Radial Location of an Image Vortex, in</t>
  </si>
  <si>
    <t xml:space="preserve">Free Vortex Roll Angle, rad</t>
  </si>
  <si>
    <t xml:space="preserve">Number of Fin Panels</t>
  </si>
  <si>
    <t xml:space="preserve">Roll Angle, rad</t>
  </si>
  <si>
    <t xml:space="preserve">Tail Assembly Normal Force Coefficient Slope, 1 / rad</t>
  </si>
  <si>
    <t xml:space="preserve">Fin Airfoil Normal Force Coefficent Slope, 1 / rad</t>
  </si>
  <si>
    <t xml:space="preserve">Fin Taper Ratio</t>
  </si>
  <si>
    <t xml:space="preserve">Fin Chord Intercept</t>
  </si>
  <si>
    <t xml:space="preserve">Fin Chord Slope,      1 / in</t>
  </si>
  <si>
    <t xml:space="preserve">Fin Root Chord, in</t>
  </si>
  <si>
    <t xml:space="preserve">Tip Chord, in</t>
  </si>
  <si>
    <t xml:space="preserve">Static Pitching Moment Coefficient Slope, 1 / rad</t>
  </si>
  <si>
    <t xml:space="preserve">Yaw Damping Moment Coefficient, U /rR</t>
  </si>
  <si>
    <r>
      <rPr>
        <sz val="10"/>
        <rFont val="Arial"/>
        <family val="0"/>
      </rPr>
      <t xml:space="preserve">Magnus Moment Coefficient Slope, 1 / rad</t>
    </r>
    <r>
      <rPr>
        <vertAlign val="superscript"/>
        <sz val="10"/>
        <rFont val="Arial"/>
        <family val="2"/>
      </rPr>
      <t xml:space="preserve">2</t>
    </r>
  </si>
  <si>
    <t xml:space="preserve">Roll Damping Moment Coefficient, U/ pR</t>
  </si>
  <si>
    <r>
      <rPr>
        <sz val="10"/>
        <rFont val="Arial"/>
        <family val="0"/>
      </rPr>
      <t xml:space="preserve">Dynamic Pressure, lb/in</t>
    </r>
    <r>
      <rPr>
        <vertAlign val="superscript"/>
        <sz val="10"/>
        <rFont val="Arial"/>
        <family val="2"/>
      </rPr>
      <t xml:space="preserve">2</t>
    </r>
  </si>
  <si>
    <t xml:space="preserve">Pitch Natural Frequency, rad / s</t>
  </si>
  <si>
    <t xml:space="preserve">Coning Rate, rad/s</t>
  </si>
  <si>
    <r>
      <rPr>
        <sz val="10"/>
        <rFont val="Arial"/>
        <family val="0"/>
      </rPr>
      <t xml:space="preserve">Aerodynamic Reference Area, in</t>
    </r>
    <r>
      <rPr>
        <vertAlign val="superscript"/>
        <sz val="10"/>
        <rFont val="Arial"/>
        <family val="2"/>
      </rPr>
      <t xml:space="preserve">2</t>
    </r>
  </si>
  <si>
    <t xml:space="preserve">Aerodynamic Reference Length, in</t>
  </si>
  <si>
    <t xml:space="preserve">First Fin Roll Angle, rad</t>
  </si>
  <si>
    <t xml:space="preserve">First Fin &amp; First Free Vortex</t>
  </si>
  <si>
    <t xml:space="preserve">First Fin &amp; Second Free Vortex</t>
  </si>
  <si>
    <t xml:space="preserve">First Fin &amp; First Image Vortex</t>
  </si>
  <si>
    <t xml:space="preserve">First Fin &amp; Second Image Vortex</t>
  </si>
  <si>
    <t xml:space="preserve">First Fin &amp; All Four Vortices</t>
  </si>
  <si>
    <t xml:space="preserve">All Fins &amp; All Vortices</t>
  </si>
  <si>
    <t xml:space="preserve">Left Hand Side, eq. 28</t>
  </si>
  <si>
    <t xml:space="preserve">Pi</t>
  </si>
  <si>
    <t xml:space="preserve">Iteration</t>
  </si>
  <si>
    <t xml:space="preserve">Angle of Attack, deg</t>
  </si>
  <si>
    <t xml:space="preserve">Mnemonic</t>
  </si>
  <si>
    <t xml:space="preserve">U</t>
  </si>
  <si>
    <t xml:space="preserve">b</t>
  </si>
  <si>
    <t xml:space="preserve">Rad</t>
  </si>
  <si>
    <t xml:space="preserve">Xcpf</t>
  </si>
  <si>
    <r>
      <rPr>
        <sz val="10"/>
        <rFont val="Arial"/>
        <family val="0"/>
      </rPr>
      <t xml:space="preserve">X</t>
    </r>
    <r>
      <rPr>
        <sz val="10"/>
        <rFont val="Arial"/>
        <family val="2"/>
      </rPr>
      <t xml:space="preserve">cpn</t>
    </r>
  </si>
  <si>
    <t xml:space="preserve">L</t>
  </si>
  <si>
    <t xml:space="preserve">W</t>
  </si>
  <si>
    <t xml:space="preserve">Ip</t>
  </si>
  <si>
    <t xml:space="preserve">Xcg</t>
  </si>
  <si>
    <t xml:space="preserve">SM</t>
  </si>
  <si>
    <t xml:space="preserve">CNan</t>
  </si>
  <si>
    <t xml:space="preserve">Xs</t>
  </si>
  <si>
    <t xml:space="preserve">Alpha</t>
  </si>
  <si>
    <t xml:space="preserve">Gamma</t>
  </si>
  <si>
    <t xml:space="preserve">rV</t>
  </si>
  <si>
    <t xml:space="preserve">sI</t>
  </si>
  <si>
    <t xml:space="preserve">PhiV</t>
  </si>
  <si>
    <t xml:space="preserve"> N</t>
  </si>
  <si>
    <t xml:space="preserve">Phi</t>
  </si>
  <si>
    <t xml:space="preserve">CNaf</t>
  </si>
  <si>
    <t xml:space="preserve">CNaa</t>
  </si>
  <si>
    <t xml:space="preserve">lambda</t>
  </si>
  <si>
    <t xml:space="preserve">Chrd1</t>
  </si>
  <si>
    <t xml:space="preserve">Chrd2</t>
  </si>
  <si>
    <t xml:space="preserve">Cr</t>
  </si>
  <si>
    <r>
      <rPr>
        <sz val="10"/>
        <rFont val="Arial"/>
        <family val="0"/>
      </rPr>
      <t xml:space="preserve">C</t>
    </r>
    <r>
      <rPr>
        <vertAlign val="subscript"/>
        <sz val="10"/>
        <rFont val="Arial"/>
        <family val="2"/>
      </rPr>
      <t xml:space="preserve">t</t>
    </r>
  </si>
  <si>
    <t xml:space="preserve">CMa</t>
  </si>
  <si>
    <t xml:space="preserve">CNr</t>
  </si>
  <si>
    <t xml:space="preserve">CNpa</t>
  </si>
  <si>
    <t xml:space="preserve">CLp</t>
  </si>
  <si>
    <t xml:space="preserve">q</t>
  </si>
  <si>
    <t xml:space="preserve">OmegaN</t>
  </si>
  <si>
    <t xml:space="preserve">Omega</t>
  </si>
  <si>
    <t xml:space="preserve">Sref</t>
  </si>
  <si>
    <t xml:space="preserve">lref</t>
  </si>
  <si>
    <t xml:space="preserve">Clin</t>
  </si>
  <si>
    <t xml:space="preserve">LHS</t>
  </si>
  <si>
    <t xml:space="preserve">&lt;62</t>
  </si>
  <si>
    <t xml:space="preserve">1st fin</t>
  </si>
  <si>
    <t xml:space="preserve">2nd fin</t>
  </si>
  <si>
    <t xml:space="preserve">deg</t>
  </si>
  <si>
    <t xml:space="preserve">3rd fin</t>
  </si>
  <si>
    <t xml:space="preserve">4th fin</t>
  </si>
  <si>
    <t xml:space="preserve">Inputs</t>
  </si>
  <si>
    <t xml:space="preserve">5th fin</t>
  </si>
  <si>
    <t xml:space="preserve">6th fin</t>
  </si>
  <si>
    <t xml:space="preserve">Flight Information</t>
  </si>
  <si>
    <t xml:space="preserve">Nose cone</t>
  </si>
  <si>
    <t xml:space="preserve">7th fin</t>
  </si>
  <si>
    <t xml:space="preserve">8th fin</t>
  </si>
  <si>
    <t xml:space="preserve"> </t>
  </si>
  <si>
    <t xml:space="preserve">Rocket Body</t>
  </si>
  <si>
    <t xml:space="preserve">Fins information</t>
  </si>
  <si>
    <t xml:space="preserve">Fin Drag Polar Constant, 1 / Rad^2</t>
  </si>
  <si>
    <t xml:space="preserve">Required Static Margin per Diameter</t>
  </si>
  <si>
    <t xml:space="preserve">Fin Exposed Semispan per Radius</t>
  </si>
  <si>
    <t xml:space="preserve">CDaa</t>
  </si>
  <si>
    <t xml:space="preserve">SM/(2*Rad)</t>
  </si>
  <si>
    <t xml:space="preserve">b/Rad</t>
  </si>
  <si>
    <t xml:space="preserve">SM, in</t>
  </si>
  <si>
    <t xml:space="preserve">Fin Sweep Angle from body centerline to leading edge, deg</t>
  </si>
  <si>
    <t xml:space="preserve">Max. Alpha, deg</t>
  </si>
  <si>
    <t xml:space="preserve">Caplam</t>
  </si>
  <si>
    <t xml:space="preserve">Outputs are located at BC7</t>
  </si>
  <si>
    <t xml:space="preserve">CG offset,</t>
  </si>
  <si>
    <t xml:space="preserve">Angle of attack eq26, rad</t>
  </si>
  <si>
    <t xml:space="preserve">CLcg</t>
  </si>
  <si>
    <t xml:space="preserve">Cli</t>
  </si>
  <si>
    <t xml:space="preserve">OmegaCap</t>
  </si>
  <si>
    <t xml:space="preserve">alpha</t>
  </si>
  <si>
    <t xml:space="preserve">0.11 = 6.3</t>
  </si>
  <si>
    <t xml:space="preserve">0.1 = 5.73</t>
  </si>
  <si>
    <t xml:space="preserve">0.09 = 5.16</t>
  </si>
  <si>
    <t xml:space="preserve">0.08 = 4.58</t>
  </si>
  <si>
    <t xml:space="preserve">0.04 = 2.29</t>
  </si>
  <si>
    <t xml:space="preserve">0.03 = 1.72</t>
  </si>
  <si>
    <t xml:space="preserve">0.02 = 1.15</t>
  </si>
  <si>
    <t xml:space="preserve">0.01 = 0.57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</si>
</sst>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1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i val="true"/>
      <sz val="10"/>
      <color rgb="FFFF0000"/>
      <name val="Arial"/>
      <family val="2"/>
    </font>
    <font>
      <sz val="14"/>
      <color rgb="FF000000"/>
      <name val="Calibri"/>
      <family val="2"/>
    </font>
    <font>
      <b val="true"/>
      <sz val="14"/>
      <color rgb="FF000000"/>
      <name val="Calibri"/>
      <family val="2"/>
    </font>
    <font>
      <b val="true"/>
      <sz val="16"/>
      <color rgb="FFFFFFFF"/>
      <name val="Calibri"/>
      <family val="0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6.8"/>
      <color rgb="FF000000"/>
      <name val="Calibri"/>
      <family val="2"/>
    </font>
    <font>
      <sz val="12.85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>
        <color rgb="FFC0C0C0"/>
      </right>
      <top/>
      <bottom style="thin">
        <color rgb="FFC0C0C0"/>
      </bottom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/>
      <top/>
      <bottom style="thin">
        <color rgb="FFC0C0C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0805327551494502"/>
          <c:y val="0.0657518582046884"/>
          <c:w val="0.969077486965051"/>
          <c:h val="0.929102344196684"/>
        </c:manualLayout>
      </c:layout>
      <c:scatterChart>
        <c:scatterStyle val="line"/>
        <c:varyColors val="0"/>
        <c:ser>
          <c:idx val="0"/>
          <c:order val="0"/>
          <c:tx>
            <c:strRef>
              <c:f>Sheet1!$BJ$6</c:f>
              <c:strCache>
                <c:ptCount val="1"/>
                <c:pt idx="0">
                  <c:v>CLp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custDash>
                <a:ds d="151429" sp="151429"/>
                <a:ds d="605714" sp="151429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151429" sp="151429"/>
                    <a:ds d="605714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Sheet1!$BG$7:$BG$285</c:f>
              <c:numCache>
                <c:formatCode>General</c:formatCode>
                <c:ptCount val="279"/>
                <c:pt idx="0">
                  <c:v>0</c:v>
                </c:pt>
                <c:pt idx="1">
                  <c:v>0.0508474576271187</c:v>
                </c:pt>
                <c:pt idx="2">
                  <c:v>0.101694915254237</c:v>
                </c:pt>
                <c:pt idx="3">
                  <c:v>0.152542372881356</c:v>
                </c:pt>
                <c:pt idx="4">
                  <c:v>0.203389830508475</c:v>
                </c:pt>
                <c:pt idx="5">
                  <c:v>0.254237288135593</c:v>
                </c:pt>
                <c:pt idx="6">
                  <c:v>0.305084745762712</c:v>
                </c:pt>
                <c:pt idx="7">
                  <c:v>0.355932203389831</c:v>
                </c:pt>
                <c:pt idx="8">
                  <c:v>0.406779661016949</c:v>
                </c:pt>
                <c:pt idx="9">
                  <c:v>0.457627118644068</c:v>
                </c:pt>
                <c:pt idx="10">
                  <c:v>0.508474576271186</c:v>
                </c:pt>
                <c:pt idx="11">
                  <c:v>0.559322033898305</c:v>
                </c:pt>
                <c:pt idx="12">
                  <c:v>0.610169491525424</c:v>
                </c:pt>
                <c:pt idx="13">
                  <c:v>0.661016949152542</c:v>
                </c:pt>
                <c:pt idx="14">
                  <c:v>0.711864406779661</c:v>
                </c:pt>
                <c:pt idx="15">
                  <c:v>0.76271186440678</c:v>
                </c:pt>
                <c:pt idx="16">
                  <c:v>0.813559322033898</c:v>
                </c:pt>
                <c:pt idx="17">
                  <c:v>0.864406779661017</c:v>
                </c:pt>
                <c:pt idx="18">
                  <c:v>0.915254237288136</c:v>
                </c:pt>
                <c:pt idx="19">
                  <c:v>0.966101694915254</c:v>
                </c:pt>
                <c:pt idx="20">
                  <c:v>1.01694915254237</c:v>
                </c:pt>
                <c:pt idx="21">
                  <c:v>1.06779661016949</c:v>
                </c:pt>
                <c:pt idx="22">
                  <c:v>1.11864406779661</c:v>
                </c:pt>
                <c:pt idx="23">
                  <c:v>1.16949152542373</c:v>
                </c:pt>
                <c:pt idx="24">
                  <c:v>1.22033898305085</c:v>
                </c:pt>
                <c:pt idx="25">
                  <c:v>1.27118644067797</c:v>
                </c:pt>
                <c:pt idx="26">
                  <c:v>1.32203389830508</c:v>
                </c:pt>
                <c:pt idx="27">
                  <c:v>1.3728813559322</c:v>
                </c:pt>
                <c:pt idx="28">
                  <c:v>1.42372881355932</c:v>
                </c:pt>
                <c:pt idx="29">
                  <c:v>1.47457627118644</c:v>
                </c:pt>
                <c:pt idx="30">
                  <c:v>1.52542372881356</c:v>
                </c:pt>
                <c:pt idx="31">
                  <c:v>1.57627118644068</c:v>
                </c:pt>
                <c:pt idx="32">
                  <c:v>1.6271186440678</c:v>
                </c:pt>
                <c:pt idx="33">
                  <c:v>1.67796610169492</c:v>
                </c:pt>
                <c:pt idx="34">
                  <c:v>1.72881355932203</c:v>
                </c:pt>
                <c:pt idx="35">
                  <c:v>1.77966101694915</c:v>
                </c:pt>
                <c:pt idx="36">
                  <c:v>1.83050847457627</c:v>
                </c:pt>
                <c:pt idx="37">
                  <c:v>1.88135593220339</c:v>
                </c:pt>
                <c:pt idx="38">
                  <c:v>1.93220338983051</c:v>
                </c:pt>
                <c:pt idx="39">
                  <c:v>1.98305084745763</c:v>
                </c:pt>
                <c:pt idx="40">
                  <c:v>2.03389830508475</c:v>
                </c:pt>
                <c:pt idx="41">
                  <c:v>2.08474576271186</c:v>
                </c:pt>
                <c:pt idx="42">
                  <c:v>2.13559322033898</c:v>
                </c:pt>
                <c:pt idx="43">
                  <c:v>2.1864406779661</c:v>
                </c:pt>
                <c:pt idx="44">
                  <c:v>2.23728813559322</c:v>
                </c:pt>
                <c:pt idx="45">
                  <c:v>2.28813559322034</c:v>
                </c:pt>
                <c:pt idx="46">
                  <c:v>2.33898305084746</c:v>
                </c:pt>
                <c:pt idx="47">
                  <c:v>2.38983050847458</c:v>
                </c:pt>
                <c:pt idx="48">
                  <c:v>2.44067796610169</c:v>
                </c:pt>
                <c:pt idx="49">
                  <c:v>2.49152542372881</c:v>
                </c:pt>
                <c:pt idx="50">
                  <c:v>2.54237288135593</c:v>
                </c:pt>
                <c:pt idx="51">
                  <c:v>2.59322033898305</c:v>
                </c:pt>
                <c:pt idx="52">
                  <c:v>2.64406779661017</c:v>
                </c:pt>
                <c:pt idx="53">
                  <c:v>2.69491525423729</c:v>
                </c:pt>
                <c:pt idx="54">
                  <c:v>2.74576271186441</c:v>
                </c:pt>
                <c:pt idx="55">
                  <c:v>2.79661016949153</c:v>
                </c:pt>
                <c:pt idx="56">
                  <c:v>2.84745762711864</c:v>
                </c:pt>
                <c:pt idx="57">
                  <c:v>2.89830508474576</c:v>
                </c:pt>
                <c:pt idx="58">
                  <c:v>2.94915254237288</c:v>
                </c:pt>
                <c:pt idx="59">
                  <c:v>3</c:v>
                </c:pt>
                <c:pt idx="60">
                  <c:v>3.05084745762712</c:v>
                </c:pt>
                <c:pt idx="61">
                  <c:v>3.10169491525424</c:v>
                </c:pt>
                <c:pt idx="62">
                  <c:v>3.15254237288136</c:v>
                </c:pt>
                <c:pt idx="63">
                  <c:v>3.20338983050847</c:v>
                </c:pt>
                <c:pt idx="64">
                  <c:v>3.25423728813559</c:v>
                </c:pt>
                <c:pt idx="65">
                  <c:v>3.30508474576271</c:v>
                </c:pt>
                <c:pt idx="66">
                  <c:v>3.35593220338983</c:v>
                </c:pt>
                <c:pt idx="67">
                  <c:v>3.40677966101695</c:v>
                </c:pt>
                <c:pt idx="68">
                  <c:v>3.45762711864407</c:v>
                </c:pt>
                <c:pt idx="69">
                  <c:v>3.50847457627119</c:v>
                </c:pt>
                <c:pt idx="70">
                  <c:v>3.55932203389831</c:v>
                </c:pt>
                <c:pt idx="71">
                  <c:v>3.61016949152542</c:v>
                </c:pt>
                <c:pt idx="72">
                  <c:v>3.66101694915254</c:v>
                </c:pt>
                <c:pt idx="73">
                  <c:v>3.71186440677966</c:v>
                </c:pt>
                <c:pt idx="74">
                  <c:v>3.76271186440678</c:v>
                </c:pt>
                <c:pt idx="75">
                  <c:v>3.8135593220339</c:v>
                </c:pt>
                <c:pt idx="76">
                  <c:v>3.86440677966102</c:v>
                </c:pt>
                <c:pt idx="77">
                  <c:v>3.91525423728814</c:v>
                </c:pt>
                <c:pt idx="78">
                  <c:v>3.96610169491525</c:v>
                </c:pt>
                <c:pt idx="79">
                  <c:v>4.01694915254237</c:v>
                </c:pt>
                <c:pt idx="80">
                  <c:v>4.06779661016949</c:v>
                </c:pt>
                <c:pt idx="81">
                  <c:v>4.11864406779661</c:v>
                </c:pt>
                <c:pt idx="82">
                  <c:v>4.16949152542373</c:v>
                </c:pt>
                <c:pt idx="83">
                  <c:v>4.22033898305085</c:v>
                </c:pt>
                <c:pt idx="84">
                  <c:v>4.27118644067797</c:v>
                </c:pt>
                <c:pt idx="85">
                  <c:v>4.32203389830509</c:v>
                </c:pt>
                <c:pt idx="86">
                  <c:v>4.3728813559322</c:v>
                </c:pt>
                <c:pt idx="87">
                  <c:v>4.42372881355932</c:v>
                </c:pt>
                <c:pt idx="88">
                  <c:v>4.47457627118644</c:v>
                </c:pt>
                <c:pt idx="89">
                  <c:v>4.52542372881356</c:v>
                </c:pt>
                <c:pt idx="90">
                  <c:v>4.57627118644068</c:v>
                </c:pt>
                <c:pt idx="91">
                  <c:v>4.6271186440678</c:v>
                </c:pt>
                <c:pt idx="92">
                  <c:v>4.67796610169492</c:v>
                </c:pt>
                <c:pt idx="93">
                  <c:v>4.72881355932203</c:v>
                </c:pt>
                <c:pt idx="94">
                  <c:v>4.77966101694915</c:v>
                </c:pt>
                <c:pt idx="95">
                  <c:v>4.83050847457627</c:v>
                </c:pt>
                <c:pt idx="96">
                  <c:v>4.88135593220339</c:v>
                </c:pt>
                <c:pt idx="97">
                  <c:v>4.93220338983051</c:v>
                </c:pt>
                <c:pt idx="98">
                  <c:v>4.98305084745763</c:v>
                </c:pt>
                <c:pt idx="99">
                  <c:v>5.03389830508475</c:v>
                </c:pt>
                <c:pt idx="100">
                  <c:v>5.08474576271186</c:v>
                </c:pt>
                <c:pt idx="101">
                  <c:v>5.13559322033898</c:v>
                </c:pt>
                <c:pt idx="102">
                  <c:v>5.1864406779661</c:v>
                </c:pt>
                <c:pt idx="103">
                  <c:v>5.23728813559322</c:v>
                </c:pt>
                <c:pt idx="104">
                  <c:v>5.28813559322034</c:v>
                </c:pt>
                <c:pt idx="105">
                  <c:v>5.33898305084746</c:v>
                </c:pt>
                <c:pt idx="106">
                  <c:v>5.38983050847458</c:v>
                </c:pt>
                <c:pt idx="107">
                  <c:v>5.4406779661017</c:v>
                </c:pt>
                <c:pt idx="108">
                  <c:v>5.49152542372881</c:v>
                </c:pt>
                <c:pt idx="109">
                  <c:v>5.54237288135593</c:v>
                </c:pt>
                <c:pt idx="110">
                  <c:v>5.59322033898305</c:v>
                </c:pt>
                <c:pt idx="111">
                  <c:v>5.64406779661017</c:v>
                </c:pt>
                <c:pt idx="112">
                  <c:v>5.69491525423729</c:v>
                </c:pt>
                <c:pt idx="113">
                  <c:v>5.74576271186441</c:v>
                </c:pt>
                <c:pt idx="114">
                  <c:v>5.79661016949153</c:v>
                </c:pt>
                <c:pt idx="115">
                  <c:v>5.84745762711864</c:v>
                </c:pt>
                <c:pt idx="116">
                  <c:v>5.89830508474576</c:v>
                </c:pt>
                <c:pt idx="117">
                  <c:v>5.94915254237288</c:v>
                </c:pt>
                <c:pt idx="118">
                  <c:v>6</c:v>
                </c:pt>
                <c:pt idx="119">
                  <c:v>6.05084745762712</c:v>
                </c:pt>
                <c:pt idx="120">
                  <c:v>6.10169491525424</c:v>
                </c:pt>
                <c:pt idx="121">
                  <c:v>6.15254237288136</c:v>
                </c:pt>
                <c:pt idx="122">
                  <c:v>6.20338983050847</c:v>
                </c:pt>
                <c:pt idx="123">
                  <c:v>6.25423728813559</c:v>
                </c:pt>
                <c:pt idx="124">
                  <c:v>6.30508474576271</c:v>
                </c:pt>
                <c:pt idx="125">
                  <c:v>6.35593220338983</c:v>
                </c:pt>
                <c:pt idx="126">
                  <c:v>6.40677966101695</c:v>
                </c:pt>
                <c:pt idx="127">
                  <c:v>6.45762711864407</c:v>
                </c:pt>
                <c:pt idx="128">
                  <c:v>6.50847457627119</c:v>
                </c:pt>
                <c:pt idx="129">
                  <c:v>6.55932203389831</c:v>
                </c:pt>
                <c:pt idx="130">
                  <c:v>6.61016949152542</c:v>
                </c:pt>
                <c:pt idx="131">
                  <c:v>6.66101694915254</c:v>
                </c:pt>
                <c:pt idx="132">
                  <c:v>6.71186440677966</c:v>
                </c:pt>
                <c:pt idx="133">
                  <c:v>6.76271186440678</c:v>
                </c:pt>
                <c:pt idx="134">
                  <c:v>6.8135593220339</c:v>
                </c:pt>
                <c:pt idx="135">
                  <c:v>6.86440677966102</c:v>
                </c:pt>
                <c:pt idx="136">
                  <c:v>6.91525423728814</c:v>
                </c:pt>
                <c:pt idx="137">
                  <c:v>6.96610169491525</c:v>
                </c:pt>
                <c:pt idx="138">
                  <c:v>7.01694915254237</c:v>
                </c:pt>
                <c:pt idx="139">
                  <c:v>7.06779661016949</c:v>
                </c:pt>
                <c:pt idx="140">
                  <c:v>7.11864406779661</c:v>
                </c:pt>
                <c:pt idx="141">
                  <c:v>7.16949152542373</c:v>
                </c:pt>
                <c:pt idx="142">
                  <c:v>7.22033898305085</c:v>
                </c:pt>
                <c:pt idx="143">
                  <c:v>7.27118644067797</c:v>
                </c:pt>
                <c:pt idx="144">
                  <c:v>7.32203389830509</c:v>
                </c:pt>
                <c:pt idx="145">
                  <c:v>7.3728813559322</c:v>
                </c:pt>
                <c:pt idx="146">
                  <c:v>7.42372881355932</c:v>
                </c:pt>
                <c:pt idx="147">
                  <c:v>7.47457627118644</c:v>
                </c:pt>
                <c:pt idx="148">
                  <c:v>7.52542372881356</c:v>
                </c:pt>
                <c:pt idx="149">
                  <c:v>7.57627118644068</c:v>
                </c:pt>
                <c:pt idx="150">
                  <c:v>7.6271186440678</c:v>
                </c:pt>
                <c:pt idx="151">
                  <c:v>7.67796610169492</c:v>
                </c:pt>
                <c:pt idx="152">
                  <c:v>7.72881355932203</c:v>
                </c:pt>
                <c:pt idx="153">
                  <c:v>7.77966101694915</c:v>
                </c:pt>
                <c:pt idx="154">
                  <c:v>7.83050847457627</c:v>
                </c:pt>
                <c:pt idx="155">
                  <c:v>7.88135593220339</c:v>
                </c:pt>
                <c:pt idx="156">
                  <c:v>7.93220338983051</c:v>
                </c:pt>
                <c:pt idx="157">
                  <c:v>7.98305084745763</c:v>
                </c:pt>
                <c:pt idx="158">
                  <c:v>8.03389830508475</c:v>
                </c:pt>
                <c:pt idx="159">
                  <c:v>8.08474576271186</c:v>
                </c:pt>
                <c:pt idx="160">
                  <c:v>8.13559322033898</c:v>
                </c:pt>
                <c:pt idx="161">
                  <c:v>8.1864406779661</c:v>
                </c:pt>
                <c:pt idx="162">
                  <c:v>8.23728813559322</c:v>
                </c:pt>
                <c:pt idx="163">
                  <c:v>8.28813559322034</c:v>
                </c:pt>
                <c:pt idx="164">
                  <c:v>8.33898305084746</c:v>
                </c:pt>
                <c:pt idx="165">
                  <c:v>8.38983050847458</c:v>
                </c:pt>
                <c:pt idx="166">
                  <c:v>8.4406779661017</c:v>
                </c:pt>
                <c:pt idx="167">
                  <c:v>8.49152542372881</c:v>
                </c:pt>
                <c:pt idx="168">
                  <c:v>8.54237288135593</c:v>
                </c:pt>
                <c:pt idx="169">
                  <c:v>8.59322033898305</c:v>
                </c:pt>
                <c:pt idx="170">
                  <c:v>8.64406779661017</c:v>
                </c:pt>
                <c:pt idx="171">
                  <c:v>8.69491525423729</c:v>
                </c:pt>
                <c:pt idx="172">
                  <c:v>8.74576271186441</c:v>
                </c:pt>
                <c:pt idx="173">
                  <c:v>8.79661016949153</c:v>
                </c:pt>
                <c:pt idx="174">
                  <c:v>8.84745762711865</c:v>
                </c:pt>
                <c:pt idx="175">
                  <c:v>8.89830508474576</c:v>
                </c:pt>
                <c:pt idx="176">
                  <c:v>8.94915254237288</c:v>
                </c:pt>
                <c:pt idx="177">
                  <c:v>9</c:v>
                </c:pt>
              </c:numCache>
            </c:numRef>
          </c:xVal>
          <c:yVal>
            <c:numRef>
              <c:f>Sheet1!$BJ$7:$BJ$285</c:f>
              <c:numCache>
                <c:formatCode>General</c:formatCode>
                <c:ptCount val="279"/>
                <c:pt idx="0">
                  <c:v>0.350061068970973</c:v>
                </c:pt>
                <c:pt idx="1">
                  <c:v>0.350061068970973</c:v>
                </c:pt>
                <c:pt idx="2">
                  <c:v>0.350061068970973</c:v>
                </c:pt>
                <c:pt idx="3">
                  <c:v>0.350061068970973</c:v>
                </c:pt>
                <c:pt idx="4">
                  <c:v>0.350061068970973</c:v>
                </c:pt>
                <c:pt idx="5">
                  <c:v>0.350061068970973</c:v>
                </c:pt>
                <c:pt idx="6">
                  <c:v>0.350061068970973</c:v>
                </c:pt>
                <c:pt idx="7">
                  <c:v>0.350061068970973</c:v>
                </c:pt>
                <c:pt idx="8">
                  <c:v>0.350061068970973</c:v>
                </c:pt>
                <c:pt idx="9">
                  <c:v>0.350061068970973</c:v>
                </c:pt>
                <c:pt idx="10">
                  <c:v>0.350061068970973</c:v>
                </c:pt>
                <c:pt idx="11">
                  <c:v>0.350061068970973</c:v>
                </c:pt>
                <c:pt idx="12">
                  <c:v>0.350061068970973</c:v>
                </c:pt>
                <c:pt idx="13">
                  <c:v>0.350061068970973</c:v>
                </c:pt>
                <c:pt idx="14">
                  <c:v>0.350061068970973</c:v>
                </c:pt>
                <c:pt idx="15">
                  <c:v>0.350061068970973</c:v>
                </c:pt>
                <c:pt idx="16">
                  <c:v>0.350061068970973</c:v>
                </c:pt>
                <c:pt idx="17">
                  <c:v>0.350061068970973</c:v>
                </c:pt>
                <c:pt idx="18">
                  <c:v>0.350061068970973</c:v>
                </c:pt>
                <c:pt idx="19">
                  <c:v>0.350061068970973</c:v>
                </c:pt>
                <c:pt idx="20">
                  <c:v>0.350061068970973</c:v>
                </c:pt>
                <c:pt idx="21">
                  <c:v>0.350061068970973</c:v>
                </c:pt>
                <c:pt idx="22">
                  <c:v>0.350061068970973</c:v>
                </c:pt>
                <c:pt idx="23">
                  <c:v>0.350061068970973</c:v>
                </c:pt>
                <c:pt idx="24">
                  <c:v>0.350061068970973</c:v>
                </c:pt>
                <c:pt idx="25">
                  <c:v>0.350061068970973</c:v>
                </c:pt>
                <c:pt idx="26">
                  <c:v>0.350061068970973</c:v>
                </c:pt>
                <c:pt idx="27">
                  <c:v>0.350061068970973</c:v>
                </c:pt>
                <c:pt idx="28">
                  <c:v>0.350061068970973</c:v>
                </c:pt>
                <c:pt idx="29">
                  <c:v>0.350061068970973</c:v>
                </c:pt>
                <c:pt idx="30">
                  <c:v>0.350061068970973</c:v>
                </c:pt>
                <c:pt idx="31">
                  <c:v>0.350061068970973</c:v>
                </c:pt>
                <c:pt idx="32">
                  <c:v>0.350061068970973</c:v>
                </c:pt>
                <c:pt idx="33">
                  <c:v>0.350061068970973</c:v>
                </c:pt>
                <c:pt idx="34">
                  <c:v>0.350061068970973</c:v>
                </c:pt>
                <c:pt idx="35">
                  <c:v>0.350061068970973</c:v>
                </c:pt>
                <c:pt idx="36">
                  <c:v>0.350061068970973</c:v>
                </c:pt>
                <c:pt idx="37">
                  <c:v>0.350061068970973</c:v>
                </c:pt>
                <c:pt idx="38">
                  <c:v>0.350061068970973</c:v>
                </c:pt>
                <c:pt idx="39">
                  <c:v>0.350061068970973</c:v>
                </c:pt>
                <c:pt idx="40">
                  <c:v>0.350061068970973</c:v>
                </c:pt>
                <c:pt idx="41">
                  <c:v>0.350061068970973</c:v>
                </c:pt>
                <c:pt idx="42">
                  <c:v>0.350061068970973</c:v>
                </c:pt>
                <c:pt idx="43">
                  <c:v>0.350061068970973</c:v>
                </c:pt>
                <c:pt idx="44">
                  <c:v>0.350061068970973</c:v>
                </c:pt>
                <c:pt idx="45">
                  <c:v>0.350061068970973</c:v>
                </c:pt>
                <c:pt idx="46">
                  <c:v>0.350061068970973</c:v>
                </c:pt>
                <c:pt idx="47">
                  <c:v>0.350061068970973</c:v>
                </c:pt>
                <c:pt idx="48">
                  <c:v>0.350061068970973</c:v>
                </c:pt>
                <c:pt idx="49">
                  <c:v>0.350061068970973</c:v>
                </c:pt>
                <c:pt idx="50">
                  <c:v>0.350061068970973</c:v>
                </c:pt>
                <c:pt idx="51">
                  <c:v>0.350061068970973</c:v>
                </c:pt>
                <c:pt idx="52">
                  <c:v>0.350061068970973</c:v>
                </c:pt>
                <c:pt idx="53">
                  <c:v>0.350061068970973</c:v>
                </c:pt>
                <c:pt idx="54">
                  <c:v>0.350061068970973</c:v>
                </c:pt>
                <c:pt idx="55">
                  <c:v>0.350061068970973</c:v>
                </c:pt>
                <c:pt idx="56">
                  <c:v>0.350061068970973</c:v>
                </c:pt>
                <c:pt idx="57">
                  <c:v>0.350061068970973</c:v>
                </c:pt>
                <c:pt idx="58">
                  <c:v>0.350061068970973</c:v>
                </c:pt>
                <c:pt idx="59">
                  <c:v>0.350061068970973</c:v>
                </c:pt>
                <c:pt idx="60">
                  <c:v>0.350061068970973</c:v>
                </c:pt>
                <c:pt idx="61">
                  <c:v>0.350061068970973</c:v>
                </c:pt>
                <c:pt idx="62">
                  <c:v>0.350061068970973</c:v>
                </c:pt>
                <c:pt idx="63">
                  <c:v>0.350061068970973</c:v>
                </c:pt>
                <c:pt idx="64">
                  <c:v>0.350061068970973</c:v>
                </c:pt>
                <c:pt idx="65">
                  <c:v>0.350061068970973</c:v>
                </c:pt>
                <c:pt idx="66">
                  <c:v>0.350061068970973</c:v>
                </c:pt>
                <c:pt idx="67">
                  <c:v>0.350061068970973</c:v>
                </c:pt>
                <c:pt idx="68">
                  <c:v>0.350061068970973</c:v>
                </c:pt>
                <c:pt idx="69">
                  <c:v>0.350061068970973</c:v>
                </c:pt>
                <c:pt idx="70">
                  <c:v>0.350061068970973</c:v>
                </c:pt>
                <c:pt idx="71">
                  <c:v>0.350061068970973</c:v>
                </c:pt>
                <c:pt idx="72">
                  <c:v>0.350061068970973</c:v>
                </c:pt>
                <c:pt idx="73">
                  <c:v>0.350061068970973</c:v>
                </c:pt>
                <c:pt idx="74">
                  <c:v>0.350061068970973</c:v>
                </c:pt>
                <c:pt idx="75">
                  <c:v>0.350061068970973</c:v>
                </c:pt>
                <c:pt idx="76">
                  <c:v>0.350061068970973</c:v>
                </c:pt>
                <c:pt idx="77">
                  <c:v>0.350061068970973</c:v>
                </c:pt>
                <c:pt idx="78">
                  <c:v>0.350061068970973</c:v>
                </c:pt>
                <c:pt idx="79">
                  <c:v>0.350061068970973</c:v>
                </c:pt>
                <c:pt idx="80">
                  <c:v>0.350061068970973</c:v>
                </c:pt>
                <c:pt idx="81">
                  <c:v>0.350061068970973</c:v>
                </c:pt>
                <c:pt idx="82">
                  <c:v>0.350061068970973</c:v>
                </c:pt>
                <c:pt idx="83">
                  <c:v>0.350061068970973</c:v>
                </c:pt>
                <c:pt idx="84">
                  <c:v>0.350061068970973</c:v>
                </c:pt>
                <c:pt idx="85">
                  <c:v>0.350061068970973</c:v>
                </c:pt>
                <c:pt idx="86">
                  <c:v>0.350061068970973</c:v>
                </c:pt>
                <c:pt idx="87">
                  <c:v>0.350061068970973</c:v>
                </c:pt>
                <c:pt idx="88">
                  <c:v>0.350061068970973</c:v>
                </c:pt>
                <c:pt idx="89">
                  <c:v>0.350061068970973</c:v>
                </c:pt>
                <c:pt idx="90">
                  <c:v>0.350061068970973</c:v>
                </c:pt>
                <c:pt idx="91">
                  <c:v>0.350061068970973</c:v>
                </c:pt>
                <c:pt idx="92">
                  <c:v>0.350061068970973</c:v>
                </c:pt>
                <c:pt idx="93">
                  <c:v>0.350061068970973</c:v>
                </c:pt>
                <c:pt idx="94">
                  <c:v>0.350061068970973</c:v>
                </c:pt>
                <c:pt idx="95">
                  <c:v>0.350061068970973</c:v>
                </c:pt>
                <c:pt idx="96">
                  <c:v>0.350061068970973</c:v>
                </c:pt>
                <c:pt idx="97">
                  <c:v>0.350061068970973</c:v>
                </c:pt>
                <c:pt idx="98">
                  <c:v>0.350061068970973</c:v>
                </c:pt>
                <c:pt idx="99">
                  <c:v>0.350061068970973</c:v>
                </c:pt>
                <c:pt idx="100">
                  <c:v>0.350061068970973</c:v>
                </c:pt>
                <c:pt idx="101">
                  <c:v>0.350061068970973</c:v>
                </c:pt>
                <c:pt idx="102">
                  <c:v>0.350061068970973</c:v>
                </c:pt>
                <c:pt idx="103">
                  <c:v>0.350061068970973</c:v>
                </c:pt>
                <c:pt idx="104">
                  <c:v>0.350061068970973</c:v>
                </c:pt>
                <c:pt idx="105">
                  <c:v>0.350061068970973</c:v>
                </c:pt>
                <c:pt idx="106">
                  <c:v>0.350061068970973</c:v>
                </c:pt>
                <c:pt idx="107">
                  <c:v>0.350061068970973</c:v>
                </c:pt>
                <c:pt idx="108">
                  <c:v>0.350061068970973</c:v>
                </c:pt>
                <c:pt idx="109">
                  <c:v>0.350061068970973</c:v>
                </c:pt>
                <c:pt idx="110">
                  <c:v>0.350061068970973</c:v>
                </c:pt>
                <c:pt idx="111">
                  <c:v>0.350061068970973</c:v>
                </c:pt>
                <c:pt idx="112">
                  <c:v>0.350061068970973</c:v>
                </c:pt>
                <c:pt idx="113">
                  <c:v>0.350061068970973</c:v>
                </c:pt>
                <c:pt idx="114">
                  <c:v>0.350061068970973</c:v>
                </c:pt>
                <c:pt idx="115">
                  <c:v>0.350061068970973</c:v>
                </c:pt>
                <c:pt idx="116">
                  <c:v>0.350061068970973</c:v>
                </c:pt>
                <c:pt idx="117">
                  <c:v>0.350061068970973</c:v>
                </c:pt>
                <c:pt idx="118">
                  <c:v>0.350061068970973</c:v>
                </c:pt>
                <c:pt idx="119">
                  <c:v>0.350061068970973</c:v>
                </c:pt>
                <c:pt idx="120">
                  <c:v>0.350061068970973</c:v>
                </c:pt>
                <c:pt idx="121">
                  <c:v>0.350061068970973</c:v>
                </c:pt>
                <c:pt idx="122">
                  <c:v>0.350061068970973</c:v>
                </c:pt>
                <c:pt idx="123">
                  <c:v>0.350061068970973</c:v>
                </c:pt>
                <c:pt idx="124">
                  <c:v>0.350061068970973</c:v>
                </c:pt>
                <c:pt idx="125">
                  <c:v>0.350061068970973</c:v>
                </c:pt>
                <c:pt idx="126">
                  <c:v>0.350061068970973</c:v>
                </c:pt>
                <c:pt idx="127">
                  <c:v>0.350061068970973</c:v>
                </c:pt>
                <c:pt idx="128">
                  <c:v>0.350061068970973</c:v>
                </c:pt>
                <c:pt idx="129">
                  <c:v>0.350061068970973</c:v>
                </c:pt>
                <c:pt idx="130">
                  <c:v>0.350061068970973</c:v>
                </c:pt>
                <c:pt idx="131">
                  <c:v>0.350061068970973</c:v>
                </c:pt>
                <c:pt idx="132">
                  <c:v>0.350061068970973</c:v>
                </c:pt>
                <c:pt idx="133">
                  <c:v>0.350061068970973</c:v>
                </c:pt>
                <c:pt idx="134">
                  <c:v>0.350061068970973</c:v>
                </c:pt>
                <c:pt idx="135">
                  <c:v>0.350061068970973</c:v>
                </c:pt>
                <c:pt idx="136">
                  <c:v>0.350061068970973</c:v>
                </c:pt>
                <c:pt idx="137">
                  <c:v>0.350061068970973</c:v>
                </c:pt>
                <c:pt idx="138">
                  <c:v>0.350061068970973</c:v>
                </c:pt>
                <c:pt idx="139">
                  <c:v>0.350061068970973</c:v>
                </c:pt>
                <c:pt idx="140">
                  <c:v>0.350061068970973</c:v>
                </c:pt>
                <c:pt idx="141">
                  <c:v>0.350061068970973</c:v>
                </c:pt>
                <c:pt idx="142">
                  <c:v>0.350061068970973</c:v>
                </c:pt>
                <c:pt idx="143">
                  <c:v>0.350061068970973</c:v>
                </c:pt>
                <c:pt idx="144">
                  <c:v>0.350061068970973</c:v>
                </c:pt>
                <c:pt idx="145">
                  <c:v>0.350061068970973</c:v>
                </c:pt>
                <c:pt idx="146">
                  <c:v>0.350061068970973</c:v>
                </c:pt>
                <c:pt idx="147">
                  <c:v>0.350061068970973</c:v>
                </c:pt>
                <c:pt idx="148">
                  <c:v>0.350061068970973</c:v>
                </c:pt>
                <c:pt idx="149">
                  <c:v>0.350061068970973</c:v>
                </c:pt>
                <c:pt idx="150">
                  <c:v>0.350061068970973</c:v>
                </c:pt>
                <c:pt idx="151">
                  <c:v>0.350061068970973</c:v>
                </c:pt>
                <c:pt idx="152">
                  <c:v>0.350061068970973</c:v>
                </c:pt>
                <c:pt idx="153">
                  <c:v>0.350061068970973</c:v>
                </c:pt>
                <c:pt idx="154">
                  <c:v>0.350061068970973</c:v>
                </c:pt>
                <c:pt idx="155">
                  <c:v>0.350061068970973</c:v>
                </c:pt>
                <c:pt idx="156">
                  <c:v>0.350061068970973</c:v>
                </c:pt>
                <c:pt idx="157">
                  <c:v>0.350061068970973</c:v>
                </c:pt>
                <c:pt idx="158">
                  <c:v>0.350061068970973</c:v>
                </c:pt>
                <c:pt idx="159">
                  <c:v>0.350061068970973</c:v>
                </c:pt>
                <c:pt idx="160">
                  <c:v>0.350061068970973</c:v>
                </c:pt>
                <c:pt idx="161">
                  <c:v>0.350061068970973</c:v>
                </c:pt>
                <c:pt idx="162">
                  <c:v>0.350061068970973</c:v>
                </c:pt>
                <c:pt idx="163">
                  <c:v>0.350061068970973</c:v>
                </c:pt>
                <c:pt idx="164">
                  <c:v>0.350061068970973</c:v>
                </c:pt>
                <c:pt idx="165">
                  <c:v>0.350061068970973</c:v>
                </c:pt>
                <c:pt idx="166">
                  <c:v>0.350061068970973</c:v>
                </c:pt>
                <c:pt idx="167">
                  <c:v>0.350061068970973</c:v>
                </c:pt>
                <c:pt idx="168">
                  <c:v>0.350061068970973</c:v>
                </c:pt>
                <c:pt idx="169">
                  <c:v>0.350061068970973</c:v>
                </c:pt>
                <c:pt idx="170">
                  <c:v>0.350061068970973</c:v>
                </c:pt>
                <c:pt idx="171">
                  <c:v>0.350061068970973</c:v>
                </c:pt>
                <c:pt idx="172">
                  <c:v>0.350061068970973</c:v>
                </c:pt>
                <c:pt idx="173">
                  <c:v>0.350061068970973</c:v>
                </c:pt>
                <c:pt idx="174">
                  <c:v>0.350061068970973</c:v>
                </c:pt>
                <c:pt idx="175">
                  <c:v>0.350061068970973</c:v>
                </c:pt>
                <c:pt idx="176">
                  <c:v>0.350061068970973</c:v>
                </c:pt>
                <c:pt idx="177">
                  <c:v>0.350061068970973</c:v>
                </c:pt>
              </c:numCache>
            </c:numRef>
          </c:yVal>
          <c:smooth val="0"/>
        </c:ser>
        <c:axId val="43070363"/>
        <c:axId val="36988605"/>
      </c:scatterChart>
      <c:scatterChart>
        <c:scatterStyle val="line"/>
        <c:varyColors val="0"/>
        <c:ser>
          <c:idx val="1"/>
          <c:order val="1"/>
          <c:tx>
            <c:strRef>
              <c:f>Sheet1!$BI$6</c:f>
              <c:strCache>
                <c:ptCount val="1"/>
                <c:pt idx="0">
                  <c:v>Clin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Sheet1!$BG$7:$BG$285</c:f>
              <c:numCache>
                <c:formatCode>General</c:formatCode>
                <c:ptCount val="279"/>
                <c:pt idx="0">
                  <c:v>0</c:v>
                </c:pt>
                <c:pt idx="1">
                  <c:v>0.0508474576271187</c:v>
                </c:pt>
                <c:pt idx="2">
                  <c:v>0.101694915254237</c:v>
                </c:pt>
                <c:pt idx="3">
                  <c:v>0.152542372881356</c:v>
                </c:pt>
                <c:pt idx="4">
                  <c:v>0.203389830508475</c:v>
                </c:pt>
                <c:pt idx="5">
                  <c:v>0.254237288135593</c:v>
                </c:pt>
                <c:pt idx="6">
                  <c:v>0.305084745762712</c:v>
                </c:pt>
                <c:pt idx="7">
                  <c:v>0.355932203389831</c:v>
                </c:pt>
                <c:pt idx="8">
                  <c:v>0.406779661016949</c:v>
                </c:pt>
                <c:pt idx="9">
                  <c:v>0.457627118644068</c:v>
                </c:pt>
                <c:pt idx="10">
                  <c:v>0.508474576271186</c:v>
                </c:pt>
                <c:pt idx="11">
                  <c:v>0.559322033898305</c:v>
                </c:pt>
                <c:pt idx="12">
                  <c:v>0.610169491525424</c:v>
                </c:pt>
                <c:pt idx="13">
                  <c:v>0.661016949152542</c:v>
                </c:pt>
                <c:pt idx="14">
                  <c:v>0.711864406779661</c:v>
                </c:pt>
                <c:pt idx="15">
                  <c:v>0.76271186440678</c:v>
                </c:pt>
                <c:pt idx="16">
                  <c:v>0.813559322033898</c:v>
                </c:pt>
                <c:pt idx="17">
                  <c:v>0.864406779661017</c:v>
                </c:pt>
                <c:pt idx="18">
                  <c:v>0.915254237288136</c:v>
                </c:pt>
                <c:pt idx="19">
                  <c:v>0.966101694915254</c:v>
                </c:pt>
                <c:pt idx="20">
                  <c:v>1.01694915254237</c:v>
                </c:pt>
                <c:pt idx="21">
                  <c:v>1.06779661016949</c:v>
                </c:pt>
                <c:pt idx="22">
                  <c:v>1.11864406779661</c:v>
                </c:pt>
                <c:pt idx="23">
                  <c:v>1.16949152542373</c:v>
                </c:pt>
                <c:pt idx="24">
                  <c:v>1.22033898305085</c:v>
                </c:pt>
                <c:pt idx="25">
                  <c:v>1.27118644067797</c:v>
                </c:pt>
                <c:pt idx="26">
                  <c:v>1.32203389830508</c:v>
                </c:pt>
                <c:pt idx="27">
                  <c:v>1.3728813559322</c:v>
                </c:pt>
                <c:pt idx="28">
                  <c:v>1.42372881355932</c:v>
                </c:pt>
                <c:pt idx="29">
                  <c:v>1.47457627118644</c:v>
                </c:pt>
                <c:pt idx="30">
                  <c:v>1.52542372881356</c:v>
                </c:pt>
                <c:pt idx="31">
                  <c:v>1.57627118644068</c:v>
                </c:pt>
                <c:pt idx="32">
                  <c:v>1.6271186440678</c:v>
                </c:pt>
                <c:pt idx="33">
                  <c:v>1.67796610169492</c:v>
                </c:pt>
                <c:pt idx="34">
                  <c:v>1.72881355932203</c:v>
                </c:pt>
                <c:pt idx="35">
                  <c:v>1.77966101694915</c:v>
                </c:pt>
                <c:pt idx="36">
                  <c:v>1.83050847457627</c:v>
                </c:pt>
                <c:pt idx="37">
                  <c:v>1.88135593220339</c:v>
                </c:pt>
                <c:pt idx="38">
                  <c:v>1.93220338983051</c:v>
                </c:pt>
                <c:pt idx="39">
                  <c:v>1.98305084745763</c:v>
                </c:pt>
                <c:pt idx="40">
                  <c:v>2.03389830508475</c:v>
                </c:pt>
                <c:pt idx="41">
                  <c:v>2.08474576271186</c:v>
                </c:pt>
                <c:pt idx="42">
                  <c:v>2.13559322033898</c:v>
                </c:pt>
                <c:pt idx="43">
                  <c:v>2.1864406779661</c:v>
                </c:pt>
                <c:pt idx="44">
                  <c:v>2.23728813559322</c:v>
                </c:pt>
                <c:pt idx="45">
                  <c:v>2.28813559322034</c:v>
                </c:pt>
                <c:pt idx="46">
                  <c:v>2.33898305084746</c:v>
                </c:pt>
                <c:pt idx="47">
                  <c:v>2.38983050847458</c:v>
                </c:pt>
                <c:pt idx="48">
                  <c:v>2.44067796610169</c:v>
                </c:pt>
                <c:pt idx="49">
                  <c:v>2.49152542372881</c:v>
                </c:pt>
                <c:pt idx="50">
                  <c:v>2.54237288135593</c:v>
                </c:pt>
                <c:pt idx="51">
                  <c:v>2.59322033898305</c:v>
                </c:pt>
                <c:pt idx="52">
                  <c:v>2.64406779661017</c:v>
                </c:pt>
                <c:pt idx="53">
                  <c:v>2.69491525423729</c:v>
                </c:pt>
                <c:pt idx="54">
                  <c:v>2.74576271186441</c:v>
                </c:pt>
                <c:pt idx="55">
                  <c:v>2.79661016949153</c:v>
                </c:pt>
                <c:pt idx="56">
                  <c:v>2.84745762711864</c:v>
                </c:pt>
                <c:pt idx="57">
                  <c:v>2.89830508474576</c:v>
                </c:pt>
                <c:pt idx="58">
                  <c:v>2.94915254237288</c:v>
                </c:pt>
                <c:pt idx="59">
                  <c:v>3</c:v>
                </c:pt>
                <c:pt idx="60">
                  <c:v>3.05084745762712</c:v>
                </c:pt>
                <c:pt idx="61">
                  <c:v>3.10169491525424</c:v>
                </c:pt>
                <c:pt idx="62">
                  <c:v>3.15254237288136</c:v>
                </c:pt>
                <c:pt idx="63">
                  <c:v>3.20338983050847</c:v>
                </c:pt>
                <c:pt idx="64">
                  <c:v>3.25423728813559</c:v>
                </c:pt>
                <c:pt idx="65">
                  <c:v>3.30508474576271</c:v>
                </c:pt>
                <c:pt idx="66">
                  <c:v>3.35593220338983</c:v>
                </c:pt>
                <c:pt idx="67">
                  <c:v>3.40677966101695</c:v>
                </c:pt>
                <c:pt idx="68">
                  <c:v>3.45762711864407</c:v>
                </c:pt>
                <c:pt idx="69">
                  <c:v>3.50847457627119</c:v>
                </c:pt>
                <c:pt idx="70">
                  <c:v>3.55932203389831</c:v>
                </c:pt>
                <c:pt idx="71">
                  <c:v>3.61016949152542</c:v>
                </c:pt>
                <c:pt idx="72">
                  <c:v>3.66101694915254</c:v>
                </c:pt>
                <c:pt idx="73">
                  <c:v>3.71186440677966</c:v>
                </c:pt>
                <c:pt idx="74">
                  <c:v>3.76271186440678</c:v>
                </c:pt>
                <c:pt idx="75">
                  <c:v>3.8135593220339</c:v>
                </c:pt>
                <c:pt idx="76">
                  <c:v>3.86440677966102</c:v>
                </c:pt>
                <c:pt idx="77">
                  <c:v>3.91525423728814</c:v>
                </c:pt>
                <c:pt idx="78">
                  <c:v>3.96610169491525</c:v>
                </c:pt>
                <c:pt idx="79">
                  <c:v>4.01694915254237</c:v>
                </c:pt>
                <c:pt idx="80">
                  <c:v>4.06779661016949</c:v>
                </c:pt>
                <c:pt idx="81">
                  <c:v>4.11864406779661</c:v>
                </c:pt>
                <c:pt idx="82">
                  <c:v>4.16949152542373</c:v>
                </c:pt>
                <c:pt idx="83">
                  <c:v>4.22033898305085</c:v>
                </c:pt>
                <c:pt idx="84">
                  <c:v>4.27118644067797</c:v>
                </c:pt>
                <c:pt idx="85">
                  <c:v>4.32203389830509</c:v>
                </c:pt>
                <c:pt idx="86">
                  <c:v>4.3728813559322</c:v>
                </c:pt>
                <c:pt idx="87">
                  <c:v>4.42372881355932</c:v>
                </c:pt>
                <c:pt idx="88">
                  <c:v>4.47457627118644</c:v>
                </c:pt>
                <c:pt idx="89">
                  <c:v>4.52542372881356</c:v>
                </c:pt>
                <c:pt idx="90">
                  <c:v>4.57627118644068</c:v>
                </c:pt>
                <c:pt idx="91">
                  <c:v>4.6271186440678</c:v>
                </c:pt>
                <c:pt idx="92">
                  <c:v>4.67796610169492</c:v>
                </c:pt>
                <c:pt idx="93">
                  <c:v>4.72881355932203</c:v>
                </c:pt>
                <c:pt idx="94">
                  <c:v>4.77966101694915</c:v>
                </c:pt>
                <c:pt idx="95">
                  <c:v>4.83050847457627</c:v>
                </c:pt>
                <c:pt idx="96">
                  <c:v>4.88135593220339</c:v>
                </c:pt>
                <c:pt idx="97">
                  <c:v>4.93220338983051</c:v>
                </c:pt>
                <c:pt idx="98">
                  <c:v>4.98305084745763</c:v>
                </c:pt>
                <c:pt idx="99">
                  <c:v>5.03389830508475</c:v>
                </c:pt>
                <c:pt idx="100">
                  <c:v>5.08474576271186</c:v>
                </c:pt>
                <c:pt idx="101">
                  <c:v>5.13559322033898</c:v>
                </c:pt>
                <c:pt idx="102">
                  <c:v>5.1864406779661</c:v>
                </c:pt>
                <c:pt idx="103">
                  <c:v>5.23728813559322</c:v>
                </c:pt>
                <c:pt idx="104">
                  <c:v>5.28813559322034</c:v>
                </c:pt>
                <c:pt idx="105">
                  <c:v>5.33898305084746</c:v>
                </c:pt>
                <c:pt idx="106">
                  <c:v>5.38983050847458</c:v>
                </c:pt>
                <c:pt idx="107">
                  <c:v>5.4406779661017</c:v>
                </c:pt>
                <c:pt idx="108">
                  <c:v>5.49152542372881</c:v>
                </c:pt>
                <c:pt idx="109">
                  <c:v>5.54237288135593</c:v>
                </c:pt>
                <c:pt idx="110">
                  <c:v>5.59322033898305</c:v>
                </c:pt>
                <c:pt idx="111">
                  <c:v>5.64406779661017</c:v>
                </c:pt>
                <c:pt idx="112">
                  <c:v>5.69491525423729</c:v>
                </c:pt>
                <c:pt idx="113">
                  <c:v>5.74576271186441</c:v>
                </c:pt>
                <c:pt idx="114">
                  <c:v>5.79661016949153</c:v>
                </c:pt>
                <c:pt idx="115">
                  <c:v>5.84745762711864</c:v>
                </c:pt>
                <c:pt idx="116">
                  <c:v>5.89830508474576</c:v>
                </c:pt>
                <c:pt idx="117">
                  <c:v>5.94915254237288</c:v>
                </c:pt>
                <c:pt idx="118">
                  <c:v>6</c:v>
                </c:pt>
                <c:pt idx="119">
                  <c:v>6.05084745762712</c:v>
                </c:pt>
                <c:pt idx="120">
                  <c:v>6.10169491525424</c:v>
                </c:pt>
                <c:pt idx="121">
                  <c:v>6.15254237288136</c:v>
                </c:pt>
                <c:pt idx="122">
                  <c:v>6.20338983050847</c:v>
                </c:pt>
                <c:pt idx="123">
                  <c:v>6.25423728813559</c:v>
                </c:pt>
                <c:pt idx="124">
                  <c:v>6.30508474576271</c:v>
                </c:pt>
                <c:pt idx="125">
                  <c:v>6.35593220338983</c:v>
                </c:pt>
                <c:pt idx="126">
                  <c:v>6.40677966101695</c:v>
                </c:pt>
                <c:pt idx="127">
                  <c:v>6.45762711864407</c:v>
                </c:pt>
                <c:pt idx="128">
                  <c:v>6.50847457627119</c:v>
                </c:pt>
                <c:pt idx="129">
                  <c:v>6.55932203389831</c:v>
                </c:pt>
                <c:pt idx="130">
                  <c:v>6.61016949152542</c:v>
                </c:pt>
                <c:pt idx="131">
                  <c:v>6.66101694915254</c:v>
                </c:pt>
                <c:pt idx="132">
                  <c:v>6.71186440677966</c:v>
                </c:pt>
                <c:pt idx="133">
                  <c:v>6.76271186440678</c:v>
                </c:pt>
                <c:pt idx="134">
                  <c:v>6.8135593220339</c:v>
                </c:pt>
                <c:pt idx="135">
                  <c:v>6.86440677966102</c:v>
                </c:pt>
                <c:pt idx="136">
                  <c:v>6.91525423728814</c:v>
                </c:pt>
                <c:pt idx="137">
                  <c:v>6.96610169491525</c:v>
                </c:pt>
                <c:pt idx="138">
                  <c:v>7.01694915254237</c:v>
                </c:pt>
                <c:pt idx="139">
                  <c:v>7.06779661016949</c:v>
                </c:pt>
                <c:pt idx="140">
                  <c:v>7.11864406779661</c:v>
                </c:pt>
                <c:pt idx="141">
                  <c:v>7.16949152542373</c:v>
                </c:pt>
                <c:pt idx="142">
                  <c:v>7.22033898305085</c:v>
                </c:pt>
                <c:pt idx="143">
                  <c:v>7.27118644067797</c:v>
                </c:pt>
                <c:pt idx="144">
                  <c:v>7.32203389830509</c:v>
                </c:pt>
                <c:pt idx="145">
                  <c:v>7.3728813559322</c:v>
                </c:pt>
                <c:pt idx="146">
                  <c:v>7.42372881355932</c:v>
                </c:pt>
                <c:pt idx="147">
                  <c:v>7.47457627118644</c:v>
                </c:pt>
                <c:pt idx="148">
                  <c:v>7.52542372881356</c:v>
                </c:pt>
                <c:pt idx="149">
                  <c:v>7.57627118644068</c:v>
                </c:pt>
                <c:pt idx="150">
                  <c:v>7.6271186440678</c:v>
                </c:pt>
                <c:pt idx="151">
                  <c:v>7.67796610169492</c:v>
                </c:pt>
                <c:pt idx="152">
                  <c:v>7.72881355932203</c:v>
                </c:pt>
                <c:pt idx="153">
                  <c:v>7.77966101694915</c:v>
                </c:pt>
                <c:pt idx="154">
                  <c:v>7.83050847457627</c:v>
                </c:pt>
                <c:pt idx="155">
                  <c:v>7.88135593220339</c:v>
                </c:pt>
                <c:pt idx="156">
                  <c:v>7.93220338983051</c:v>
                </c:pt>
                <c:pt idx="157">
                  <c:v>7.98305084745763</c:v>
                </c:pt>
                <c:pt idx="158">
                  <c:v>8.03389830508475</c:v>
                </c:pt>
                <c:pt idx="159">
                  <c:v>8.08474576271186</c:v>
                </c:pt>
                <c:pt idx="160">
                  <c:v>8.13559322033898</c:v>
                </c:pt>
                <c:pt idx="161">
                  <c:v>8.1864406779661</c:v>
                </c:pt>
                <c:pt idx="162">
                  <c:v>8.23728813559322</c:v>
                </c:pt>
                <c:pt idx="163">
                  <c:v>8.28813559322034</c:v>
                </c:pt>
                <c:pt idx="164">
                  <c:v>8.33898305084746</c:v>
                </c:pt>
                <c:pt idx="165">
                  <c:v>8.38983050847458</c:v>
                </c:pt>
                <c:pt idx="166">
                  <c:v>8.4406779661017</c:v>
                </c:pt>
                <c:pt idx="167">
                  <c:v>8.49152542372881</c:v>
                </c:pt>
                <c:pt idx="168">
                  <c:v>8.54237288135593</c:v>
                </c:pt>
                <c:pt idx="169">
                  <c:v>8.59322033898305</c:v>
                </c:pt>
                <c:pt idx="170">
                  <c:v>8.64406779661017</c:v>
                </c:pt>
                <c:pt idx="171">
                  <c:v>8.69491525423729</c:v>
                </c:pt>
                <c:pt idx="172">
                  <c:v>8.74576271186441</c:v>
                </c:pt>
                <c:pt idx="173">
                  <c:v>8.79661016949153</c:v>
                </c:pt>
                <c:pt idx="174">
                  <c:v>8.84745762711865</c:v>
                </c:pt>
                <c:pt idx="175">
                  <c:v>8.89830508474576</c:v>
                </c:pt>
                <c:pt idx="176">
                  <c:v>8.94915254237288</c:v>
                </c:pt>
                <c:pt idx="177">
                  <c:v>9</c:v>
                </c:pt>
              </c:numCache>
            </c:numRef>
          </c:xVal>
          <c:yVal>
            <c:numRef>
              <c:f>Sheet1!$BI$7:$BI$285</c:f>
              <c:numCache>
                <c:formatCode>General</c:formatCode>
                <c:ptCount val="279"/>
                <c:pt idx="0">
                  <c:v>2.59145514578616E-005</c:v>
                </c:pt>
                <c:pt idx="1">
                  <c:v>0.00259996554343069</c:v>
                </c:pt>
                <c:pt idx="2">
                  <c:v>0.00521841652995504</c:v>
                </c:pt>
                <c:pt idx="3">
                  <c:v>0.00785648443880795</c:v>
                </c:pt>
                <c:pt idx="4">
                  <c:v>0.0105149373739427</c:v>
                </c:pt>
                <c:pt idx="5">
                  <c:v>0.0131943860172932</c:v>
                </c:pt>
                <c:pt idx="6">
                  <c:v>0.0158953195461578</c:v>
                </c:pt>
                <c:pt idx="7">
                  <c:v>0.0186181952868706</c:v>
                </c:pt>
                <c:pt idx="8">
                  <c:v>0.021363401149842</c:v>
                </c:pt>
                <c:pt idx="9">
                  <c:v>0.0241312684684749</c:v>
                </c:pt>
                <c:pt idx="10">
                  <c:v>0.0269221070325855</c:v>
                </c:pt>
                <c:pt idx="11">
                  <c:v>0.0297361588111079</c:v>
                </c:pt>
                <c:pt idx="12">
                  <c:v>0.0325736502795562</c:v>
                </c:pt>
                <c:pt idx="13">
                  <c:v>0.0354347058634138</c:v>
                </c:pt>
                <c:pt idx="14">
                  <c:v>0.0383194636840999</c:v>
                </c:pt>
                <c:pt idx="15">
                  <c:v>0.0412279685075627</c:v>
                </c:pt>
                <c:pt idx="16">
                  <c:v>0.0441601937560882</c:v>
                </c:pt>
                <c:pt idx="17">
                  <c:v>0.0471161270635222</c:v>
                </c:pt>
                <c:pt idx="18">
                  <c:v>0.0500955337575806</c:v>
                </c:pt>
                <c:pt idx="19">
                  <c:v>0.0530983088000642</c:v>
                </c:pt>
                <c:pt idx="20">
                  <c:v>0.0561241169623842</c:v>
                </c:pt>
                <c:pt idx="21">
                  <c:v>0.059172606431638</c:v>
                </c:pt>
                <c:pt idx="22">
                  <c:v>0.0622433489126704</c:v>
                </c:pt>
                <c:pt idx="23">
                  <c:v>0.0653357744333671</c:v>
                </c:pt>
                <c:pt idx="24">
                  <c:v>0.0684493301725777</c:v>
                </c:pt>
                <c:pt idx="25">
                  <c:v>0.0715831871182425</c:v>
                </c:pt>
                <c:pt idx="26">
                  <c:v>0.0747366760900276</c:v>
                </c:pt>
                <c:pt idx="27">
                  <c:v>0.0779087602628888</c:v>
                </c:pt>
                <c:pt idx="28">
                  <c:v>0.0810984811724022</c:v>
                </c:pt>
                <c:pt idx="29">
                  <c:v>0.084304752397042</c:v>
                </c:pt>
                <c:pt idx="30">
                  <c:v>0.0875262790304804</c:v>
                </c:pt>
                <c:pt idx="31">
                  <c:v>0.0907616898366128</c:v>
                </c:pt>
                <c:pt idx="32">
                  <c:v>0.0940096228099946</c:v>
                </c:pt>
                <c:pt idx="33">
                  <c:v>0.0972683742948474</c:v>
                </c:pt>
                <c:pt idx="34">
                  <c:v>0.100536359799505</c:v>
                </c:pt>
                <c:pt idx="35">
                  <c:v>0.103811686879122</c:v>
                </c:pt>
                <c:pt idx="36">
                  <c:v>0.107092429277809</c:v>
                </c:pt>
                <c:pt idx="37">
                  <c:v>0.110376502433938</c:v>
                </c:pt>
                <c:pt idx="38">
                  <c:v>0.113661719042308</c:v>
                </c:pt>
                <c:pt idx="39">
                  <c:v>0.116945845133869</c:v>
                </c:pt>
                <c:pt idx="40">
                  <c:v>0.120226242030575</c:v>
                </c:pt>
                <c:pt idx="41">
                  <c:v>0.123500475130515</c:v>
                </c:pt>
                <c:pt idx="42">
                  <c:v>0.126765796133608</c:v>
                </c:pt>
                <c:pt idx="43">
                  <c:v>0.13001935041578</c:v>
                </c:pt>
                <c:pt idx="44">
                  <c:v>0.13325804061807</c:v>
                </c:pt>
                <c:pt idx="45">
                  <c:v>0.136478886413044</c:v>
                </c:pt>
                <c:pt idx="46">
                  <c:v>0.139678609260024</c:v>
                </c:pt>
                <c:pt idx="47">
                  <c:v>0.142853753934796</c:v>
                </c:pt>
                <c:pt idx="48">
                  <c:v>0.146000881654207</c:v>
                </c:pt>
                <c:pt idx="49">
                  <c:v>0.14911623853184</c:v>
                </c:pt>
                <c:pt idx="50">
                  <c:v>0.152196132297447</c:v>
                </c:pt>
                <c:pt idx="51">
                  <c:v>0.155236502335581</c:v>
                </c:pt>
                <c:pt idx="52">
                  <c:v>0.15823336038091</c:v>
                </c:pt>
                <c:pt idx="53">
                  <c:v>0.161182414130383</c:v>
                </c:pt>
                <c:pt idx="54">
                  <c:v>0.164079402125123</c:v>
                </c:pt>
                <c:pt idx="55">
                  <c:v>0.166919855473952</c:v>
                </c:pt>
                <c:pt idx="56">
                  <c:v>0.169698869650924</c:v>
                </c:pt>
                <c:pt idx="57">
                  <c:v>0.172412138340283</c:v>
                </c:pt>
                <c:pt idx="58">
                  <c:v>0.175054463636288</c:v>
                </c:pt>
                <c:pt idx="59">
                  <c:v>0.177620822435777</c:v>
                </c:pt>
                <c:pt idx="60">
                  <c:v>0.18010611601057</c:v>
                </c:pt>
                <c:pt idx="61">
                  <c:v>0.182504972508684</c:v>
                </c:pt>
                <c:pt idx="62">
                  <c:v>0.184812067746511</c:v>
                </c:pt>
                <c:pt idx="63">
                  <c:v>0.18702153532721</c:v>
                </c:pt>
                <c:pt idx="64">
                  <c:v>0.189128177169468</c:v>
                </c:pt>
                <c:pt idx="65">
                  <c:v>0.191125623584449</c:v>
                </c:pt>
                <c:pt idx="66">
                  <c:v>0.193008203810431</c:v>
                </c:pt>
                <c:pt idx="67">
                  <c:v>0.194769722879851</c:v>
                </c:pt>
                <c:pt idx="68">
                  <c:v>0.196403839553801</c:v>
                </c:pt>
                <c:pt idx="69">
                  <c:v>0.197904354947128</c:v>
                </c:pt>
                <c:pt idx="70">
                  <c:v>0.199264635890022</c:v>
                </c:pt>
                <c:pt idx="71">
                  <c:v>0.200477974403799</c:v>
                </c:pt>
                <c:pt idx="72">
                  <c:v>0.201537831125302</c:v>
                </c:pt>
                <c:pt idx="73">
                  <c:v>0.202437361505842</c:v>
                </c:pt>
                <c:pt idx="74">
                  <c:v>0.203169842609934</c:v>
                </c:pt>
                <c:pt idx="75">
                  <c:v>0.203726349567432</c:v>
                </c:pt>
                <c:pt idx="76">
                  <c:v>0.204101583716792</c:v>
                </c:pt>
                <c:pt idx="77">
                  <c:v>0.204287438822453</c:v>
                </c:pt>
                <c:pt idx="78">
                  <c:v>0.204276519234725</c:v>
                </c:pt>
                <c:pt idx="79">
                  <c:v>0.204060817643874</c:v>
                </c:pt>
                <c:pt idx="80">
                  <c:v>0.203633187380192</c:v>
                </c:pt>
                <c:pt idx="81">
                  <c:v>0.202985181284066</c:v>
                </c:pt>
                <c:pt idx="82">
                  <c:v>0.202108939961941</c:v>
                </c:pt>
                <c:pt idx="83">
                  <c:v>0.200996418868323</c:v>
                </c:pt>
                <c:pt idx="84">
                  <c:v>0.19963914173103</c:v>
                </c:pt>
                <c:pt idx="85">
                  <c:v>0.198029052645306</c:v>
                </c:pt>
                <c:pt idx="86">
                  <c:v>0.196157234884723</c:v>
                </c:pt>
                <c:pt idx="87">
                  <c:v>0.194015525439974</c:v>
                </c:pt>
                <c:pt idx="88">
                  <c:v>0.191594937976117</c:v>
                </c:pt>
                <c:pt idx="89">
                  <c:v>0.188886642247385</c:v>
                </c:pt>
                <c:pt idx="90">
                  <c:v>0.185881708710731</c:v>
                </c:pt>
                <c:pt idx="91">
                  <c:v>0.182571039497688</c:v>
                </c:pt>
                <c:pt idx="92">
                  <c:v>0.178945507263631</c:v>
                </c:pt>
                <c:pt idx="93">
                  <c:v>0.174995769268401</c:v>
                </c:pt>
                <c:pt idx="94">
                  <c:v>0.170712030550849</c:v>
                </c:pt>
                <c:pt idx="95">
                  <c:v>0.166085575799058</c:v>
                </c:pt>
                <c:pt idx="96">
                  <c:v>0.161106111860145</c:v>
                </c:pt>
                <c:pt idx="97">
                  <c:v>0.155764240385319</c:v>
                </c:pt>
                <c:pt idx="98">
                  <c:v>0.150049833374648</c:v>
                </c:pt>
                <c:pt idx="99">
                  <c:v>0.143953128710938</c:v>
                </c:pt>
                <c:pt idx="100">
                  <c:v>0.137464121409773</c:v>
                </c:pt>
                <c:pt idx="101">
                  <c:v>0.130572326337848</c:v>
                </c:pt>
                <c:pt idx="102">
                  <c:v>0.123267810702171</c:v>
                </c:pt>
                <c:pt idx="103">
                  <c:v>0.115539686037396</c:v>
                </c:pt>
                <c:pt idx="104">
                  <c:v>0.0699568591648907</c:v>
                </c:pt>
                <c:pt idx="105">
                  <c:v>0.0753740597594443</c:v>
                </c:pt>
                <c:pt idx="106">
                  <c:v>0.081118198633831</c:v>
                </c:pt>
                <c:pt idx="107">
                  <c:v>0.0872037739536775</c:v>
                </c:pt>
                <c:pt idx="108">
                  <c:v>0.0936456777147576</c:v>
                </c:pt>
                <c:pt idx="109">
                  <c:v>0.100459196533503</c:v>
                </c:pt>
                <c:pt idx="110">
                  <c:v>0.10766001213325</c:v>
                </c:pt>
                <c:pt idx="111">
                  <c:v>0.115264201533054</c:v>
                </c:pt>
                <c:pt idx="112">
                  <c:v>0.123288236948898</c:v>
                </c:pt>
                <c:pt idx="113">
                  <c:v>0.131748985415993</c:v>
                </c:pt>
                <c:pt idx="114">
                  <c:v>0.140663708144112</c:v>
                </c:pt>
                <c:pt idx="115">
                  <c:v>0.150050059616618</c:v>
                </c:pt>
                <c:pt idx="116">
                  <c:v>0.15992608644704</c:v>
                </c:pt>
                <c:pt idx="117">
                  <c:v>0.170310226005415</c:v>
                </c:pt>
                <c:pt idx="118">
                  <c:v>0.181221304828686</c:v>
                </c:pt>
                <c:pt idx="119">
                  <c:v>0.192678536829311</c:v>
                </c:pt>
                <c:pt idx="120">
                  <c:v>0.204701521316338</c:v>
                </c:pt>
                <c:pt idx="121">
                  <c:v>0.217310240843213</c:v>
                </c:pt>
                <c:pt idx="122">
                  <c:v>0.230525058897049</c:v>
                </c:pt>
                <c:pt idx="123">
                  <c:v>0.244366717443328</c:v>
                </c:pt>
                <c:pt idx="124">
                  <c:v>0.258856334339701</c:v>
                </c:pt>
                <c:pt idx="125">
                  <c:v>0.274015400632453</c:v>
                </c:pt>
                <c:pt idx="126">
                  <c:v>0.289865777747941</c:v>
                </c:pt>
                <c:pt idx="127">
                  <c:v>0.306429694591481</c:v>
                </c:pt>
                <c:pt idx="128">
                  <c:v>0.323729744564094</c:v>
                </c:pt>
                <c:pt idx="129">
                  <c:v>0.341788882508559</c:v>
                </c:pt>
                <c:pt idx="130">
                  <c:v>0.360630421592422</c:v>
                </c:pt>
                <c:pt idx="131">
                  <c:v>0.380278030137444</c:v>
                </c:pt>
                <c:pt idx="132">
                  <c:v>0.400755728402908</c:v>
                </c:pt>
                <c:pt idx="133">
                  <c:v>0.422087885326823</c:v>
                </c:pt>
                <c:pt idx="134">
                  <c:v>0.444299215233035</c:v>
                </c:pt>
                <c:pt idx="135">
                  <c:v>0.467414774506231</c:v>
                </c:pt>
                <c:pt idx="136">
                  <c:v>0.491459958236953</c:v>
                </c:pt>
                <c:pt idx="137">
                  <c:v>0.516460496841804</c:v>
                </c:pt>
                <c:pt idx="138">
                  <c:v>0.542442452655021</c:v>
                </c:pt>
                <c:pt idx="139">
                  <c:v>0.569432216496707</c:v>
                </c:pt>
                <c:pt idx="140">
                  <c:v>0.597456504210609</c:v>
                </c:pt>
                <c:pt idx="141">
                  <c:v>0.626542353176454</c:v>
                </c:pt>
                <c:pt idx="142">
                  <c:v>0.65671711878953</c:v>
                </c:pt>
                <c:pt idx="143">
                  <c:v>0.688008470904935</c:v>
                </c:pt>
                <c:pt idx="144">
                  <c:v>0.720444390247187</c:v>
                </c:pt>
                <c:pt idx="145">
                  <c:v>0.754053164776201</c:v>
                </c:pt>
                <c:pt idx="146">
                  <c:v>0.788863386009294</c:v>
                </c:pt>
                <c:pt idx="147">
                  <c:v>0.824903945290915</c:v>
                </c:pt>
                <c:pt idx="148">
                  <c:v>0.862204030013076</c:v>
                </c:pt>
                <c:pt idx="149">
                  <c:v>0.900793119772801</c:v>
                </c:pt>
                <c:pt idx="150">
                  <c:v>0.940700982467862</c:v>
                </c:pt>
                <c:pt idx="151">
                  <c:v>0.981957670329297</c:v>
                </c:pt>
                <c:pt idx="152">
                  <c:v>1.02459351588488</c:v>
                </c:pt>
                <c:pt idx="153">
                  <c:v>1.06863912785678</c:v>
                </c:pt>
                <c:pt idx="154">
                  <c:v>1.11398655229509</c:v>
                </c:pt>
                <c:pt idx="155">
                  <c:v>1.1604327499858</c:v>
                </c:pt>
                <c:pt idx="156">
                  <c:v>1.20798943592143</c:v>
                </c:pt>
                <c:pt idx="157">
                  <c:v>1.25667172776274</c:v>
                </c:pt>
                <c:pt idx="158">
                  <c:v>1.30649576935832</c:v>
                </c:pt>
                <c:pt idx="159">
                  <c:v>1.35747847329977</c:v>
                </c:pt>
                <c:pt idx="160">
                  <c:v>1.40963413842696</c:v>
                </c:pt>
                <c:pt idx="161">
                  <c:v>1.46298018511513</c:v>
                </c:pt>
                <c:pt idx="162">
                  <c:v>1.51753203011035</c:v>
                </c:pt>
                <c:pt idx="163">
                  <c:v>1.57330625814969</c:v>
                </c:pt>
                <c:pt idx="164">
                  <c:v>1.63031961989537</c:v>
                </c:pt>
                <c:pt idx="165">
                  <c:v>1.68858806087484</c:v>
                </c:pt>
                <c:pt idx="166">
                  <c:v>1.74812896626684</c:v>
                </c:pt>
                <c:pt idx="167">
                  <c:v>1.80895889762232</c:v>
                </c:pt>
                <c:pt idx="168">
                  <c:v>1.87109511500225</c:v>
                </c:pt>
                <c:pt idx="169">
                  <c:v>1.93455476166596</c:v>
                </c:pt>
                <c:pt idx="170">
                  <c:v>1.99935504953633</c:v>
                </c:pt>
                <c:pt idx="171">
                  <c:v>2.06551334299947</c:v>
                </c:pt>
                <c:pt idx="172">
                  <c:v>2.13304773989218</c:v>
                </c:pt>
                <c:pt idx="173">
                  <c:v>2.20197623651966</c:v>
                </c:pt>
                <c:pt idx="174">
                  <c:v>2.27231657860447</c:v>
                </c:pt>
                <c:pt idx="175">
                  <c:v>2.34408696331946</c:v>
                </c:pt>
                <c:pt idx="176">
                  <c:v>2.41730597268435</c:v>
                </c:pt>
                <c:pt idx="177">
                  <c:v>2.49199292209571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Sheet1!$C$41</c:f>
              <c:strCache>
                <c:ptCount val="1"/>
                <c:pt idx="0">
                  <c:v>CLcg</c:v>
                </c:pt>
              </c:strCache>
            </c:strRef>
          </c:tx>
          <c:spPr>
            <a:solidFill>
              <a:srgbClr val="99cc00"/>
            </a:solidFill>
            <a:ln w="25200">
              <a:solidFill>
                <a:srgbClr val="99cc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Sheet1!$M$39:$M$51</c:f>
              <c:numCache>
                <c:formatCode>General</c:formatCode>
                <c:ptCount val="13"/>
              </c:numCache>
            </c:numRef>
          </c:xVal>
          <c:yVal>
            <c:numRef>
              <c:f>Sheet1!$O$39:$O$51</c:f>
              <c:numCache>
                <c:formatCode>General</c:formatCode>
                <c:ptCount val="13"/>
              </c:numCache>
            </c:numRef>
          </c:yVal>
          <c:smooth val="0"/>
        </c:ser>
        <c:axId val="52717285"/>
        <c:axId val="3887091"/>
      </c:scatterChart>
      <c:valAx>
        <c:axId val="430703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Alpha, deg</a:t>
                </a:r>
              </a:p>
            </c:rich>
          </c:tx>
          <c:layout>
            <c:manualLayout>
              <c:xMode val="edge"/>
              <c:yMode val="edge"/>
              <c:x val="0.448660368592225"/>
              <c:y val="0.93356203544882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4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988605"/>
        <c:crossesAt val="0"/>
        <c:crossBetween val="midCat"/>
      </c:valAx>
      <c:valAx>
        <c:axId val="52717285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Alpha, deg</a:t>
                </a:r>
              </a:p>
            </c:rich>
          </c:tx>
          <c:layout>
            <c:manualLayout>
              <c:xMode val="edge"/>
              <c:yMode val="edge"/>
              <c:x val="0.448660368592225"/>
              <c:y val="0.93356203544882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4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87091"/>
        <c:crossBetween val="midCat"/>
      </c:valAx>
      <c:valAx>
        <c:axId val="36988605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4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070363"/>
        <c:crossesAt val="0"/>
        <c:crossBetween val="midCat"/>
      </c:valAx>
      <c:valAx>
        <c:axId val="3887091"/>
        <c:scaling>
          <c:orientation val="minMax"/>
        </c:scaling>
        <c:delete val="1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4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717285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109854937793609"/>
          <c:y val="0.0453973699256718"/>
          <c:w val="0.114759176087967"/>
          <c:h val="0.139165237278445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sz="14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16326530612245"/>
          <c:y val="0.0196018995655249"/>
          <c:w val="0.899814471243043"/>
          <c:h val="0.91350914418510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diamond"/>
            <c:size val="7"/>
            <c:spPr>
              <a:solidFill>
                <a:srgbClr val="666699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Sheet1!$E$43:$E$50</c:f>
              <c:numCache>
                <c:formatCode>General</c:formatCode>
                <c:ptCount val="8"/>
                <c:pt idx="0">
                  <c:v>0</c:v>
                </c:pt>
                <c:pt idx="1">
                  <c:v>0.00017956280355548</c:v>
                </c:pt>
                <c:pt idx="2">
                  <c:v>0.000270090319782403</c:v>
                </c:pt>
                <c:pt idx="3">
                  <c:v>0.000361142915575652</c:v>
                </c:pt>
                <c:pt idx="4">
                  <c:v>0.000544879152082506</c:v>
                </c:pt>
                <c:pt idx="5">
                  <c:v>0.000730864833347534</c:v>
                </c:pt>
                <c:pt idx="6">
                  <c:v>0.00110986398006234</c:v>
                </c:pt>
                <c:pt idx="7">
                  <c:v>0.00149857666612312</c:v>
                </c:pt>
              </c:numCache>
            </c:numRef>
          </c:xVal>
          <c:yVal>
            <c:numRef>
              <c:f>Sheet1!$C$43:$C$50</c:f>
              <c:numCache>
                <c:formatCode>General</c:formatCode>
                <c:ptCount val="8"/>
                <c:pt idx="0">
                  <c:v>0</c:v>
                </c:pt>
                <c:pt idx="1">
                  <c:v>4.53835521001689E-005</c:v>
                </c:pt>
                <c:pt idx="2">
                  <c:v>0.00010211299222538</c:v>
                </c:pt>
                <c:pt idx="3">
                  <c:v>0.000181534208400676</c:v>
                </c:pt>
                <c:pt idx="4">
                  <c:v>0.00040845196890152</c:v>
                </c:pt>
                <c:pt idx="5">
                  <c:v>0.000726136833602703</c:v>
                </c:pt>
                <c:pt idx="6">
                  <c:v>0.00163380787560608</c:v>
                </c:pt>
                <c:pt idx="7">
                  <c:v>0.00290454733441081</c:v>
                </c:pt>
              </c:numCache>
            </c:numRef>
          </c:yVal>
          <c:smooth val="1"/>
        </c:ser>
        <c:axId val="79377546"/>
        <c:axId val="41363877"/>
      </c:scatterChart>
      <c:valAx>
        <c:axId val="793775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CLi</a:t>
                </a:r>
              </a:p>
            </c:rich>
          </c:tx>
          <c:layout>
            <c:manualLayout>
              <c:xMode val="edge"/>
              <c:yMode val="edge"/>
              <c:x val="0.529647495361781"/>
              <c:y val="0.91492371425684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363877"/>
        <c:crossesAt val="0"/>
        <c:crossBetween val="midCat"/>
      </c:valAx>
      <c:valAx>
        <c:axId val="41363877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CLcg</a:t>
                </a:r>
              </a:p>
            </c:rich>
          </c:tx>
          <c:layout>
            <c:manualLayout>
              <c:xMode val="edge"/>
              <c:yMode val="edge"/>
              <c:x val="0.0185528756957328"/>
              <c:y val="0.42315853288875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377546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N=4 SM=20</a:t>
            </a:r>
          </a:p>
        </c:rich>
      </c:tx>
      <c:layout>
        <c:manualLayout>
          <c:xMode val="edge"/>
          <c:yMode val="edge"/>
          <c:x val="0.376297187547"/>
          <c:y val="0.043038971263613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67709429989472"/>
          <c:y val="0.118357170974938"/>
          <c:w val="0.816363362911716"/>
          <c:h val="0.881642829025062"/>
        </c:manualLayout>
      </c:layout>
      <c:scatterChart>
        <c:scatterStyle val="line"/>
        <c:varyColors val="0"/>
        <c:ser>
          <c:idx val="0"/>
          <c:order val="0"/>
          <c:tx>
            <c:strRef>
              <c:f>Sheet3!$F$5</c:f>
              <c:strCache>
                <c:ptCount val="1"/>
                <c:pt idx="0">
                  <c:v>Clin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Sheet3!$E$6:$E$83</c:f>
              <c:numCache>
                <c:formatCode>General</c:formatCode>
                <c:ptCount val="78"/>
                <c:pt idx="0">
                  <c:v>0</c:v>
                </c:pt>
                <c:pt idx="1">
                  <c:v>0.0909090909090909</c:v>
                </c:pt>
                <c:pt idx="2">
                  <c:v>0.181818181818182</c:v>
                </c:pt>
                <c:pt idx="3">
                  <c:v>0.272727272727273</c:v>
                </c:pt>
                <c:pt idx="4">
                  <c:v>0.363636363636364</c:v>
                </c:pt>
                <c:pt idx="5">
                  <c:v>0.454545454545455</c:v>
                </c:pt>
                <c:pt idx="6">
                  <c:v>0.545454545454545</c:v>
                </c:pt>
                <c:pt idx="7">
                  <c:v>0.636363636363636</c:v>
                </c:pt>
                <c:pt idx="8">
                  <c:v>0.727272727272727</c:v>
                </c:pt>
                <c:pt idx="9">
                  <c:v>0.818181818181818</c:v>
                </c:pt>
                <c:pt idx="10">
                  <c:v>0.909090909090909</c:v>
                </c:pt>
                <c:pt idx="11">
                  <c:v>1</c:v>
                </c:pt>
                <c:pt idx="12">
                  <c:v>1.09090909090909</c:v>
                </c:pt>
                <c:pt idx="13">
                  <c:v>1.18181818181818</c:v>
                </c:pt>
                <c:pt idx="14">
                  <c:v>1.27272727272727</c:v>
                </c:pt>
                <c:pt idx="15">
                  <c:v>1.36363636363636</c:v>
                </c:pt>
                <c:pt idx="16">
                  <c:v>1.45454545454545</c:v>
                </c:pt>
                <c:pt idx="17">
                  <c:v>1.54545454545455</c:v>
                </c:pt>
                <c:pt idx="18">
                  <c:v>1.63636363636364</c:v>
                </c:pt>
                <c:pt idx="19">
                  <c:v>1.72727272727273</c:v>
                </c:pt>
                <c:pt idx="20">
                  <c:v>1.81818181818182</c:v>
                </c:pt>
                <c:pt idx="21">
                  <c:v>1.90909090909091</c:v>
                </c:pt>
                <c:pt idx="22">
                  <c:v>2</c:v>
                </c:pt>
                <c:pt idx="23">
                  <c:v>2.09090909090909</c:v>
                </c:pt>
                <c:pt idx="24">
                  <c:v>2.18181818181818</c:v>
                </c:pt>
                <c:pt idx="25">
                  <c:v>2.27272727272727</c:v>
                </c:pt>
                <c:pt idx="26">
                  <c:v>2.36363636363636</c:v>
                </c:pt>
                <c:pt idx="27">
                  <c:v>2.45454545454545</c:v>
                </c:pt>
                <c:pt idx="28">
                  <c:v>2.54545454545455</c:v>
                </c:pt>
                <c:pt idx="29">
                  <c:v>2.63636363636364</c:v>
                </c:pt>
                <c:pt idx="30">
                  <c:v>2.72727272727273</c:v>
                </c:pt>
                <c:pt idx="31">
                  <c:v>2.81818181818182</c:v>
                </c:pt>
                <c:pt idx="32">
                  <c:v>2.90909090909091</c:v>
                </c:pt>
                <c:pt idx="33">
                  <c:v>3</c:v>
                </c:pt>
                <c:pt idx="34">
                  <c:v>3.09090909090909</c:v>
                </c:pt>
                <c:pt idx="35">
                  <c:v>3.18181818181818</c:v>
                </c:pt>
                <c:pt idx="36">
                  <c:v>3.27272727272727</c:v>
                </c:pt>
                <c:pt idx="37">
                  <c:v>3.36363636363636</c:v>
                </c:pt>
                <c:pt idx="38">
                  <c:v>3.45454545454545</c:v>
                </c:pt>
                <c:pt idx="39">
                  <c:v>3.54545454545455</c:v>
                </c:pt>
                <c:pt idx="40">
                  <c:v>3.63636363636364</c:v>
                </c:pt>
                <c:pt idx="41">
                  <c:v>3.72727272727273</c:v>
                </c:pt>
                <c:pt idx="42">
                  <c:v>3.81818181818182</c:v>
                </c:pt>
                <c:pt idx="43">
                  <c:v>3.90909090909091</c:v>
                </c:pt>
                <c:pt idx="44">
                  <c:v>4</c:v>
                </c:pt>
                <c:pt idx="45">
                  <c:v>4.09090909090909</c:v>
                </c:pt>
                <c:pt idx="46">
                  <c:v>4.18181818181818</c:v>
                </c:pt>
                <c:pt idx="47">
                  <c:v>4.27272727272727</c:v>
                </c:pt>
                <c:pt idx="48">
                  <c:v>4.36363636363636</c:v>
                </c:pt>
                <c:pt idx="49">
                  <c:v>4.45454545454545</c:v>
                </c:pt>
                <c:pt idx="50">
                  <c:v>4.54545454545455</c:v>
                </c:pt>
                <c:pt idx="51">
                  <c:v>4.63636363636364</c:v>
                </c:pt>
                <c:pt idx="52">
                  <c:v>4.72727272727273</c:v>
                </c:pt>
                <c:pt idx="53">
                  <c:v>4.81818181818182</c:v>
                </c:pt>
                <c:pt idx="54">
                  <c:v>4.90909090909091</c:v>
                </c:pt>
                <c:pt idx="55">
                  <c:v>5</c:v>
                </c:pt>
                <c:pt idx="56">
                  <c:v>5.09090909090909</c:v>
                </c:pt>
                <c:pt idx="57">
                  <c:v>5.18181818181818</c:v>
                </c:pt>
                <c:pt idx="58">
                  <c:v>5.27272727272727</c:v>
                </c:pt>
                <c:pt idx="59">
                  <c:v>5.36363636363636</c:v>
                </c:pt>
                <c:pt idx="60">
                  <c:v>5.45454545454545</c:v>
                </c:pt>
                <c:pt idx="61">
                  <c:v>5.54545454545455</c:v>
                </c:pt>
                <c:pt idx="62">
                  <c:v>5.63636363636364</c:v>
                </c:pt>
                <c:pt idx="63">
                  <c:v>5.72727272727273</c:v>
                </c:pt>
                <c:pt idx="64">
                  <c:v>5.81818181818182</c:v>
                </c:pt>
                <c:pt idx="65">
                  <c:v>5.90909090909091</c:v>
                </c:pt>
                <c:pt idx="66">
                  <c:v>6</c:v>
                </c:pt>
                <c:pt idx="67">
                  <c:v>6.09090909090909</c:v>
                </c:pt>
                <c:pt idx="68">
                  <c:v>6.18181818181818</c:v>
                </c:pt>
                <c:pt idx="69">
                  <c:v>6.27272727272727</c:v>
                </c:pt>
                <c:pt idx="70">
                  <c:v>6.36363636363636</c:v>
                </c:pt>
                <c:pt idx="71">
                  <c:v>6.45454545454545</c:v>
                </c:pt>
                <c:pt idx="72">
                  <c:v>6.54545454545455</c:v>
                </c:pt>
                <c:pt idx="73">
                  <c:v>6.63636363636364</c:v>
                </c:pt>
                <c:pt idx="74">
                  <c:v>6.72727272727273</c:v>
                </c:pt>
                <c:pt idx="75">
                  <c:v>6.81818181818182</c:v>
                </c:pt>
                <c:pt idx="76">
                  <c:v>6.90909090909091</c:v>
                </c:pt>
                <c:pt idx="77">
                  <c:v>7</c:v>
                </c:pt>
              </c:numCache>
            </c:numRef>
          </c:xVal>
          <c:yVal>
            <c:numRef>
              <c:f>Sheet3!$F$6:$F$83</c:f>
              <c:numCache>
                <c:formatCode>General</c:formatCode>
                <c:ptCount val="78"/>
                <c:pt idx="0">
                  <c:v>8.72154211620184E-006</c:v>
                </c:pt>
                <c:pt idx="1">
                  <c:v>0.000877436103431</c:v>
                </c:pt>
                <c:pt idx="2">
                  <c:v>0.00176650946451088</c:v>
                </c:pt>
                <c:pt idx="3">
                  <c:v>0.00266805240003497</c:v>
                </c:pt>
                <c:pt idx="4">
                  <c:v>0.0035826245917402</c:v>
                </c:pt>
                <c:pt idx="5">
                  <c:v>0.0045106581050692</c:v>
                </c:pt>
                <c:pt idx="6">
                  <c:v>0.00545249357588288</c:v>
                </c:pt>
                <c:pt idx="7">
                  <c:v>0.00640839172139374</c:v>
                </c:pt>
                <c:pt idx="8">
                  <c:v>0.00737850690394341</c:v>
                </c:pt>
                <c:pt idx="9">
                  <c:v>0.00836290618943747</c:v>
                </c:pt>
                <c:pt idx="10">
                  <c:v>0.00936153359274015</c:v>
                </c:pt>
                <c:pt idx="11">
                  <c:v>0.0103742043267032</c:v>
                </c:pt>
                <c:pt idx="12">
                  <c:v>0.0114005982638552</c:v>
                </c:pt>
                <c:pt idx="13">
                  <c:v>0.0124402194998511</c:v>
                </c:pt>
                <c:pt idx="14">
                  <c:v>0.0134924213770307</c:v>
                </c:pt>
                <c:pt idx="15">
                  <c:v>0.0145563632944419</c:v>
                </c:pt>
                <c:pt idx="16">
                  <c:v>0.0156310197467692</c:v>
                </c:pt>
                <c:pt idx="17">
                  <c:v>0.0167151619011114</c:v>
                </c:pt>
                <c:pt idx="18">
                  <c:v>0.0178073155754407</c:v>
                </c:pt>
                <c:pt idx="19">
                  <c:v>0.0189058310488437</c:v>
                </c:pt>
                <c:pt idx="20">
                  <c:v>0.0200087940541638</c:v>
                </c:pt>
                <c:pt idx="21">
                  <c:v>0.0211140617376836</c:v>
                </c:pt>
                <c:pt idx="22">
                  <c:v>0.0222192611688831</c:v>
                </c:pt>
                <c:pt idx="23">
                  <c:v>0.0233217508492342</c:v>
                </c:pt>
                <c:pt idx="24">
                  <c:v>0.024418673228878</c:v>
                </c:pt>
                <c:pt idx="25">
                  <c:v>0.025506825719506</c:v>
                </c:pt>
                <c:pt idx="26">
                  <c:v>0.0265828397393522</c:v>
                </c:pt>
                <c:pt idx="27">
                  <c:v>0.027643072035039</c:v>
                </c:pt>
                <c:pt idx="28">
                  <c:v>0.0286835835785864</c:v>
                </c:pt>
                <c:pt idx="29">
                  <c:v>0.0297002341071816</c:v>
                </c:pt>
                <c:pt idx="30">
                  <c:v>0.0306884323525009</c:v>
                </c:pt>
                <c:pt idx="31">
                  <c:v>0.0316436031805796</c:v>
                </c:pt>
                <c:pt idx="32">
                  <c:v>0.0325606991073766</c:v>
                </c:pt>
                <c:pt idx="33">
                  <c:v>0.0334345114891751</c:v>
                </c:pt>
                <c:pt idx="34">
                  <c:v>0.0342594973464934</c:v>
                </c:pt>
                <c:pt idx="35">
                  <c:v>0.0350299332527065</c:v>
                </c:pt>
                <c:pt idx="36">
                  <c:v>0.0357397530522447</c:v>
                </c:pt>
                <c:pt idx="37">
                  <c:v>0.0363826713897614</c:v>
                </c:pt>
                <c:pt idx="38">
                  <c:v>0.0369521956687222</c:v>
                </c:pt>
                <c:pt idx="39">
                  <c:v>0.037441498017038</c:v>
                </c:pt>
                <c:pt idx="40">
                  <c:v>0.0378435127396933</c:v>
                </c:pt>
                <c:pt idx="41">
                  <c:v>0.0381509777175306</c:v>
                </c:pt>
                <c:pt idx="42">
                  <c:v>0.0383563347288363</c:v>
                </c:pt>
                <c:pt idx="43">
                  <c:v>0.038451814697666</c:v>
                </c:pt>
                <c:pt idx="44">
                  <c:v>0.0384293708689016</c:v>
                </c:pt>
                <c:pt idx="45">
                  <c:v>0.0382807172559513</c:v>
                </c:pt>
                <c:pt idx="46">
                  <c:v>0.0379974091337169</c:v>
                </c:pt>
                <c:pt idx="47">
                  <c:v>0.0375706715070165</c:v>
                </c:pt>
                <c:pt idx="48">
                  <c:v>0.036991501289153</c:v>
                </c:pt>
                <c:pt idx="49">
                  <c:v>0.0362507962310672</c:v>
                </c:pt>
                <c:pt idx="50">
                  <c:v>0.0353390605923818</c:v>
                </c:pt>
                <c:pt idx="51">
                  <c:v>0.0342466782756555</c:v>
                </c:pt>
                <c:pt idx="52">
                  <c:v>0.0329637959487054</c:v>
                </c:pt>
                <c:pt idx="53">
                  <c:v>0.031480310450378</c:v>
                </c:pt>
                <c:pt idx="54">
                  <c:v>0.0297859637735812</c:v>
                </c:pt>
                <c:pt idx="55">
                  <c:v>0.0278702237264376</c:v>
                </c:pt>
                <c:pt idx="56">
                  <c:v>0.0257224021814783</c:v>
                </c:pt>
                <c:pt idx="57">
                  <c:v>0.023331619381644</c:v>
                </c:pt>
                <c:pt idx="58">
                  <c:v>0.0128710930975446</c:v>
                </c:pt>
                <c:pt idx="59">
                  <c:v>0.0147044480155397</c:v>
                </c:pt>
                <c:pt idx="60">
                  <c:v>0.0167387637554905</c:v>
                </c:pt>
                <c:pt idx="61">
                  <c:v>0.0189900093654982</c:v>
                </c:pt>
                <c:pt idx="62">
                  <c:v>0.0214749129782025</c:v>
                </c:pt>
                <c:pt idx="63">
                  <c:v>0.024210962811465</c:v>
                </c:pt>
                <c:pt idx="64">
                  <c:v>0.0272164064043092</c:v>
                </c:pt>
                <c:pt idx="65">
                  <c:v>0.0305102482010727</c:v>
                </c:pt>
                <c:pt idx="66">
                  <c:v>0.0341122456148079</c:v>
                </c:pt>
                <c:pt idx="67">
                  <c:v>0.0380429037148826</c:v>
                </c:pt>
                <c:pt idx="68">
                  <c:v>0.0423234686927094</c:v>
                </c:pt>
                <c:pt idx="69">
                  <c:v>0.0469759202630631</c:v>
                </c:pt>
                <c:pt idx="70">
                  <c:v>0.0520229631572741</c:v>
                </c:pt>
                <c:pt idx="71">
                  <c:v>0.0574880178578657</c:v>
                </c:pt>
                <c:pt idx="72">
                  <c:v>0.0633952107136395</c:v>
                </c:pt>
                <c:pt idx="73">
                  <c:v>0.0697693635593153</c:v>
                </c:pt>
                <c:pt idx="74">
                  <c:v>0.0766359829462154</c:v>
                </c:pt>
                <c:pt idx="75">
                  <c:v>0.0840212490705848</c:v>
                </c:pt>
                <c:pt idx="76">
                  <c:v>0.0919520044649941</c:v>
                </c:pt>
                <c:pt idx="77">
                  <c:v>0.100455742497681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Sheet3!$G$5</c:f>
              <c:strCache>
                <c:ptCount val="1"/>
                <c:pt idx="0">
                  <c:v>CLp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Sheet3!$E$6:$E$83</c:f>
              <c:numCache>
                <c:formatCode>General</c:formatCode>
                <c:ptCount val="78"/>
                <c:pt idx="0">
                  <c:v>0</c:v>
                </c:pt>
                <c:pt idx="1">
                  <c:v>0.0909090909090909</c:v>
                </c:pt>
                <c:pt idx="2">
                  <c:v>0.181818181818182</c:v>
                </c:pt>
                <c:pt idx="3">
                  <c:v>0.272727272727273</c:v>
                </c:pt>
                <c:pt idx="4">
                  <c:v>0.363636363636364</c:v>
                </c:pt>
                <c:pt idx="5">
                  <c:v>0.454545454545455</c:v>
                </c:pt>
                <c:pt idx="6">
                  <c:v>0.545454545454545</c:v>
                </c:pt>
                <c:pt idx="7">
                  <c:v>0.636363636363636</c:v>
                </c:pt>
                <c:pt idx="8">
                  <c:v>0.727272727272727</c:v>
                </c:pt>
                <c:pt idx="9">
                  <c:v>0.818181818181818</c:v>
                </c:pt>
                <c:pt idx="10">
                  <c:v>0.909090909090909</c:v>
                </c:pt>
                <c:pt idx="11">
                  <c:v>1</c:v>
                </c:pt>
                <c:pt idx="12">
                  <c:v>1.09090909090909</c:v>
                </c:pt>
                <c:pt idx="13">
                  <c:v>1.18181818181818</c:v>
                </c:pt>
                <c:pt idx="14">
                  <c:v>1.27272727272727</c:v>
                </c:pt>
                <c:pt idx="15">
                  <c:v>1.36363636363636</c:v>
                </c:pt>
                <c:pt idx="16">
                  <c:v>1.45454545454545</c:v>
                </c:pt>
                <c:pt idx="17">
                  <c:v>1.54545454545455</c:v>
                </c:pt>
                <c:pt idx="18">
                  <c:v>1.63636363636364</c:v>
                </c:pt>
                <c:pt idx="19">
                  <c:v>1.72727272727273</c:v>
                </c:pt>
                <c:pt idx="20">
                  <c:v>1.81818181818182</c:v>
                </c:pt>
                <c:pt idx="21">
                  <c:v>1.90909090909091</c:v>
                </c:pt>
                <c:pt idx="22">
                  <c:v>2</c:v>
                </c:pt>
                <c:pt idx="23">
                  <c:v>2.09090909090909</c:v>
                </c:pt>
                <c:pt idx="24">
                  <c:v>2.18181818181818</c:v>
                </c:pt>
                <c:pt idx="25">
                  <c:v>2.27272727272727</c:v>
                </c:pt>
                <c:pt idx="26">
                  <c:v>2.36363636363636</c:v>
                </c:pt>
                <c:pt idx="27">
                  <c:v>2.45454545454545</c:v>
                </c:pt>
                <c:pt idx="28">
                  <c:v>2.54545454545455</c:v>
                </c:pt>
                <c:pt idx="29">
                  <c:v>2.63636363636364</c:v>
                </c:pt>
                <c:pt idx="30">
                  <c:v>2.72727272727273</c:v>
                </c:pt>
                <c:pt idx="31">
                  <c:v>2.81818181818182</c:v>
                </c:pt>
                <c:pt idx="32">
                  <c:v>2.90909090909091</c:v>
                </c:pt>
                <c:pt idx="33">
                  <c:v>3</c:v>
                </c:pt>
                <c:pt idx="34">
                  <c:v>3.09090909090909</c:v>
                </c:pt>
                <c:pt idx="35">
                  <c:v>3.18181818181818</c:v>
                </c:pt>
                <c:pt idx="36">
                  <c:v>3.27272727272727</c:v>
                </c:pt>
                <c:pt idx="37">
                  <c:v>3.36363636363636</c:v>
                </c:pt>
                <c:pt idx="38">
                  <c:v>3.45454545454545</c:v>
                </c:pt>
                <c:pt idx="39">
                  <c:v>3.54545454545455</c:v>
                </c:pt>
                <c:pt idx="40">
                  <c:v>3.63636363636364</c:v>
                </c:pt>
                <c:pt idx="41">
                  <c:v>3.72727272727273</c:v>
                </c:pt>
                <c:pt idx="42">
                  <c:v>3.81818181818182</c:v>
                </c:pt>
                <c:pt idx="43">
                  <c:v>3.90909090909091</c:v>
                </c:pt>
                <c:pt idx="44">
                  <c:v>4</c:v>
                </c:pt>
                <c:pt idx="45">
                  <c:v>4.09090909090909</c:v>
                </c:pt>
                <c:pt idx="46">
                  <c:v>4.18181818181818</c:v>
                </c:pt>
                <c:pt idx="47">
                  <c:v>4.27272727272727</c:v>
                </c:pt>
                <c:pt idx="48">
                  <c:v>4.36363636363636</c:v>
                </c:pt>
                <c:pt idx="49">
                  <c:v>4.45454545454545</c:v>
                </c:pt>
                <c:pt idx="50">
                  <c:v>4.54545454545455</c:v>
                </c:pt>
                <c:pt idx="51">
                  <c:v>4.63636363636364</c:v>
                </c:pt>
                <c:pt idx="52">
                  <c:v>4.72727272727273</c:v>
                </c:pt>
                <c:pt idx="53">
                  <c:v>4.81818181818182</c:v>
                </c:pt>
                <c:pt idx="54">
                  <c:v>4.90909090909091</c:v>
                </c:pt>
                <c:pt idx="55">
                  <c:v>5</c:v>
                </c:pt>
                <c:pt idx="56">
                  <c:v>5.09090909090909</c:v>
                </c:pt>
                <c:pt idx="57">
                  <c:v>5.18181818181818</c:v>
                </c:pt>
                <c:pt idx="58">
                  <c:v>5.27272727272727</c:v>
                </c:pt>
                <c:pt idx="59">
                  <c:v>5.36363636363636</c:v>
                </c:pt>
                <c:pt idx="60">
                  <c:v>5.45454545454545</c:v>
                </c:pt>
                <c:pt idx="61">
                  <c:v>5.54545454545455</c:v>
                </c:pt>
                <c:pt idx="62">
                  <c:v>5.63636363636364</c:v>
                </c:pt>
                <c:pt idx="63">
                  <c:v>5.72727272727273</c:v>
                </c:pt>
                <c:pt idx="64">
                  <c:v>5.81818181818182</c:v>
                </c:pt>
                <c:pt idx="65">
                  <c:v>5.90909090909091</c:v>
                </c:pt>
                <c:pt idx="66">
                  <c:v>6</c:v>
                </c:pt>
                <c:pt idx="67">
                  <c:v>6.09090909090909</c:v>
                </c:pt>
                <c:pt idx="68">
                  <c:v>6.18181818181818</c:v>
                </c:pt>
                <c:pt idx="69">
                  <c:v>6.27272727272727</c:v>
                </c:pt>
                <c:pt idx="70">
                  <c:v>6.36363636363636</c:v>
                </c:pt>
                <c:pt idx="71">
                  <c:v>6.45454545454545</c:v>
                </c:pt>
                <c:pt idx="72">
                  <c:v>6.54545454545455</c:v>
                </c:pt>
                <c:pt idx="73">
                  <c:v>6.63636363636364</c:v>
                </c:pt>
                <c:pt idx="74">
                  <c:v>6.72727272727273</c:v>
                </c:pt>
                <c:pt idx="75">
                  <c:v>6.81818181818182</c:v>
                </c:pt>
                <c:pt idx="76">
                  <c:v>6.90909090909091</c:v>
                </c:pt>
                <c:pt idx="77">
                  <c:v>7</c:v>
                </c:pt>
              </c:numCache>
            </c:numRef>
          </c:xVal>
          <c:yVal>
            <c:numRef>
              <c:f>Sheet3!$G$6:$G$83</c:f>
              <c:numCache>
                <c:formatCode>General</c:formatCode>
                <c:ptCount val="78"/>
                <c:pt idx="0">
                  <c:v>0.0267805729910982</c:v>
                </c:pt>
                <c:pt idx="1">
                  <c:v>0.0267805729910982</c:v>
                </c:pt>
                <c:pt idx="2">
                  <c:v>0.0267805729910982</c:v>
                </c:pt>
                <c:pt idx="3">
                  <c:v>0.0267805729910982</c:v>
                </c:pt>
                <c:pt idx="4">
                  <c:v>0.0267805729910982</c:v>
                </c:pt>
                <c:pt idx="5">
                  <c:v>0.0267805729910982</c:v>
                </c:pt>
                <c:pt idx="6">
                  <c:v>0.0267805729910982</c:v>
                </c:pt>
                <c:pt idx="7">
                  <c:v>0.0267805729910982</c:v>
                </c:pt>
                <c:pt idx="8">
                  <c:v>0.0267805729910982</c:v>
                </c:pt>
                <c:pt idx="9">
                  <c:v>0.0267805729910982</c:v>
                </c:pt>
                <c:pt idx="10">
                  <c:v>0.0267805729910982</c:v>
                </c:pt>
                <c:pt idx="11">
                  <c:v>0.0267805729910982</c:v>
                </c:pt>
                <c:pt idx="12">
                  <c:v>0.0267805729910982</c:v>
                </c:pt>
                <c:pt idx="13">
                  <c:v>0.0267805729910982</c:v>
                </c:pt>
                <c:pt idx="14">
                  <c:v>0.0267805729910982</c:v>
                </c:pt>
                <c:pt idx="15">
                  <c:v>0.0267805729910982</c:v>
                </c:pt>
                <c:pt idx="16">
                  <c:v>0.0267805729910982</c:v>
                </c:pt>
                <c:pt idx="17">
                  <c:v>0.0267805729910982</c:v>
                </c:pt>
                <c:pt idx="18">
                  <c:v>0.0267805729910982</c:v>
                </c:pt>
                <c:pt idx="19">
                  <c:v>0.0267805729910982</c:v>
                </c:pt>
                <c:pt idx="20">
                  <c:v>0.0267805729910982</c:v>
                </c:pt>
                <c:pt idx="21">
                  <c:v>0.0267805729910982</c:v>
                </c:pt>
                <c:pt idx="22">
                  <c:v>0.0267805729910982</c:v>
                </c:pt>
                <c:pt idx="23">
                  <c:v>0.0267805729910982</c:v>
                </c:pt>
                <c:pt idx="24">
                  <c:v>0.0267805729910982</c:v>
                </c:pt>
                <c:pt idx="25">
                  <c:v>0.0267805729910982</c:v>
                </c:pt>
                <c:pt idx="26">
                  <c:v>0.0267805729910982</c:v>
                </c:pt>
                <c:pt idx="27">
                  <c:v>0.0267805729910982</c:v>
                </c:pt>
                <c:pt idx="28">
                  <c:v>0.0267805729910982</c:v>
                </c:pt>
                <c:pt idx="29">
                  <c:v>0.0267805729910982</c:v>
                </c:pt>
                <c:pt idx="30">
                  <c:v>0.0267805729910982</c:v>
                </c:pt>
                <c:pt idx="31">
                  <c:v>0.0267805729910982</c:v>
                </c:pt>
                <c:pt idx="32">
                  <c:v>0.0267805729910982</c:v>
                </c:pt>
                <c:pt idx="33">
                  <c:v>0.0267805729910982</c:v>
                </c:pt>
                <c:pt idx="34">
                  <c:v>0.0267805729910982</c:v>
                </c:pt>
                <c:pt idx="35">
                  <c:v>0.0267805729910982</c:v>
                </c:pt>
                <c:pt idx="36">
                  <c:v>0.0267805729910982</c:v>
                </c:pt>
                <c:pt idx="37">
                  <c:v>0.0267805729910982</c:v>
                </c:pt>
                <c:pt idx="38">
                  <c:v>0.0267805729910982</c:v>
                </c:pt>
                <c:pt idx="39">
                  <c:v>0.0267805729910982</c:v>
                </c:pt>
                <c:pt idx="40">
                  <c:v>0.0267805729910982</c:v>
                </c:pt>
                <c:pt idx="41">
                  <c:v>0.0267805729910982</c:v>
                </c:pt>
                <c:pt idx="42">
                  <c:v>0.0267805729910982</c:v>
                </c:pt>
                <c:pt idx="43">
                  <c:v>0.0267805729910982</c:v>
                </c:pt>
                <c:pt idx="44">
                  <c:v>0.0267805729910982</c:v>
                </c:pt>
                <c:pt idx="45">
                  <c:v>0.0267805729910982</c:v>
                </c:pt>
                <c:pt idx="46">
                  <c:v>0.0267805729910982</c:v>
                </c:pt>
                <c:pt idx="47">
                  <c:v>0.0267805729910982</c:v>
                </c:pt>
                <c:pt idx="48">
                  <c:v>0.0267805729910982</c:v>
                </c:pt>
                <c:pt idx="49">
                  <c:v>0.0267805729910982</c:v>
                </c:pt>
                <c:pt idx="50">
                  <c:v>0.0267805729910982</c:v>
                </c:pt>
                <c:pt idx="51">
                  <c:v>0.0267805729910982</c:v>
                </c:pt>
                <c:pt idx="52">
                  <c:v>0.0267805729910982</c:v>
                </c:pt>
                <c:pt idx="53">
                  <c:v>0.0267805729910982</c:v>
                </c:pt>
                <c:pt idx="54">
                  <c:v>0.0267805729910982</c:v>
                </c:pt>
                <c:pt idx="55">
                  <c:v>0.0267805729910982</c:v>
                </c:pt>
                <c:pt idx="56">
                  <c:v>0.0267805729910982</c:v>
                </c:pt>
                <c:pt idx="57">
                  <c:v>0.0267805729910982</c:v>
                </c:pt>
                <c:pt idx="58">
                  <c:v>0.0267805729910982</c:v>
                </c:pt>
                <c:pt idx="59">
                  <c:v>0.0267805729910982</c:v>
                </c:pt>
                <c:pt idx="60">
                  <c:v>0.0267805729910982</c:v>
                </c:pt>
                <c:pt idx="61">
                  <c:v>0.0267805729910982</c:v>
                </c:pt>
                <c:pt idx="62">
                  <c:v>0.0267805729910982</c:v>
                </c:pt>
                <c:pt idx="63">
                  <c:v>0.0267805729910982</c:v>
                </c:pt>
                <c:pt idx="64">
                  <c:v>0.0267805729910982</c:v>
                </c:pt>
                <c:pt idx="65">
                  <c:v>0.0267805729910982</c:v>
                </c:pt>
                <c:pt idx="66">
                  <c:v>0.0267805729910982</c:v>
                </c:pt>
                <c:pt idx="67">
                  <c:v>0.0267805729910982</c:v>
                </c:pt>
                <c:pt idx="68">
                  <c:v>0.0267805729910982</c:v>
                </c:pt>
                <c:pt idx="69">
                  <c:v>0.0267805729910982</c:v>
                </c:pt>
                <c:pt idx="70">
                  <c:v>0.0267805729910982</c:v>
                </c:pt>
                <c:pt idx="71">
                  <c:v>0.0267805729910982</c:v>
                </c:pt>
                <c:pt idx="72">
                  <c:v>0.0267805729910982</c:v>
                </c:pt>
                <c:pt idx="73">
                  <c:v>0.0267805729910982</c:v>
                </c:pt>
                <c:pt idx="74">
                  <c:v>0.0267805729910982</c:v>
                </c:pt>
                <c:pt idx="75">
                  <c:v>0.0267805729910982</c:v>
                </c:pt>
                <c:pt idx="76">
                  <c:v>0.0267805729910982</c:v>
                </c:pt>
                <c:pt idx="77">
                  <c:v>0.0267805729910982</c:v>
                </c:pt>
              </c:numCache>
            </c:numRef>
          </c:yVal>
          <c:smooth val="1"/>
        </c:ser>
        <c:axId val="81229871"/>
        <c:axId val="41271250"/>
      </c:scatterChart>
      <c:valAx>
        <c:axId val="81229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271250"/>
        <c:crossesAt val="0"/>
        <c:crossBetween val="midCat"/>
      </c:valAx>
      <c:valAx>
        <c:axId val="41271250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229871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50278237328922"/>
          <c:y val="0.488256134365569"/>
          <c:w val="0.119416453602045"/>
          <c:h val="0.162052224117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N=6 SM=20</a:t>
            </a:r>
          </a:p>
        </c:rich>
      </c:tx>
      <c:layout>
        <c:manualLayout>
          <c:xMode val="edge"/>
          <c:yMode val="edge"/>
          <c:x val="0.376297187547"/>
          <c:y val="0.043038971263613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67709429989472"/>
          <c:y val="0.118488387350741"/>
          <c:w val="0.816363362911716"/>
          <c:h val="0.881511612649259"/>
        </c:manualLayout>
      </c:layout>
      <c:scatterChart>
        <c:scatterStyle val="line"/>
        <c:varyColors val="0"/>
        <c:ser>
          <c:idx val="0"/>
          <c:order val="0"/>
          <c:tx>
            <c:strRef>
              <c:f>Sheet3!$J$5</c:f>
              <c:strCache>
                <c:ptCount val="1"/>
                <c:pt idx="0">
                  <c:v>Clin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Sheet3!$I$6:$I$83</c:f>
              <c:numCache>
                <c:formatCode>General</c:formatCode>
                <c:ptCount val="78"/>
                <c:pt idx="0">
                  <c:v>0</c:v>
                </c:pt>
                <c:pt idx="1">
                  <c:v>0.103896103896104</c:v>
                </c:pt>
                <c:pt idx="2">
                  <c:v>0.207792207792208</c:v>
                </c:pt>
                <c:pt idx="3">
                  <c:v>0.311688311688312</c:v>
                </c:pt>
                <c:pt idx="4">
                  <c:v>0.415584415584416</c:v>
                </c:pt>
                <c:pt idx="5">
                  <c:v>0.519480519480519</c:v>
                </c:pt>
                <c:pt idx="6">
                  <c:v>0.623376623376623</c:v>
                </c:pt>
                <c:pt idx="7">
                  <c:v>0.727272727272727</c:v>
                </c:pt>
                <c:pt idx="8">
                  <c:v>0.831168831168831</c:v>
                </c:pt>
                <c:pt idx="9">
                  <c:v>0.935064935064935</c:v>
                </c:pt>
                <c:pt idx="10">
                  <c:v>1.03896103896104</c:v>
                </c:pt>
                <c:pt idx="11">
                  <c:v>1.14285714285714</c:v>
                </c:pt>
                <c:pt idx="12">
                  <c:v>1.24675324675325</c:v>
                </c:pt>
                <c:pt idx="13">
                  <c:v>1.35064935064935</c:v>
                </c:pt>
                <c:pt idx="14">
                  <c:v>1.45454545454545</c:v>
                </c:pt>
                <c:pt idx="15">
                  <c:v>1.55844155844156</c:v>
                </c:pt>
                <c:pt idx="16">
                  <c:v>1.66233766233766</c:v>
                </c:pt>
                <c:pt idx="17">
                  <c:v>1.76623376623377</c:v>
                </c:pt>
                <c:pt idx="18">
                  <c:v>1.87012987012987</c:v>
                </c:pt>
                <c:pt idx="19">
                  <c:v>1.97402597402597</c:v>
                </c:pt>
                <c:pt idx="20">
                  <c:v>2.07792207792208</c:v>
                </c:pt>
                <c:pt idx="21">
                  <c:v>2.18181818181818</c:v>
                </c:pt>
                <c:pt idx="22">
                  <c:v>2.28571428571429</c:v>
                </c:pt>
                <c:pt idx="23">
                  <c:v>2.38961038961039</c:v>
                </c:pt>
                <c:pt idx="24">
                  <c:v>2.49350649350649</c:v>
                </c:pt>
                <c:pt idx="25">
                  <c:v>2.5974025974026</c:v>
                </c:pt>
                <c:pt idx="26">
                  <c:v>2.7012987012987</c:v>
                </c:pt>
                <c:pt idx="27">
                  <c:v>2.80519480519481</c:v>
                </c:pt>
                <c:pt idx="28">
                  <c:v>2.90909090909091</c:v>
                </c:pt>
                <c:pt idx="29">
                  <c:v>3.01298701298701</c:v>
                </c:pt>
                <c:pt idx="30">
                  <c:v>3.11688311688312</c:v>
                </c:pt>
                <c:pt idx="31">
                  <c:v>3.22077922077922</c:v>
                </c:pt>
                <c:pt idx="32">
                  <c:v>3.32467532467532</c:v>
                </c:pt>
                <c:pt idx="33">
                  <c:v>3.42857142857143</c:v>
                </c:pt>
                <c:pt idx="34">
                  <c:v>3.53246753246753</c:v>
                </c:pt>
                <c:pt idx="35">
                  <c:v>3.63636363636364</c:v>
                </c:pt>
                <c:pt idx="36">
                  <c:v>3.74025974025974</c:v>
                </c:pt>
                <c:pt idx="37">
                  <c:v>3.84415584415584</c:v>
                </c:pt>
                <c:pt idx="38">
                  <c:v>3.94805194805195</c:v>
                </c:pt>
                <c:pt idx="39">
                  <c:v>4.05194805194805</c:v>
                </c:pt>
                <c:pt idx="40">
                  <c:v>4.15584415584416</c:v>
                </c:pt>
                <c:pt idx="41">
                  <c:v>4.25974025974026</c:v>
                </c:pt>
                <c:pt idx="42">
                  <c:v>4.36363636363636</c:v>
                </c:pt>
                <c:pt idx="43">
                  <c:v>4.46753246753247</c:v>
                </c:pt>
                <c:pt idx="44">
                  <c:v>4.57142857142857</c:v>
                </c:pt>
                <c:pt idx="45">
                  <c:v>4.67532467532468</c:v>
                </c:pt>
                <c:pt idx="46">
                  <c:v>4.77922077922078</c:v>
                </c:pt>
                <c:pt idx="47">
                  <c:v>4.88311688311688</c:v>
                </c:pt>
                <c:pt idx="48">
                  <c:v>4.98701298701299</c:v>
                </c:pt>
                <c:pt idx="49">
                  <c:v>5.09090909090909</c:v>
                </c:pt>
                <c:pt idx="50">
                  <c:v>5.1948051948052</c:v>
                </c:pt>
                <c:pt idx="51">
                  <c:v>5.2987012987013</c:v>
                </c:pt>
                <c:pt idx="52">
                  <c:v>5.4025974025974</c:v>
                </c:pt>
                <c:pt idx="53">
                  <c:v>5.50649350649351</c:v>
                </c:pt>
                <c:pt idx="54">
                  <c:v>5.61038961038961</c:v>
                </c:pt>
                <c:pt idx="55">
                  <c:v>5.71428571428571</c:v>
                </c:pt>
                <c:pt idx="56">
                  <c:v>5.81818181818182</c:v>
                </c:pt>
                <c:pt idx="57">
                  <c:v>5.92207792207792</c:v>
                </c:pt>
                <c:pt idx="58">
                  <c:v>6.02597402597403</c:v>
                </c:pt>
                <c:pt idx="59">
                  <c:v>6.12987012987013</c:v>
                </c:pt>
                <c:pt idx="60">
                  <c:v>6.23376623376623</c:v>
                </c:pt>
                <c:pt idx="61">
                  <c:v>6.33766233766234</c:v>
                </c:pt>
                <c:pt idx="62">
                  <c:v>6.44155844155844</c:v>
                </c:pt>
                <c:pt idx="63">
                  <c:v>6.54545454545455</c:v>
                </c:pt>
                <c:pt idx="64">
                  <c:v>6.64935064935065</c:v>
                </c:pt>
                <c:pt idx="65">
                  <c:v>6.75324675324675</c:v>
                </c:pt>
                <c:pt idx="66">
                  <c:v>6.85714285714286</c:v>
                </c:pt>
                <c:pt idx="67">
                  <c:v>6.96103896103896</c:v>
                </c:pt>
                <c:pt idx="68">
                  <c:v>7.06493506493507</c:v>
                </c:pt>
                <c:pt idx="69">
                  <c:v>7.16883116883117</c:v>
                </c:pt>
                <c:pt idx="70">
                  <c:v>7.27272727272727</c:v>
                </c:pt>
                <c:pt idx="71">
                  <c:v>7.37662337662338</c:v>
                </c:pt>
                <c:pt idx="72">
                  <c:v>7.48051948051948</c:v>
                </c:pt>
                <c:pt idx="73">
                  <c:v>7.58441558441558</c:v>
                </c:pt>
                <c:pt idx="74">
                  <c:v>7.68831168831169</c:v>
                </c:pt>
                <c:pt idx="75">
                  <c:v>7.79220779220779</c:v>
                </c:pt>
                <c:pt idx="76">
                  <c:v>7.8961038961039</c:v>
                </c:pt>
                <c:pt idx="77">
                  <c:v>8</c:v>
                </c:pt>
              </c:numCache>
            </c:numRef>
          </c:xVal>
          <c:yVal>
            <c:numRef>
              <c:f>Sheet3!$J$6:$J$83</c:f>
              <c:numCache>
                <c:formatCode>General</c:formatCode>
                <c:ptCount val="78"/>
                <c:pt idx="0">
                  <c:v>5.01880112254192E-006</c:v>
                </c:pt>
                <c:pt idx="1">
                  <c:v>0.000487696581091634</c:v>
                </c:pt>
                <c:pt idx="2">
                  <c:v>0.000946463607857851</c:v>
                </c:pt>
                <c:pt idx="3">
                  <c:v>0.00137521215333735</c:v>
                </c:pt>
                <c:pt idx="4">
                  <c:v>0.00177239803907218</c:v>
                </c:pt>
                <c:pt idx="5">
                  <c:v>0.00213615742427174</c:v>
                </c:pt>
                <c:pt idx="6">
                  <c:v>0.00246437920487587</c:v>
                </c:pt>
                <c:pt idx="7">
                  <c:v>0.00275474353161977</c:v>
                </c:pt>
                <c:pt idx="8">
                  <c:v>0.00300475921032104</c:v>
                </c:pt>
                <c:pt idx="9">
                  <c:v>0.00321182053868964</c:v>
                </c:pt>
                <c:pt idx="10">
                  <c:v>0.00337320283668265</c:v>
                </c:pt>
                <c:pt idx="11">
                  <c:v>0.00348618304598043</c:v>
                </c:pt>
                <c:pt idx="12">
                  <c:v>0.00354800744777626</c:v>
                </c:pt>
                <c:pt idx="13">
                  <c:v>0.00355597306469447</c:v>
                </c:pt>
                <c:pt idx="14">
                  <c:v>0.00350745565319685</c:v>
                </c:pt>
                <c:pt idx="15">
                  <c:v>0.0033999382163553</c:v>
                </c:pt>
                <c:pt idx="16">
                  <c:v>0.00323105593843019</c:v>
                </c:pt>
                <c:pt idx="17">
                  <c:v>0.00299859570983621</c:v>
                </c:pt>
                <c:pt idx="18">
                  <c:v>0.00270054420011762</c:v>
                </c:pt>
                <c:pt idx="19">
                  <c:v>0.0023350773233879</c:v>
                </c:pt>
                <c:pt idx="20">
                  <c:v>0.00190057693595379</c:v>
                </c:pt>
                <c:pt idx="21">
                  <c:v>0.00139563682549097</c:v>
                </c:pt>
                <c:pt idx="22">
                  <c:v>0.000819061174842747</c:v>
                </c:pt>
                <c:pt idx="23">
                  <c:v>0.000169864864142756</c:v>
                </c:pt>
                <c:pt idx="24">
                  <c:v>0.000542023459412684</c:v>
                </c:pt>
                <c:pt idx="25">
                  <c:v>0.00128985970784737</c:v>
                </c:pt>
                <c:pt idx="26">
                  <c:v>0.00206985427715978</c:v>
                </c:pt>
                <c:pt idx="27">
                  <c:v>0.00287924121040076</c:v>
                </c:pt>
                <c:pt idx="28">
                  <c:v>0.00371516170508382</c:v>
                </c:pt>
                <c:pt idx="29">
                  <c:v>0.00457465526372705</c:v>
                </c:pt>
                <c:pt idx="30">
                  <c:v>0.00545460642009735</c:v>
                </c:pt>
                <c:pt idx="31">
                  <c:v>0.00635177221303686</c:v>
                </c:pt>
                <c:pt idx="32">
                  <c:v>0.0072627046007515</c:v>
                </c:pt>
                <c:pt idx="33">
                  <c:v>0.00818379688813878</c:v>
                </c:pt>
                <c:pt idx="34">
                  <c:v>0.00911121247752308</c:v>
                </c:pt>
                <c:pt idx="35">
                  <c:v>0.0100409022371426</c:v>
                </c:pt>
                <c:pt idx="36">
                  <c:v>0.0109685906577489</c:v>
                </c:pt>
                <c:pt idx="37">
                  <c:v>0.0118897414504395</c:v>
                </c:pt>
                <c:pt idx="38">
                  <c:v>0.0127995609870984</c:v>
                </c:pt>
                <c:pt idx="39">
                  <c:v>0.013692995170719</c:v>
                </c:pt>
                <c:pt idx="40">
                  <c:v>0.0145647313840736</c:v>
                </c:pt>
                <c:pt idx="41">
                  <c:v>0.0154091044565404</c:v>
                </c:pt>
                <c:pt idx="42">
                  <c:v>0.0162202297665402</c:v>
                </c:pt>
                <c:pt idx="43">
                  <c:v>0.0169919054553125</c:v>
                </c:pt>
                <c:pt idx="44">
                  <c:v>0.0177175446116266</c:v>
                </c:pt>
                <c:pt idx="45">
                  <c:v>0.018390351836872</c:v>
                </c:pt>
                <c:pt idx="46">
                  <c:v>0.0190031425823524</c:v>
                </c:pt>
                <c:pt idx="47">
                  <c:v>0.0195484205184216</c:v>
                </c:pt>
                <c:pt idx="48">
                  <c:v>0.0200183460054198</c:v>
                </c:pt>
                <c:pt idx="49">
                  <c:v>0.0204047317697905</c:v>
                </c:pt>
                <c:pt idx="50">
                  <c:v>0.0206990814044306</c:v>
                </c:pt>
                <c:pt idx="51">
                  <c:v>0.0208925226445574</c:v>
                </c:pt>
                <c:pt idx="52">
                  <c:v>0.0209757585772197</c:v>
                </c:pt>
                <c:pt idx="53">
                  <c:v>0.0209392425929928</c:v>
                </c:pt>
                <c:pt idx="54">
                  <c:v>0.0207729793699088</c:v>
                </c:pt>
                <c:pt idx="55">
                  <c:v>0.0204666399961924</c:v>
                </c:pt>
                <c:pt idx="56">
                  <c:v>0.0200094877107024</c:v>
                </c:pt>
                <c:pt idx="57">
                  <c:v>0.0193904120373824</c:v>
                </c:pt>
                <c:pt idx="58">
                  <c:v>0.0185978892029997</c:v>
                </c:pt>
                <c:pt idx="59">
                  <c:v>0.0176200220937821</c:v>
                </c:pt>
                <c:pt idx="60">
                  <c:v>0.0164445367480425</c:v>
                </c:pt>
                <c:pt idx="61">
                  <c:v>0.0150586304864813</c:v>
                </c:pt>
                <c:pt idx="62">
                  <c:v>0.0134492001650601</c:v>
                </c:pt>
                <c:pt idx="63">
                  <c:v>0.0116026958091017</c:v>
                </c:pt>
                <c:pt idx="64">
                  <c:v>0.00950510733904816</c:v>
                </c:pt>
                <c:pt idx="65">
                  <c:v>0.00942708336960429</c:v>
                </c:pt>
                <c:pt idx="66">
                  <c:v>0.0113793376596827</c:v>
                </c:pt>
                <c:pt idx="67">
                  <c:v>0.0135869493620087</c:v>
                </c:pt>
                <c:pt idx="68">
                  <c:v>0.0160695550716326</c:v>
                </c:pt>
                <c:pt idx="69">
                  <c:v>0.0188475829430524</c:v>
                </c:pt>
                <c:pt idx="70">
                  <c:v>0.0219422541777038</c:v>
                </c:pt>
                <c:pt idx="71">
                  <c:v>0.025375587069048</c:v>
                </c:pt>
                <c:pt idx="72">
                  <c:v>0.0291704030509523</c:v>
                </c:pt>
                <c:pt idx="73">
                  <c:v>0.0333503343032482</c:v>
                </c:pt>
                <c:pt idx="74">
                  <c:v>0.0379398325353795</c:v>
                </c:pt>
                <c:pt idx="75">
                  <c:v>0.0429641786135491</c:v>
                </c:pt>
                <c:pt idx="76">
                  <c:v>0.0484494927281764</c:v>
                </c:pt>
                <c:pt idx="77">
                  <c:v>0.0544227448208589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Sheet3!$K$5</c:f>
              <c:strCache>
                <c:ptCount val="1"/>
                <c:pt idx="0">
                  <c:v>CLp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Sheet3!$I$6:$I$83</c:f>
              <c:numCache>
                <c:formatCode>General</c:formatCode>
                <c:ptCount val="78"/>
                <c:pt idx="0">
                  <c:v>0</c:v>
                </c:pt>
                <c:pt idx="1">
                  <c:v>0.103896103896104</c:v>
                </c:pt>
                <c:pt idx="2">
                  <c:v>0.207792207792208</c:v>
                </c:pt>
                <c:pt idx="3">
                  <c:v>0.311688311688312</c:v>
                </c:pt>
                <c:pt idx="4">
                  <c:v>0.415584415584416</c:v>
                </c:pt>
                <c:pt idx="5">
                  <c:v>0.519480519480519</c:v>
                </c:pt>
                <c:pt idx="6">
                  <c:v>0.623376623376623</c:v>
                </c:pt>
                <c:pt idx="7">
                  <c:v>0.727272727272727</c:v>
                </c:pt>
                <c:pt idx="8">
                  <c:v>0.831168831168831</c:v>
                </c:pt>
                <c:pt idx="9">
                  <c:v>0.935064935064935</c:v>
                </c:pt>
                <c:pt idx="10">
                  <c:v>1.03896103896104</c:v>
                </c:pt>
                <c:pt idx="11">
                  <c:v>1.14285714285714</c:v>
                </c:pt>
                <c:pt idx="12">
                  <c:v>1.24675324675325</c:v>
                </c:pt>
                <c:pt idx="13">
                  <c:v>1.35064935064935</c:v>
                </c:pt>
                <c:pt idx="14">
                  <c:v>1.45454545454545</c:v>
                </c:pt>
                <c:pt idx="15">
                  <c:v>1.55844155844156</c:v>
                </c:pt>
                <c:pt idx="16">
                  <c:v>1.66233766233766</c:v>
                </c:pt>
                <c:pt idx="17">
                  <c:v>1.76623376623377</c:v>
                </c:pt>
                <c:pt idx="18">
                  <c:v>1.87012987012987</c:v>
                </c:pt>
                <c:pt idx="19">
                  <c:v>1.97402597402597</c:v>
                </c:pt>
                <c:pt idx="20">
                  <c:v>2.07792207792208</c:v>
                </c:pt>
                <c:pt idx="21">
                  <c:v>2.18181818181818</c:v>
                </c:pt>
                <c:pt idx="22">
                  <c:v>2.28571428571429</c:v>
                </c:pt>
                <c:pt idx="23">
                  <c:v>2.38961038961039</c:v>
                </c:pt>
                <c:pt idx="24">
                  <c:v>2.49350649350649</c:v>
                </c:pt>
                <c:pt idx="25">
                  <c:v>2.5974025974026</c:v>
                </c:pt>
                <c:pt idx="26">
                  <c:v>2.7012987012987</c:v>
                </c:pt>
                <c:pt idx="27">
                  <c:v>2.80519480519481</c:v>
                </c:pt>
                <c:pt idx="28">
                  <c:v>2.90909090909091</c:v>
                </c:pt>
                <c:pt idx="29">
                  <c:v>3.01298701298701</c:v>
                </c:pt>
                <c:pt idx="30">
                  <c:v>3.11688311688312</c:v>
                </c:pt>
                <c:pt idx="31">
                  <c:v>3.22077922077922</c:v>
                </c:pt>
                <c:pt idx="32">
                  <c:v>3.32467532467532</c:v>
                </c:pt>
                <c:pt idx="33">
                  <c:v>3.42857142857143</c:v>
                </c:pt>
                <c:pt idx="34">
                  <c:v>3.53246753246753</c:v>
                </c:pt>
                <c:pt idx="35">
                  <c:v>3.63636363636364</c:v>
                </c:pt>
                <c:pt idx="36">
                  <c:v>3.74025974025974</c:v>
                </c:pt>
                <c:pt idx="37">
                  <c:v>3.84415584415584</c:v>
                </c:pt>
                <c:pt idx="38">
                  <c:v>3.94805194805195</c:v>
                </c:pt>
                <c:pt idx="39">
                  <c:v>4.05194805194805</c:v>
                </c:pt>
                <c:pt idx="40">
                  <c:v>4.15584415584416</c:v>
                </c:pt>
                <c:pt idx="41">
                  <c:v>4.25974025974026</c:v>
                </c:pt>
                <c:pt idx="42">
                  <c:v>4.36363636363636</c:v>
                </c:pt>
                <c:pt idx="43">
                  <c:v>4.46753246753247</c:v>
                </c:pt>
                <c:pt idx="44">
                  <c:v>4.57142857142857</c:v>
                </c:pt>
                <c:pt idx="45">
                  <c:v>4.67532467532468</c:v>
                </c:pt>
                <c:pt idx="46">
                  <c:v>4.77922077922078</c:v>
                </c:pt>
                <c:pt idx="47">
                  <c:v>4.88311688311688</c:v>
                </c:pt>
                <c:pt idx="48">
                  <c:v>4.98701298701299</c:v>
                </c:pt>
                <c:pt idx="49">
                  <c:v>5.09090909090909</c:v>
                </c:pt>
                <c:pt idx="50">
                  <c:v>5.1948051948052</c:v>
                </c:pt>
                <c:pt idx="51">
                  <c:v>5.2987012987013</c:v>
                </c:pt>
                <c:pt idx="52">
                  <c:v>5.4025974025974</c:v>
                </c:pt>
                <c:pt idx="53">
                  <c:v>5.50649350649351</c:v>
                </c:pt>
                <c:pt idx="54">
                  <c:v>5.61038961038961</c:v>
                </c:pt>
                <c:pt idx="55">
                  <c:v>5.71428571428571</c:v>
                </c:pt>
                <c:pt idx="56">
                  <c:v>5.81818181818182</c:v>
                </c:pt>
                <c:pt idx="57">
                  <c:v>5.92207792207792</c:v>
                </c:pt>
                <c:pt idx="58">
                  <c:v>6.02597402597403</c:v>
                </c:pt>
                <c:pt idx="59">
                  <c:v>6.12987012987013</c:v>
                </c:pt>
                <c:pt idx="60">
                  <c:v>6.23376623376623</c:v>
                </c:pt>
                <c:pt idx="61">
                  <c:v>6.33766233766234</c:v>
                </c:pt>
                <c:pt idx="62">
                  <c:v>6.44155844155844</c:v>
                </c:pt>
                <c:pt idx="63">
                  <c:v>6.54545454545455</c:v>
                </c:pt>
                <c:pt idx="64">
                  <c:v>6.64935064935065</c:v>
                </c:pt>
                <c:pt idx="65">
                  <c:v>6.75324675324675</c:v>
                </c:pt>
                <c:pt idx="66">
                  <c:v>6.85714285714286</c:v>
                </c:pt>
                <c:pt idx="67">
                  <c:v>6.96103896103896</c:v>
                </c:pt>
                <c:pt idx="68">
                  <c:v>7.06493506493507</c:v>
                </c:pt>
                <c:pt idx="69">
                  <c:v>7.16883116883117</c:v>
                </c:pt>
                <c:pt idx="70">
                  <c:v>7.27272727272727</c:v>
                </c:pt>
                <c:pt idx="71">
                  <c:v>7.37662337662338</c:v>
                </c:pt>
                <c:pt idx="72">
                  <c:v>7.48051948051948</c:v>
                </c:pt>
                <c:pt idx="73">
                  <c:v>7.58441558441558</c:v>
                </c:pt>
                <c:pt idx="74">
                  <c:v>7.68831168831169</c:v>
                </c:pt>
                <c:pt idx="75">
                  <c:v>7.79220779220779</c:v>
                </c:pt>
                <c:pt idx="76">
                  <c:v>7.8961038961039</c:v>
                </c:pt>
                <c:pt idx="77">
                  <c:v>8</c:v>
                </c:pt>
              </c:numCache>
            </c:numRef>
          </c:xVal>
          <c:yVal>
            <c:numRef>
              <c:f>Sheet3!$K$6:$K$83</c:f>
              <c:numCache>
                <c:formatCode>General</c:formatCode>
                <c:ptCount val="78"/>
                <c:pt idx="0">
                  <c:v>0.0267795303858429</c:v>
                </c:pt>
                <c:pt idx="1">
                  <c:v>0.0267795303858429</c:v>
                </c:pt>
                <c:pt idx="2">
                  <c:v>0.0267795303858429</c:v>
                </c:pt>
                <c:pt idx="3">
                  <c:v>0.0267795303858429</c:v>
                </c:pt>
                <c:pt idx="4">
                  <c:v>0.0267795303858429</c:v>
                </c:pt>
                <c:pt idx="5">
                  <c:v>0.0267795303858429</c:v>
                </c:pt>
                <c:pt idx="6">
                  <c:v>0.0267795303858429</c:v>
                </c:pt>
                <c:pt idx="7">
                  <c:v>0.0267795303858429</c:v>
                </c:pt>
                <c:pt idx="8">
                  <c:v>0.0267795303858429</c:v>
                </c:pt>
                <c:pt idx="9">
                  <c:v>0.0267795303858429</c:v>
                </c:pt>
                <c:pt idx="10">
                  <c:v>0.0267795303858429</c:v>
                </c:pt>
                <c:pt idx="11">
                  <c:v>0.0267795303858429</c:v>
                </c:pt>
                <c:pt idx="12">
                  <c:v>0.0267795303858429</c:v>
                </c:pt>
                <c:pt idx="13">
                  <c:v>0.0267795303858429</c:v>
                </c:pt>
                <c:pt idx="14">
                  <c:v>0.0267795303858429</c:v>
                </c:pt>
                <c:pt idx="15">
                  <c:v>0.0267795303858429</c:v>
                </c:pt>
                <c:pt idx="16">
                  <c:v>0.0267795303858429</c:v>
                </c:pt>
                <c:pt idx="17">
                  <c:v>0.0267795303858429</c:v>
                </c:pt>
                <c:pt idx="18">
                  <c:v>0.0267795303858429</c:v>
                </c:pt>
                <c:pt idx="19">
                  <c:v>0.0267795303858429</c:v>
                </c:pt>
                <c:pt idx="20">
                  <c:v>0.0267795303858429</c:v>
                </c:pt>
                <c:pt idx="21">
                  <c:v>0.0267795303858429</c:v>
                </c:pt>
                <c:pt idx="22">
                  <c:v>0.0267795303858429</c:v>
                </c:pt>
                <c:pt idx="23">
                  <c:v>0.0267795303858429</c:v>
                </c:pt>
                <c:pt idx="24">
                  <c:v>0.0267795303858429</c:v>
                </c:pt>
                <c:pt idx="25">
                  <c:v>0.0267795303858429</c:v>
                </c:pt>
                <c:pt idx="26">
                  <c:v>0.0267795303858429</c:v>
                </c:pt>
                <c:pt idx="27">
                  <c:v>0.0267795303858429</c:v>
                </c:pt>
                <c:pt idx="28">
                  <c:v>0.0267795303858429</c:v>
                </c:pt>
                <c:pt idx="29">
                  <c:v>0.0267795303858429</c:v>
                </c:pt>
                <c:pt idx="30">
                  <c:v>0.0267795303858429</c:v>
                </c:pt>
                <c:pt idx="31">
                  <c:v>0.0267795303858429</c:v>
                </c:pt>
                <c:pt idx="32">
                  <c:v>0.0267795303858429</c:v>
                </c:pt>
                <c:pt idx="33">
                  <c:v>0.0267795303858429</c:v>
                </c:pt>
                <c:pt idx="34">
                  <c:v>0.0267795303858429</c:v>
                </c:pt>
                <c:pt idx="35">
                  <c:v>0.0267795303858429</c:v>
                </c:pt>
                <c:pt idx="36">
                  <c:v>0.0267795303858429</c:v>
                </c:pt>
                <c:pt idx="37">
                  <c:v>0.0267795303858429</c:v>
                </c:pt>
                <c:pt idx="38">
                  <c:v>0.0267795303858429</c:v>
                </c:pt>
                <c:pt idx="39">
                  <c:v>0.0267795303858429</c:v>
                </c:pt>
                <c:pt idx="40">
                  <c:v>0.0267795303858429</c:v>
                </c:pt>
                <c:pt idx="41">
                  <c:v>0.0267795303858429</c:v>
                </c:pt>
                <c:pt idx="42">
                  <c:v>0.0267795303858429</c:v>
                </c:pt>
                <c:pt idx="43">
                  <c:v>0.0267795303858429</c:v>
                </c:pt>
                <c:pt idx="44">
                  <c:v>0.0267795303858429</c:v>
                </c:pt>
                <c:pt idx="45">
                  <c:v>0.0267795303858429</c:v>
                </c:pt>
                <c:pt idx="46">
                  <c:v>0.0267795303858429</c:v>
                </c:pt>
                <c:pt idx="47">
                  <c:v>0.0267795303858429</c:v>
                </c:pt>
                <c:pt idx="48">
                  <c:v>0.0267795303858429</c:v>
                </c:pt>
                <c:pt idx="49">
                  <c:v>0.0267795303858429</c:v>
                </c:pt>
                <c:pt idx="50">
                  <c:v>0.0267795303858429</c:v>
                </c:pt>
                <c:pt idx="51">
                  <c:v>0.0267795303858429</c:v>
                </c:pt>
                <c:pt idx="52">
                  <c:v>0.0267795303858429</c:v>
                </c:pt>
                <c:pt idx="53">
                  <c:v>0.0267795303858429</c:v>
                </c:pt>
                <c:pt idx="54">
                  <c:v>0.0267795303858429</c:v>
                </c:pt>
                <c:pt idx="55">
                  <c:v>0.0267795303858429</c:v>
                </c:pt>
                <c:pt idx="56">
                  <c:v>0.0267795303858429</c:v>
                </c:pt>
                <c:pt idx="57">
                  <c:v>0.0267795303858429</c:v>
                </c:pt>
                <c:pt idx="58">
                  <c:v>0.0267795303858429</c:v>
                </c:pt>
                <c:pt idx="59">
                  <c:v>0.0267795303858429</c:v>
                </c:pt>
                <c:pt idx="60">
                  <c:v>0.0267795303858429</c:v>
                </c:pt>
                <c:pt idx="61">
                  <c:v>0.0267795303858429</c:v>
                </c:pt>
                <c:pt idx="62">
                  <c:v>0.0267795303858429</c:v>
                </c:pt>
                <c:pt idx="63">
                  <c:v>0.0267795303858429</c:v>
                </c:pt>
                <c:pt idx="64">
                  <c:v>0.0267795303858429</c:v>
                </c:pt>
                <c:pt idx="65">
                  <c:v>0.0267795303858429</c:v>
                </c:pt>
                <c:pt idx="66">
                  <c:v>0.0267795303858429</c:v>
                </c:pt>
                <c:pt idx="67">
                  <c:v>0.0267795303858429</c:v>
                </c:pt>
                <c:pt idx="68">
                  <c:v>0.0267795303858429</c:v>
                </c:pt>
                <c:pt idx="69">
                  <c:v>0.0267795303858429</c:v>
                </c:pt>
                <c:pt idx="70">
                  <c:v>0.0267795303858429</c:v>
                </c:pt>
                <c:pt idx="71">
                  <c:v>0.0267795303858429</c:v>
                </c:pt>
                <c:pt idx="72">
                  <c:v>0.0267795303858429</c:v>
                </c:pt>
                <c:pt idx="73">
                  <c:v>0.0267795303858429</c:v>
                </c:pt>
                <c:pt idx="74">
                  <c:v>0.0267795303858429</c:v>
                </c:pt>
                <c:pt idx="75">
                  <c:v>0.0267795303858429</c:v>
                </c:pt>
                <c:pt idx="76">
                  <c:v>0.0267795303858429</c:v>
                </c:pt>
                <c:pt idx="77">
                  <c:v>0.0267795303858429</c:v>
                </c:pt>
              </c:numCache>
            </c:numRef>
          </c:yVal>
          <c:smooth val="1"/>
        </c:ser>
        <c:axId val="35791345"/>
        <c:axId val="74788617"/>
      </c:scatterChart>
      <c:valAx>
        <c:axId val="357913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788617"/>
        <c:crossesAt val="0"/>
        <c:crossBetween val="midCat"/>
      </c:valAx>
      <c:valAx>
        <c:axId val="74788617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791345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48398255376748"/>
          <c:y val="0.491798976512269"/>
          <c:w val="0.119416453602045"/>
          <c:h val="0.162052224117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N=8 SM=20</a:t>
            </a:r>
          </a:p>
        </c:rich>
      </c:tx>
      <c:layout>
        <c:manualLayout>
          <c:xMode val="edge"/>
          <c:yMode val="edge"/>
          <c:x val="0.376297187547"/>
          <c:y val="0.043038971263613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67709429989472"/>
          <c:y val="0.118488387350741"/>
          <c:w val="0.816363362911716"/>
          <c:h val="0.881511612649259"/>
        </c:manualLayout>
      </c:layout>
      <c:scatterChart>
        <c:scatterStyle val="line"/>
        <c:varyColors val="0"/>
        <c:ser>
          <c:idx val="0"/>
          <c:order val="0"/>
          <c:tx>
            <c:strRef>
              <c:f>Sheet3!$N$5</c:f>
              <c:strCache>
                <c:ptCount val="1"/>
                <c:pt idx="0">
                  <c:v>Clin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Sheet3!$M$6:$M$83</c:f>
              <c:numCache>
                <c:formatCode>General</c:formatCode>
                <c:ptCount val="78"/>
                <c:pt idx="0">
                  <c:v>0</c:v>
                </c:pt>
                <c:pt idx="1">
                  <c:v>0.12987012987013</c:v>
                </c:pt>
                <c:pt idx="2">
                  <c:v>0.25974025974026</c:v>
                </c:pt>
                <c:pt idx="3">
                  <c:v>0.38961038961039</c:v>
                </c:pt>
                <c:pt idx="4">
                  <c:v>0.519480519480519</c:v>
                </c:pt>
                <c:pt idx="5">
                  <c:v>0.649350649350649</c:v>
                </c:pt>
                <c:pt idx="6">
                  <c:v>0.779220779220779</c:v>
                </c:pt>
                <c:pt idx="7">
                  <c:v>0.909090909090909</c:v>
                </c:pt>
                <c:pt idx="8">
                  <c:v>1.03896103896104</c:v>
                </c:pt>
                <c:pt idx="9">
                  <c:v>1.16883116883117</c:v>
                </c:pt>
                <c:pt idx="10">
                  <c:v>1.2987012987013</c:v>
                </c:pt>
                <c:pt idx="11">
                  <c:v>1.42857142857143</c:v>
                </c:pt>
                <c:pt idx="12">
                  <c:v>1.55844155844156</c:v>
                </c:pt>
                <c:pt idx="13">
                  <c:v>1.68831168831169</c:v>
                </c:pt>
                <c:pt idx="14">
                  <c:v>1.81818181818182</c:v>
                </c:pt>
                <c:pt idx="15">
                  <c:v>1.94805194805195</c:v>
                </c:pt>
                <c:pt idx="16">
                  <c:v>2.07792207792208</c:v>
                </c:pt>
                <c:pt idx="17">
                  <c:v>2.20779220779221</c:v>
                </c:pt>
                <c:pt idx="18">
                  <c:v>2.33766233766234</c:v>
                </c:pt>
                <c:pt idx="19">
                  <c:v>2.46753246753247</c:v>
                </c:pt>
                <c:pt idx="20">
                  <c:v>2.5974025974026</c:v>
                </c:pt>
                <c:pt idx="21">
                  <c:v>2.72727272727273</c:v>
                </c:pt>
                <c:pt idx="22">
                  <c:v>2.85714285714286</c:v>
                </c:pt>
                <c:pt idx="23">
                  <c:v>2.98701298701299</c:v>
                </c:pt>
                <c:pt idx="24">
                  <c:v>3.11688311688312</c:v>
                </c:pt>
                <c:pt idx="25">
                  <c:v>3.24675324675325</c:v>
                </c:pt>
                <c:pt idx="26">
                  <c:v>3.37662337662338</c:v>
                </c:pt>
                <c:pt idx="27">
                  <c:v>3.50649350649351</c:v>
                </c:pt>
                <c:pt idx="28">
                  <c:v>3.63636363636364</c:v>
                </c:pt>
                <c:pt idx="29">
                  <c:v>3.76623376623377</c:v>
                </c:pt>
                <c:pt idx="30">
                  <c:v>3.8961038961039</c:v>
                </c:pt>
                <c:pt idx="31">
                  <c:v>4.02597402597403</c:v>
                </c:pt>
                <c:pt idx="32">
                  <c:v>4.15584415584416</c:v>
                </c:pt>
                <c:pt idx="33">
                  <c:v>4.28571428571429</c:v>
                </c:pt>
                <c:pt idx="34">
                  <c:v>4.41558441558442</c:v>
                </c:pt>
                <c:pt idx="35">
                  <c:v>4.54545454545455</c:v>
                </c:pt>
                <c:pt idx="36">
                  <c:v>4.67532467532468</c:v>
                </c:pt>
                <c:pt idx="37">
                  <c:v>4.80519480519481</c:v>
                </c:pt>
                <c:pt idx="38">
                  <c:v>4.93506493506493</c:v>
                </c:pt>
                <c:pt idx="39">
                  <c:v>5.06493506493507</c:v>
                </c:pt>
                <c:pt idx="40">
                  <c:v>5.19480519480519</c:v>
                </c:pt>
                <c:pt idx="41">
                  <c:v>5.32467532467532</c:v>
                </c:pt>
                <c:pt idx="42">
                  <c:v>5.45454545454545</c:v>
                </c:pt>
                <c:pt idx="43">
                  <c:v>5.58441558441558</c:v>
                </c:pt>
                <c:pt idx="44">
                  <c:v>5.71428571428571</c:v>
                </c:pt>
                <c:pt idx="45">
                  <c:v>5.84415584415584</c:v>
                </c:pt>
                <c:pt idx="46">
                  <c:v>5.97402597402597</c:v>
                </c:pt>
                <c:pt idx="47">
                  <c:v>6.1038961038961</c:v>
                </c:pt>
                <c:pt idx="48">
                  <c:v>6.23376623376623</c:v>
                </c:pt>
                <c:pt idx="49">
                  <c:v>6.36363636363636</c:v>
                </c:pt>
                <c:pt idx="50">
                  <c:v>6.49350649350649</c:v>
                </c:pt>
                <c:pt idx="51">
                  <c:v>6.62337662337662</c:v>
                </c:pt>
                <c:pt idx="52">
                  <c:v>6.75324675324675</c:v>
                </c:pt>
                <c:pt idx="53">
                  <c:v>6.88311688311688</c:v>
                </c:pt>
                <c:pt idx="54">
                  <c:v>7.01298701298701</c:v>
                </c:pt>
                <c:pt idx="55">
                  <c:v>7.14285714285714</c:v>
                </c:pt>
                <c:pt idx="56">
                  <c:v>7.27272727272727</c:v>
                </c:pt>
                <c:pt idx="57">
                  <c:v>7.4025974025974</c:v>
                </c:pt>
                <c:pt idx="58">
                  <c:v>7.53246753246753</c:v>
                </c:pt>
                <c:pt idx="59">
                  <c:v>7.66233766233766</c:v>
                </c:pt>
                <c:pt idx="60">
                  <c:v>7.79220779220779</c:v>
                </c:pt>
                <c:pt idx="61">
                  <c:v>7.92207792207792</c:v>
                </c:pt>
                <c:pt idx="62">
                  <c:v>8.05194805194805</c:v>
                </c:pt>
                <c:pt idx="63">
                  <c:v>8.18181818181818</c:v>
                </c:pt>
                <c:pt idx="64">
                  <c:v>8.31168831168831</c:v>
                </c:pt>
                <c:pt idx="65">
                  <c:v>8.44155844155844</c:v>
                </c:pt>
                <c:pt idx="66">
                  <c:v>8.57142857142857</c:v>
                </c:pt>
                <c:pt idx="67">
                  <c:v>8.7012987012987</c:v>
                </c:pt>
                <c:pt idx="68">
                  <c:v>8.83116883116883</c:v>
                </c:pt>
                <c:pt idx="69">
                  <c:v>8.96103896103896</c:v>
                </c:pt>
                <c:pt idx="70">
                  <c:v>9.09090909090909</c:v>
                </c:pt>
                <c:pt idx="71">
                  <c:v>9.22077922077922</c:v>
                </c:pt>
                <c:pt idx="72">
                  <c:v>9.35064935064935</c:v>
                </c:pt>
                <c:pt idx="73">
                  <c:v>9.48051948051948</c:v>
                </c:pt>
                <c:pt idx="74">
                  <c:v>9.61038961038961</c:v>
                </c:pt>
                <c:pt idx="75">
                  <c:v>9.74025974025974</c:v>
                </c:pt>
                <c:pt idx="76">
                  <c:v>9.87012987012987</c:v>
                </c:pt>
                <c:pt idx="77">
                  <c:v>10</c:v>
                </c:pt>
              </c:numCache>
            </c:numRef>
          </c:xVal>
          <c:yVal>
            <c:numRef>
              <c:f>Sheet3!$N$6:$N$83</c:f>
              <c:numCache>
                <c:formatCode>General</c:formatCode>
                <c:ptCount val="78"/>
                <c:pt idx="0">
                  <c:v>6.08874867682258E-006</c:v>
                </c:pt>
                <c:pt idx="1">
                  <c:v>0.000612144577689771</c:v>
                </c:pt>
                <c:pt idx="2">
                  <c:v>0.00123160156601808</c:v>
                </c:pt>
                <c:pt idx="3">
                  <c:v>0.00185867702783185</c:v>
                </c:pt>
                <c:pt idx="4">
                  <c:v>0.00249330189439656</c:v>
                </c:pt>
                <c:pt idx="5">
                  <c:v>0.0031351689914764</c:v>
                </c:pt>
                <c:pt idx="6">
                  <c:v>0.00378374801285009</c:v>
                </c:pt>
                <c:pt idx="7">
                  <c:v>0.004438266930064</c:v>
                </c:pt>
                <c:pt idx="8">
                  <c:v>0.00509766862386667</c:v>
                </c:pt>
                <c:pt idx="9">
                  <c:v>0.0057606226203912</c:v>
                </c:pt>
                <c:pt idx="10">
                  <c:v>0.00642547655019788</c:v>
                </c:pt>
                <c:pt idx="11">
                  <c:v>0.00709027031778646</c:v>
                </c:pt>
                <c:pt idx="12">
                  <c:v>0.00775272406195561</c:v>
                </c:pt>
                <c:pt idx="13">
                  <c:v>0.00841025580019295</c:v>
                </c:pt>
                <c:pt idx="14">
                  <c:v>0.00905999446385527</c:v>
                </c:pt>
                <c:pt idx="15">
                  <c:v>0.00969880439581761</c:v>
                </c:pt>
                <c:pt idx="16">
                  <c:v>0.0103233352100544</c:v>
                </c:pt>
                <c:pt idx="17">
                  <c:v>0.0109300584429193</c:v>
                </c:pt>
                <c:pt idx="18">
                  <c:v>0.0115152884999177</c:v>
                </c:pt>
                <c:pt idx="19">
                  <c:v>0.0120752664137045</c:v>
                </c:pt>
                <c:pt idx="20">
                  <c:v>0.0126061898656491</c:v>
                </c:pt>
                <c:pt idx="21">
                  <c:v>0.0131042783204353</c:v>
                </c:pt>
                <c:pt idx="22">
                  <c:v>0.0135658187249904</c:v>
                </c:pt>
                <c:pt idx="23">
                  <c:v>0.0139871540987923</c:v>
                </c:pt>
                <c:pt idx="24">
                  <c:v>0.0143648779415951</c:v>
                </c:pt>
                <c:pt idx="25">
                  <c:v>0.0146957094043822</c:v>
                </c:pt>
                <c:pt idx="26">
                  <c:v>0.0149766374102102</c:v>
                </c:pt>
                <c:pt idx="27">
                  <c:v>0.0152048863554486</c:v>
                </c:pt>
                <c:pt idx="28">
                  <c:v>0.0153780175808698</c:v>
                </c:pt>
                <c:pt idx="29">
                  <c:v>0.0154939439224124</c:v>
                </c:pt>
                <c:pt idx="30">
                  <c:v>0.0155506756842914</c:v>
                </c:pt>
                <c:pt idx="31">
                  <c:v>0.0155469622442251</c:v>
                </c:pt>
                <c:pt idx="32">
                  <c:v>0.01548171089153</c:v>
                </c:pt>
                <c:pt idx="33">
                  <c:v>0.0153542271575107</c:v>
                </c:pt>
                <c:pt idx="34">
                  <c:v>0.0151643114228122</c:v>
                </c:pt>
                <c:pt idx="35">
                  <c:v>0.01491213390558</c:v>
                </c:pt>
                <c:pt idx="36">
                  <c:v>0.0145983361659012</c:v>
                </c:pt>
                <c:pt idx="37">
                  <c:v>0.0142240365786029</c:v>
                </c:pt>
                <c:pt idx="38">
                  <c:v>0.0137907696193377</c:v>
                </c:pt>
                <c:pt idx="39">
                  <c:v>0.0133006598369915</c:v>
                </c:pt>
                <c:pt idx="40">
                  <c:v>0.0127562871006442</c:v>
                </c:pt>
                <c:pt idx="41">
                  <c:v>0.01216081227691</c:v>
                </c:pt>
                <c:pt idx="42">
                  <c:v>0.0115179089649388</c:v>
                </c:pt>
                <c:pt idx="43">
                  <c:v>0.0108318882447281</c:v>
                </c:pt>
                <c:pt idx="44">
                  <c:v>0.0101076070407017</c:v>
                </c:pt>
                <c:pt idx="45">
                  <c:v>0.009350591742293</c:v>
                </c:pt>
                <c:pt idx="46">
                  <c:v>0.00856702154946398</c:v>
                </c:pt>
                <c:pt idx="47">
                  <c:v>0.00776371557547825</c:v>
                </c:pt>
                <c:pt idx="48">
                  <c:v>0.00694820974974095</c:v>
                </c:pt>
                <c:pt idx="49">
                  <c:v>0.00612876453588745</c:v>
                </c:pt>
                <c:pt idx="50">
                  <c:v>0.00531439342575604</c:v>
                </c:pt>
                <c:pt idx="51">
                  <c:v>0.00451716094407834</c:v>
                </c:pt>
                <c:pt idx="52">
                  <c:v>0.00374056147770238</c:v>
                </c:pt>
                <c:pt idx="53">
                  <c:v>0.00300304550246155</c:v>
                </c:pt>
                <c:pt idx="54">
                  <c:v>0.00231426679265159</c:v>
                </c:pt>
                <c:pt idx="55">
                  <c:v>0.00168739111635291</c:v>
                </c:pt>
                <c:pt idx="56">
                  <c:v>0.00113616557868068</c:v>
                </c:pt>
                <c:pt idx="57">
                  <c:v>0.000753925547176543</c:v>
                </c:pt>
                <c:pt idx="58">
                  <c:v>0.000670384448325428</c:v>
                </c:pt>
                <c:pt idx="59">
                  <c:v>0.000480885797824987</c:v>
                </c:pt>
                <c:pt idx="60">
                  <c:v>0.000164584925966521</c:v>
                </c:pt>
                <c:pt idx="61">
                  <c:v>0.000300333516256801</c:v>
                </c:pt>
                <c:pt idx="62">
                  <c:v>0.000936730825385423</c:v>
                </c:pt>
                <c:pt idx="63">
                  <c:v>0.00176858058025881</c:v>
                </c:pt>
                <c:pt idx="64">
                  <c:v>0.00282103217209434</c:v>
                </c:pt>
                <c:pt idx="65">
                  <c:v>0.0041204759706085</c:v>
                </c:pt>
                <c:pt idx="66">
                  <c:v>0.00569461386236458</c:v>
                </c:pt>
                <c:pt idx="67">
                  <c:v>0.00757253874395636</c:v>
                </c:pt>
                <c:pt idx="68">
                  <c:v>0.00978482673245795</c:v>
                </c:pt>
                <c:pt idx="69">
                  <c:v>0.0123636462484234</c:v>
                </c:pt>
                <c:pt idx="70">
                  <c:v>0.0153428886560094</c:v>
                </c:pt>
                <c:pt idx="71">
                  <c:v>0.0187583257485183</c:v>
                </c:pt>
                <c:pt idx="72">
                  <c:v>0.0226477999884401</c:v>
                </c:pt>
                <c:pt idx="73">
                  <c:v>0.0270514539895576</c:v>
                </c:pt>
                <c:pt idx="74">
                  <c:v>0.0320120062069578</c:v>
                </c:pt>
                <c:pt idx="75">
                  <c:v>0.037575080133568</c:v>
                </c:pt>
                <c:pt idx="76">
                  <c:v>0.0437895944736441</c:v>
                </c:pt>
                <c:pt idx="77">
                  <c:v>0.0507082218078523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Sheet3!$O$5</c:f>
              <c:strCache>
                <c:ptCount val="1"/>
                <c:pt idx="0">
                  <c:v>CLp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Sheet3!$M$6:$M$83</c:f>
              <c:numCache>
                <c:formatCode>General</c:formatCode>
                <c:ptCount val="78"/>
                <c:pt idx="0">
                  <c:v>0</c:v>
                </c:pt>
                <c:pt idx="1">
                  <c:v>0.12987012987013</c:v>
                </c:pt>
                <c:pt idx="2">
                  <c:v>0.25974025974026</c:v>
                </c:pt>
                <c:pt idx="3">
                  <c:v>0.38961038961039</c:v>
                </c:pt>
                <c:pt idx="4">
                  <c:v>0.519480519480519</c:v>
                </c:pt>
                <c:pt idx="5">
                  <c:v>0.649350649350649</c:v>
                </c:pt>
                <c:pt idx="6">
                  <c:v>0.779220779220779</c:v>
                </c:pt>
                <c:pt idx="7">
                  <c:v>0.909090909090909</c:v>
                </c:pt>
                <c:pt idx="8">
                  <c:v>1.03896103896104</c:v>
                </c:pt>
                <c:pt idx="9">
                  <c:v>1.16883116883117</c:v>
                </c:pt>
                <c:pt idx="10">
                  <c:v>1.2987012987013</c:v>
                </c:pt>
                <c:pt idx="11">
                  <c:v>1.42857142857143</c:v>
                </c:pt>
                <c:pt idx="12">
                  <c:v>1.55844155844156</c:v>
                </c:pt>
                <c:pt idx="13">
                  <c:v>1.68831168831169</c:v>
                </c:pt>
                <c:pt idx="14">
                  <c:v>1.81818181818182</c:v>
                </c:pt>
                <c:pt idx="15">
                  <c:v>1.94805194805195</c:v>
                </c:pt>
                <c:pt idx="16">
                  <c:v>2.07792207792208</c:v>
                </c:pt>
                <c:pt idx="17">
                  <c:v>2.20779220779221</c:v>
                </c:pt>
                <c:pt idx="18">
                  <c:v>2.33766233766234</c:v>
                </c:pt>
                <c:pt idx="19">
                  <c:v>2.46753246753247</c:v>
                </c:pt>
                <c:pt idx="20">
                  <c:v>2.5974025974026</c:v>
                </c:pt>
                <c:pt idx="21">
                  <c:v>2.72727272727273</c:v>
                </c:pt>
                <c:pt idx="22">
                  <c:v>2.85714285714286</c:v>
                </c:pt>
                <c:pt idx="23">
                  <c:v>2.98701298701299</c:v>
                </c:pt>
                <c:pt idx="24">
                  <c:v>3.11688311688312</c:v>
                </c:pt>
                <c:pt idx="25">
                  <c:v>3.24675324675325</c:v>
                </c:pt>
                <c:pt idx="26">
                  <c:v>3.37662337662338</c:v>
                </c:pt>
                <c:pt idx="27">
                  <c:v>3.50649350649351</c:v>
                </c:pt>
                <c:pt idx="28">
                  <c:v>3.63636363636364</c:v>
                </c:pt>
                <c:pt idx="29">
                  <c:v>3.76623376623377</c:v>
                </c:pt>
                <c:pt idx="30">
                  <c:v>3.8961038961039</c:v>
                </c:pt>
                <c:pt idx="31">
                  <c:v>4.02597402597403</c:v>
                </c:pt>
                <c:pt idx="32">
                  <c:v>4.15584415584416</c:v>
                </c:pt>
                <c:pt idx="33">
                  <c:v>4.28571428571429</c:v>
                </c:pt>
                <c:pt idx="34">
                  <c:v>4.41558441558442</c:v>
                </c:pt>
                <c:pt idx="35">
                  <c:v>4.54545454545455</c:v>
                </c:pt>
                <c:pt idx="36">
                  <c:v>4.67532467532468</c:v>
                </c:pt>
                <c:pt idx="37">
                  <c:v>4.80519480519481</c:v>
                </c:pt>
                <c:pt idx="38">
                  <c:v>4.93506493506493</c:v>
                </c:pt>
                <c:pt idx="39">
                  <c:v>5.06493506493507</c:v>
                </c:pt>
                <c:pt idx="40">
                  <c:v>5.19480519480519</c:v>
                </c:pt>
                <c:pt idx="41">
                  <c:v>5.32467532467532</c:v>
                </c:pt>
                <c:pt idx="42">
                  <c:v>5.45454545454545</c:v>
                </c:pt>
                <c:pt idx="43">
                  <c:v>5.58441558441558</c:v>
                </c:pt>
                <c:pt idx="44">
                  <c:v>5.71428571428571</c:v>
                </c:pt>
                <c:pt idx="45">
                  <c:v>5.84415584415584</c:v>
                </c:pt>
                <c:pt idx="46">
                  <c:v>5.97402597402597</c:v>
                </c:pt>
                <c:pt idx="47">
                  <c:v>6.1038961038961</c:v>
                </c:pt>
                <c:pt idx="48">
                  <c:v>6.23376623376623</c:v>
                </c:pt>
                <c:pt idx="49">
                  <c:v>6.36363636363636</c:v>
                </c:pt>
                <c:pt idx="50">
                  <c:v>6.49350649350649</c:v>
                </c:pt>
                <c:pt idx="51">
                  <c:v>6.62337662337662</c:v>
                </c:pt>
                <c:pt idx="52">
                  <c:v>6.75324675324675</c:v>
                </c:pt>
                <c:pt idx="53">
                  <c:v>6.88311688311688</c:v>
                </c:pt>
                <c:pt idx="54">
                  <c:v>7.01298701298701</c:v>
                </c:pt>
                <c:pt idx="55">
                  <c:v>7.14285714285714</c:v>
                </c:pt>
                <c:pt idx="56">
                  <c:v>7.27272727272727</c:v>
                </c:pt>
                <c:pt idx="57">
                  <c:v>7.4025974025974</c:v>
                </c:pt>
                <c:pt idx="58">
                  <c:v>7.53246753246753</c:v>
                </c:pt>
                <c:pt idx="59">
                  <c:v>7.66233766233766</c:v>
                </c:pt>
                <c:pt idx="60">
                  <c:v>7.79220779220779</c:v>
                </c:pt>
                <c:pt idx="61">
                  <c:v>7.92207792207792</c:v>
                </c:pt>
                <c:pt idx="62">
                  <c:v>8.05194805194805</c:v>
                </c:pt>
                <c:pt idx="63">
                  <c:v>8.18181818181818</c:v>
                </c:pt>
                <c:pt idx="64">
                  <c:v>8.31168831168831</c:v>
                </c:pt>
                <c:pt idx="65">
                  <c:v>8.44155844155844</c:v>
                </c:pt>
                <c:pt idx="66">
                  <c:v>8.57142857142857</c:v>
                </c:pt>
                <c:pt idx="67">
                  <c:v>8.7012987012987</c:v>
                </c:pt>
                <c:pt idx="68">
                  <c:v>8.83116883116883</c:v>
                </c:pt>
                <c:pt idx="69">
                  <c:v>8.96103896103896</c:v>
                </c:pt>
                <c:pt idx="70">
                  <c:v>9.09090909090909</c:v>
                </c:pt>
                <c:pt idx="71">
                  <c:v>9.22077922077922</c:v>
                </c:pt>
                <c:pt idx="72">
                  <c:v>9.35064935064935</c:v>
                </c:pt>
                <c:pt idx="73">
                  <c:v>9.48051948051948</c:v>
                </c:pt>
                <c:pt idx="74">
                  <c:v>9.61038961038961</c:v>
                </c:pt>
                <c:pt idx="75">
                  <c:v>9.74025974025974</c:v>
                </c:pt>
                <c:pt idx="76">
                  <c:v>9.87012987012987</c:v>
                </c:pt>
                <c:pt idx="77">
                  <c:v>10</c:v>
                </c:pt>
              </c:numCache>
            </c:numRef>
          </c:xVal>
          <c:yVal>
            <c:numRef>
              <c:f>Sheet3!$O$6:$O$83</c:f>
              <c:numCache>
                <c:formatCode>General</c:formatCode>
                <c:ptCount val="78"/>
                <c:pt idx="0">
                  <c:v>0.0267784877805875</c:v>
                </c:pt>
                <c:pt idx="1">
                  <c:v>0.0267784877805875</c:v>
                </c:pt>
                <c:pt idx="2">
                  <c:v>0.0267784877805875</c:v>
                </c:pt>
                <c:pt idx="3">
                  <c:v>0.0267784877805875</c:v>
                </c:pt>
                <c:pt idx="4">
                  <c:v>0.0267784877805875</c:v>
                </c:pt>
                <c:pt idx="5">
                  <c:v>0.0267784877805875</c:v>
                </c:pt>
                <c:pt idx="6">
                  <c:v>0.0267784877805875</c:v>
                </c:pt>
                <c:pt idx="7">
                  <c:v>0.0267784877805875</c:v>
                </c:pt>
                <c:pt idx="8">
                  <c:v>0.0267784877805875</c:v>
                </c:pt>
                <c:pt idx="9">
                  <c:v>0.0267784877805875</c:v>
                </c:pt>
                <c:pt idx="10">
                  <c:v>0.0267784877805875</c:v>
                </c:pt>
                <c:pt idx="11">
                  <c:v>0.0267784877805875</c:v>
                </c:pt>
                <c:pt idx="12">
                  <c:v>0.0267784877805875</c:v>
                </c:pt>
                <c:pt idx="13">
                  <c:v>0.0267784877805875</c:v>
                </c:pt>
                <c:pt idx="14">
                  <c:v>0.0267784877805875</c:v>
                </c:pt>
                <c:pt idx="15">
                  <c:v>0.0267784877805875</c:v>
                </c:pt>
                <c:pt idx="16">
                  <c:v>0.0267784877805875</c:v>
                </c:pt>
                <c:pt idx="17">
                  <c:v>0.0267784877805875</c:v>
                </c:pt>
                <c:pt idx="18">
                  <c:v>0.0267784877805875</c:v>
                </c:pt>
                <c:pt idx="19">
                  <c:v>0.0267784877805875</c:v>
                </c:pt>
                <c:pt idx="20">
                  <c:v>0.0267784877805875</c:v>
                </c:pt>
                <c:pt idx="21">
                  <c:v>0.0267784877805875</c:v>
                </c:pt>
                <c:pt idx="22">
                  <c:v>0.0267784877805875</c:v>
                </c:pt>
                <c:pt idx="23">
                  <c:v>0.0267784877805875</c:v>
                </c:pt>
                <c:pt idx="24">
                  <c:v>0.0267784877805875</c:v>
                </c:pt>
                <c:pt idx="25">
                  <c:v>0.0267784877805875</c:v>
                </c:pt>
                <c:pt idx="26">
                  <c:v>0.0267784877805875</c:v>
                </c:pt>
                <c:pt idx="27">
                  <c:v>0.0267784877805875</c:v>
                </c:pt>
                <c:pt idx="28">
                  <c:v>0.0267784877805875</c:v>
                </c:pt>
                <c:pt idx="29">
                  <c:v>0.0267784877805875</c:v>
                </c:pt>
                <c:pt idx="30">
                  <c:v>0.0267784877805875</c:v>
                </c:pt>
                <c:pt idx="31">
                  <c:v>0.0267784877805875</c:v>
                </c:pt>
                <c:pt idx="32">
                  <c:v>0.0267784877805875</c:v>
                </c:pt>
                <c:pt idx="33">
                  <c:v>0.0267784877805875</c:v>
                </c:pt>
                <c:pt idx="34">
                  <c:v>0.0267784877805875</c:v>
                </c:pt>
                <c:pt idx="35">
                  <c:v>0.0267784877805875</c:v>
                </c:pt>
                <c:pt idx="36">
                  <c:v>0.0267784877805875</c:v>
                </c:pt>
                <c:pt idx="37">
                  <c:v>0.0267784877805875</c:v>
                </c:pt>
                <c:pt idx="38">
                  <c:v>0.0267784877805875</c:v>
                </c:pt>
                <c:pt idx="39">
                  <c:v>0.0267784877805875</c:v>
                </c:pt>
                <c:pt idx="40">
                  <c:v>0.0267784877805875</c:v>
                </c:pt>
                <c:pt idx="41">
                  <c:v>0.0267784877805875</c:v>
                </c:pt>
                <c:pt idx="42">
                  <c:v>0.0267784877805875</c:v>
                </c:pt>
                <c:pt idx="43">
                  <c:v>0.0267784877805875</c:v>
                </c:pt>
                <c:pt idx="44">
                  <c:v>0.0267784877805875</c:v>
                </c:pt>
                <c:pt idx="45">
                  <c:v>0.0267784877805875</c:v>
                </c:pt>
                <c:pt idx="46">
                  <c:v>0.0267784877805875</c:v>
                </c:pt>
                <c:pt idx="47">
                  <c:v>0.0267784877805875</c:v>
                </c:pt>
                <c:pt idx="48">
                  <c:v>0.0267784877805875</c:v>
                </c:pt>
                <c:pt idx="49">
                  <c:v>0.0267784877805875</c:v>
                </c:pt>
                <c:pt idx="50">
                  <c:v>0.0267784877805875</c:v>
                </c:pt>
                <c:pt idx="51">
                  <c:v>0.0267784877805875</c:v>
                </c:pt>
                <c:pt idx="52">
                  <c:v>0.0267784877805875</c:v>
                </c:pt>
                <c:pt idx="53">
                  <c:v>0.0267784877805875</c:v>
                </c:pt>
                <c:pt idx="54">
                  <c:v>0.0267784877805875</c:v>
                </c:pt>
                <c:pt idx="55">
                  <c:v>0.0267784877805875</c:v>
                </c:pt>
                <c:pt idx="56">
                  <c:v>0.0267784877805875</c:v>
                </c:pt>
                <c:pt idx="57">
                  <c:v>0.0267784877805875</c:v>
                </c:pt>
                <c:pt idx="58">
                  <c:v>0.0267784877805875</c:v>
                </c:pt>
                <c:pt idx="59">
                  <c:v>0.0267784877805875</c:v>
                </c:pt>
                <c:pt idx="60">
                  <c:v>0.0267784877805875</c:v>
                </c:pt>
                <c:pt idx="61">
                  <c:v>0.0267784877805875</c:v>
                </c:pt>
                <c:pt idx="62">
                  <c:v>0.0267784877805875</c:v>
                </c:pt>
                <c:pt idx="63">
                  <c:v>0.0267784877805875</c:v>
                </c:pt>
                <c:pt idx="64">
                  <c:v>0.0267784877805875</c:v>
                </c:pt>
                <c:pt idx="65">
                  <c:v>0.0267784877805875</c:v>
                </c:pt>
                <c:pt idx="66">
                  <c:v>0.0267784877805875</c:v>
                </c:pt>
                <c:pt idx="67">
                  <c:v>0.0267784877805875</c:v>
                </c:pt>
                <c:pt idx="68">
                  <c:v>0.0267784877805875</c:v>
                </c:pt>
                <c:pt idx="69">
                  <c:v>0.0267784877805875</c:v>
                </c:pt>
                <c:pt idx="70">
                  <c:v>0.0267784877805875</c:v>
                </c:pt>
                <c:pt idx="71">
                  <c:v>0.0267784877805875</c:v>
                </c:pt>
                <c:pt idx="72">
                  <c:v>0.0267784877805875</c:v>
                </c:pt>
                <c:pt idx="73">
                  <c:v>0.0267784877805875</c:v>
                </c:pt>
                <c:pt idx="74">
                  <c:v>0.0267784877805875</c:v>
                </c:pt>
                <c:pt idx="75">
                  <c:v>0.0267784877805875</c:v>
                </c:pt>
                <c:pt idx="76">
                  <c:v>0.0267784877805875</c:v>
                </c:pt>
                <c:pt idx="77">
                  <c:v>0.0267784877805875</c:v>
                </c:pt>
              </c:numCache>
            </c:numRef>
          </c:yVal>
          <c:smooth val="1"/>
        </c:ser>
        <c:axId val="11602476"/>
        <c:axId val="24311515"/>
      </c:scatterChart>
      <c:valAx>
        <c:axId val="116024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311515"/>
        <c:crossesAt val="0"/>
        <c:crossBetween val="midCat"/>
      </c:valAx>
      <c:valAx>
        <c:axId val="24311515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602476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48398255376748"/>
          <c:y val="0.491798976512269"/>
          <c:w val="0.119416453602045"/>
          <c:h val="0.162052224117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N=4 SM=24</a:t>
            </a:r>
          </a:p>
        </c:rich>
      </c:tx>
      <c:layout>
        <c:manualLayout>
          <c:xMode val="edge"/>
          <c:yMode val="edge"/>
          <c:x val="0.376297187547"/>
          <c:y val="0.043038971263613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52669574372086"/>
          <c:y val="0.118488387350741"/>
          <c:w val="0.816889757858325"/>
          <c:h val="0.881511612649259"/>
        </c:manualLayout>
      </c:layout>
      <c:scatterChart>
        <c:scatterStyle val="line"/>
        <c:varyColors val="0"/>
        <c:ser>
          <c:idx val="0"/>
          <c:order val="0"/>
          <c:tx>
            <c:strRef>
              <c:f>Sheet3!$V$5</c:f>
              <c:strCache>
                <c:ptCount val="1"/>
                <c:pt idx="0">
                  <c:v>Clin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Sheet3!$U$6:$U$83</c:f>
              <c:numCache>
                <c:formatCode>General</c:formatCode>
                <c:ptCount val="78"/>
                <c:pt idx="0">
                  <c:v>0</c:v>
                </c:pt>
                <c:pt idx="1">
                  <c:v>0.0909090909090909</c:v>
                </c:pt>
                <c:pt idx="2">
                  <c:v>0.181818181818182</c:v>
                </c:pt>
                <c:pt idx="3">
                  <c:v>0.272727272727273</c:v>
                </c:pt>
                <c:pt idx="4">
                  <c:v>0.363636363636364</c:v>
                </c:pt>
                <c:pt idx="5">
                  <c:v>0.454545454545455</c:v>
                </c:pt>
                <c:pt idx="6">
                  <c:v>0.545454545454545</c:v>
                </c:pt>
                <c:pt idx="7">
                  <c:v>0.636363636363636</c:v>
                </c:pt>
                <c:pt idx="8">
                  <c:v>0.727272727272727</c:v>
                </c:pt>
                <c:pt idx="9">
                  <c:v>0.818181818181818</c:v>
                </c:pt>
                <c:pt idx="10">
                  <c:v>0.909090909090909</c:v>
                </c:pt>
                <c:pt idx="11">
                  <c:v>1</c:v>
                </c:pt>
                <c:pt idx="12">
                  <c:v>1.09090909090909</c:v>
                </c:pt>
                <c:pt idx="13">
                  <c:v>1.18181818181818</c:v>
                </c:pt>
                <c:pt idx="14">
                  <c:v>1.27272727272727</c:v>
                </c:pt>
                <c:pt idx="15">
                  <c:v>1.36363636363636</c:v>
                </c:pt>
                <c:pt idx="16">
                  <c:v>1.45454545454545</c:v>
                </c:pt>
                <c:pt idx="17">
                  <c:v>1.54545454545455</c:v>
                </c:pt>
                <c:pt idx="18">
                  <c:v>1.63636363636364</c:v>
                </c:pt>
                <c:pt idx="19">
                  <c:v>1.72727272727273</c:v>
                </c:pt>
                <c:pt idx="20">
                  <c:v>1.81818181818182</c:v>
                </c:pt>
                <c:pt idx="21">
                  <c:v>1.90909090909091</c:v>
                </c:pt>
                <c:pt idx="22">
                  <c:v>2</c:v>
                </c:pt>
                <c:pt idx="23">
                  <c:v>2.09090909090909</c:v>
                </c:pt>
                <c:pt idx="24">
                  <c:v>2.18181818181818</c:v>
                </c:pt>
                <c:pt idx="25">
                  <c:v>2.27272727272727</c:v>
                </c:pt>
                <c:pt idx="26">
                  <c:v>2.36363636363636</c:v>
                </c:pt>
                <c:pt idx="27">
                  <c:v>2.45454545454545</c:v>
                </c:pt>
                <c:pt idx="28">
                  <c:v>2.54545454545455</c:v>
                </c:pt>
                <c:pt idx="29">
                  <c:v>2.63636363636364</c:v>
                </c:pt>
                <c:pt idx="30">
                  <c:v>2.72727272727273</c:v>
                </c:pt>
                <c:pt idx="31">
                  <c:v>2.81818181818182</c:v>
                </c:pt>
                <c:pt idx="32">
                  <c:v>2.90909090909091</c:v>
                </c:pt>
                <c:pt idx="33">
                  <c:v>3</c:v>
                </c:pt>
                <c:pt idx="34">
                  <c:v>3.09090909090909</c:v>
                </c:pt>
                <c:pt idx="35">
                  <c:v>3.18181818181818</c:v>
                </c:pt>
                <c:pt idx="36">
                  <c:v>3.27272727272727</c:v>
                </c:pt>
                <c:pt idx="37">
                  <c:v>3.36363636363636</c:v>
                </c:pt>
                <c:pt idx="38">
                  <c:v>3.45454545454545</c:v>
                </c:pt>
                <c:pt idx="39">
                  <c:v>3.54545454545455</c:v>
                </c:pt>
                <c:pt idx="40">
                  <c:v>3.63636363636364</c:v>
                </c:pt>
                <c:pt idx="41">
                  <c:v>3.72727272727273</c:v>
                </c:pt>
                <c:pt idx="42">
                  <c:v>3.81818181818182</c:v>
                </c:pt>
                <c:pt idx="43">
                  <c:v>3.90909090909091</c:v>
                </c:pt>
                <c:pt idx="44">
                  <c:v>4</c:v>
                </c:pt>
                <c:pt idx="45">
                  <c:v>4.09090909090909</c:v>
                </c:pt>
                <c:pt idx="46">
                  <c:v>4.18181818181818</c:v>
                </c:pt>
                <c:pt idx="47">
                  <c:v>4.27272727272727</c:v>
                </c:pt>
                <c:pt idx="48">
                  <c:v>4.36363636363636</c:v>
                </c:pt>
                <c:pt idx="49">
                  <c:v>4.45454545454545</c:v>
                </c:pt>
                <c:pt idx="50">
                  <c:v>4.54545454545455</c:v>
                </c:pt>
                <c:pt idx="51">
                  <c:v>4.63636363636364</c:v>
                </c:pt>
                <c:pt idx="52">
                  <c:v>4.72727272727273</c:v>
                </c:pt>
                <c:pt idx="53">
                  <c:v>4.81818181818182</c:v>
                </c:pt>
                <c:pt idx="54">
                  <c:v>4.90909090909091</c:v>
                </c:pt>
                <c:pt idx="55">
                  <c:v>5</c:v>
                </c:pt>
                <c:pt idx="56">
                  <c:v>5.09090909090909</c:v>
                </c:pt>
                <c:pt idx="57">
                  <c:v>5.18181818181818</c:v>
                </c:pt>
                <c:pt idx="58">
                  <c:v>5.27272727272727</c:v>
                </c:pt>
                <c:pt idx="59">
                  <c:v>5.36363636363636</c:v>
                </c:pt>
                <c:pt idx="60">
                  <c:v>5.45454545454545</c:v>
                </c:pt>
                <c:pt idx="61">
                  <c:v>5.54545454545455</c:v>
                </c:pt>
                <c:pt idx="62">
                  <c:v>5.63636363636364</c:v>
                </c:pt>
                <c:pt idx="63">
                  <c:v>5.72727272727273</c:v>
                </c:pt>
                <c:pt idx="64">
                  <c:v>5.81818181818182</c:v>
                </c:pt>
                <c:pt idx="65">
                  <c:v>5.90909090909091</c:v>
                </c:pt>
                <c:pt idx="66">
                  <c:v>6</c:v>
                </c:pt>
                <c:pt idx="67">
                  <c:v>6.09090909090909</c:v>
                </c:pt>
                <c:pt idx="68">
                  <c:v>6.18181818181818</c:v>
                </c:pt>
                <c:pt idx="69">
                  <c:v>6.27272727272727</c:v>
                </c:pt>
                <c:pt idx="70">
                  <c:v>6.36363636363636</c:v>
                </c:pt>
                <c:pt idx="71">
                  <c:v>6.45454545454545</c:v>
                </c:pt>
                <c:pt idx="72">
                  <c:v>6.54545454545455</c:v>
                </c:pt>
                <c:pt idx="73">
                  <c:v>6.63636363636364</c:v>
                </c:pt>
                <c:pt idx="74">
                  <c:v>6.72727272727273</c:v>
                </c:pt>
                <c:pt idx="75">
                  <c:v>6.81818181818182</c:v>
                </c:pt>
                <c:pt idx="76">
                  <c:v>6.90909090909091</c:v>
                </c:pt>
                <c:pt idx="77">
                  <c:v>7</c:v>
                </c:pt>
              </c:numCache>
            </c:numRef>
          </c:xVal>
          <c:yVal>
            <c:numRef>
              <c:f>Sheet3!$V$6:$V$83</c:f>
              <c:numCache>
                <c:formatCode>General</c:formatCode>
                <c:ptCount val="78"/>
                <c:pt idx="0">
                  <c:v>4.63331962351762E-005</c:v>
                </c:pt>
                <c:pt idx="1">
                  <c:v>0.00466137879929772</c:v>
                </c:pt>
                <c:pt idx="2">
                  <c:v>0.00938458038744827</c:v>
                </c:pt>
                <c:pt idx="3">
                  <c:v>0.0141740297667666</c:v>
                </c:pt>
                <c:pt idx="4">
                  <c:v>0.0190326942356131</c:v>
                </c:pt>
                <c:pt idx="5">
                  <c:v>0.0239628683609218</c:v>
                </c:pt>
                <c:pt idx="6">
                  <c:v>0.0289663685072493</c:v>
                </c:pt>
                <c:pt idx="7">
                  <c:v>0.0340445749427072</c:v>
                </c:pt>
                <c:pt idx="8">
                  <c:v>0.0391983135666449</c:v>
                </c:pt>
                <c:pt idx="9">
                  <c:v>0.044427945451807</c:v>
                </c:pt>
                <c:pt idx="10">
                  <c:v>0.0497331461133689</c:v>
                </c:pt>
                <c:pt idx="11">
                  <c:v>0.0551129629212572</c:v>
                </c:pt>
                <c:pt idx="12">
                  <c:v>0.0605656734208908</c:v>
                </c:pt>
                <c:pt idx="13">
                  <c:v>0.0660886729613387</c:v>
                </c:pt>
                <c:pt idx="14">
                  <c:v>0.0716784854641469</c:v>
                </c:pt>
                <c:pt idx="15">
                  <c:v>0.0773306865559832</c:v>
                </c:pt>
                <c:pt idx="16">
                  <c:v>0.0830397926094686</c:v>
                </c:pt>
                <c:pt idx="17">
                  <c:v>0.0887992886310247</c:v>
                </c:pt>
                <c:pt idx="18">
                  <c:v>0.0946013748299839</c:v>
                </c:pt>
                <c:pt idx="19">
                  <c:v>0.100437226952106</c:v>
                </c:pt>
                <c:pt idx="20">
                  <c:v>0.106296697992452</c:v>
                </c:pt>
                <c:pt idx="21">
                  <c:v>0.112168439462403</c:v>
                </c:pt>
                <c:pt idx="22">
                  <c:v>0.118039820751495</c:v>
                </c:pt>
                <c:pt idx="23">
                  <c:v>0.123896804304369</c:v>
                </c:pt>
                <c:pt idx="24">
                  <c:v>0.129724142600658</c:v>
                </c:pt>
                <c:pt idx="25">
                  <c:v>0.135505026293661</c:v>
                </c:pt>
                <c:pt idx="26">
                  <c:v>0.141221361641919</c:v>
                </c:pt>
                <c:pt idx="27">
                  <c:v>0.146853819075144</c:v>
                </c:pt>
                <c:pt idx="28">
                  <c:v>0.152381540371568</c:v>
                </c:pt>
                <c:pt idx="29">
                  <c:v>0.157782699665903</c:v>
                </c:pt>
                <c:pt idx="30">
                  <c:v>0.163032301176585</c:v>
                </c:pt>
                <c:pt idx="31">
                  <c:v>0.168106621488132</c:v>
                </c:pt>
                <c:pt idx="32">
                  <c:v>0.172978701314081</c:v>
                </c:pt>
                <c:pt idx="33">
                  <c:v>0.177620822435777</c:v>
                </c:pt>
                <c:pt idx="34">
                  <c:v>0.182003598037261</c:v>
                </c:pt>
                <c:pt idx="35">
                  <c:v>0.186096494132415</c:v>
                </c:pt>
                <c:pt idx="36">
                  <c:v>0.189867442748892</c:v>
                </c:pt>
                <c:pt idx="37">
                  <c:v>0.193283031957669</c:v>
                </c:pt>
                <c:pt idx="38">
                  <c:v>0.196308528669416</c:v>
                </c:pt>
                <c:pt idx="39">
                  <c:v>0.198907976217111</c:v>
                </c:pt>
                <c:pt idx="40">
                  <c:v>0.20104365378653</c:v>
                </c:pt>
                <c:pt idx="41">
                  <c:v>0.202677068903132</c:v>
                </c:pt>
                <c:pt idx="42">
                  <c:v>0.203768049962127</c:v>
                </c:pt>
                <c:pt idx="43">
                  <c:v>0.2042753083159</c:v>
                </c:pt>
                <c:pt idx="44">
                  <c:v>0.204155972494525</c:v>
                </c:pt>
                <c:pt idx="45">
                  <c:v>0.203366292633214</c:v>
                </c:pt>
                <c:pt idx="46">
                  <c:v>0.201861229418824</c:v>
                </c:pt>
                <c:pt idx="47">
                  <c:v>0.199594187888614</c:v>
                </c:pt>
                <c:pt idx="48">
                  <c:v>0.196517345396153</c:v>
                </c:pt>
                <c:pt idx="49">
                  <c:v>0.19258234156043</c:v>
                </c:pt>
                <c:pt idx="50">
                  <c:v>0.187738756134212</c:v>
                </c:pt>
                <c:pt idx="51">
                  <c:v>0.181935476408855</c:v>
                </c:pt>
                <c:pt idx="52">
                  <c:v>0.175120176895915</c:v>
                </c:pt>
                <c:pt idx="53">
                  <c:v>0.167239190006057</c:v>
                </c:pt>
                <c:pt idx="54">
                  <c:v>0.158237939698254</c:v>
                </c:pt>
                <c:pt idx="55">
                  <c:v>0.148060406124245</c:v>
                </c:pt>
                <c:pt idx="56">
                  <c:v>0.136650241139646</c:v>
                </c:pt>
                <c:pt idx="57">
                  <c:v>0.123949288801646</c:v>
                </c:pt>
                <c:pt idx="58">
                  <c:v>0.0683776820807034</c:v>
                </c:pt>
                <c:pt idx="59">
                  <c:v>0.0781173800825545</c:v>
                </c:pt>
                <c:pt idx="60">
                  <c:v>0.0889246824510437</c:v>
                </c:pt>
                <c:pt idx="61">
                  <c:v>0.100884424754204</c:v>
                </c:pt>
                <c:pt idx="62">
                  <c:v>0.114085475196692</c:v>
                </c:pt>
                <c:pt idx="63">
                  <c:v>0.128620739935897</c:v>
                </c:pt>
                <c:pt idx="64">
                  <c:v>0.144587159022873</c:v>
                </c:pt>
                <c:pt idx="65">
                  <c:v>0.162085693568204</c:v>
                </c:pt>
                <c:pt idx="66">
                  <c:v>0.181221304828686</c:v>
                </c:pt>
                <c:pt idx="67">
                  <c:v>0.202102925985318</c:v>
                </c:pt>
                <c:pt idx="68">
                  <c:v>0.224843427429997</c:v>
                </c:pt>
                <c:pt idx="69">
                  <c:v>0.249559576397552</c:v>
                </c:pt>
                <c:pt idx="70">
                  <c:v>0.276371991773015</c:v>
                </c:pt>
                <c:pt idx="71">
                  <c:v>0.305405094869932</c:v>
                </c:pt>
                <c:pt idx="72">
                  <c:v>0.336787056916216</c:v>
                </c:pt>
                <c:pt idx="73">
                  <c:v>0.370649743908857</c:v>
                </c:pt>
                <c:pt idx="74">
                  <c:v>0.407128659401816</c:v>
                </c:pt>
                <c:pt idx="75">
                  <c:v>0.446362885687485</c:v>
                </c:pt>
                <c:pt idx="76">
                  <c:v>0.48849502372024</c:v>
                </c:pt>
                <c:pt idx="77">
                  <c:v>0.533671132018978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Sheet3!$W$5</c:f>
              <c:strCache>
                <c:ptCount val="1"/>
                <c:pt idx="0">
                  <c:v>CLp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Sheet3!$U$6:$U$83</c:f>
              <c:numCache>
                <c:formatCode>General</c:formatCode>
                <c:ptCount val="78"/>
                <c:pt idx="0">
                  <c:v>0</c:v>
                </c:pt>
                <c:pt idx="1">
                  <c:v>0.0909090909090909</c:v>
                </c:pt>
                <c:pt idx="2">
                  <c:v>0.181818181818182</c:v>
                </c:pt>
                <c:pt idx="3">
                  <c:v>0.272727272727273</c:v>
                </c:pt>
                <c:pt idx="4">
                  <c:v>0.363636363636364</c:v>
                </c:pt>
                <c:pt idx="5">
                  <c:v>0.454545454545455</c:v>
                </c:pt>
                <c:pt idx="6">
                  <c:v>0.545454545454545</c:v>
                </c:pt>
                <c:pt idx="7">
                  <c:v>0.636363636363636</c:v>
                </c:pt>
                <c:pt idx="8">
                  <c:v>0.727272727272727</c:v>
                </c:pt>
                <c:pt idx="9">
                  <c:v>0.818181818181818</c:v>
                </c:pt>
                <c:pt idx="10">
                  <c:v>0.909090909090909</c:v>
                </c:pt>
                <c:pt idx="11">
                  <c:v>1</c:v>
                </c:pt>
                <c:pt idx="12">
                  <c:v>1.09090909090909</c:v>
                </c:pt>
                <c:pt idx="13">
                  <c:v>1.18181818181818</c:v>
                </c:pt>
                <c:pt idx="14">
                  <c:v>1.27272727272727</c:v>
                </c:pt>
                <c:pt idx="15">
                  <c:v>1.36363636363636</c:v>
                </c:pt>
                <c:pt idx="16">
                  <c:v>1.45454545454545</c:v>
                </c:pt>
                <c:pt idx="17">
                  <c:v>1.54545454545455</c:v>
                </c:pt>
                <c:pt idx="18">
                  <c:v>1.63636363636364</c:v>
                </c:pt>
                <c:pt idx="19">
                  <c:v>1.72727272727273</c:v>
                </c:pt>
                <c:pt idx="20">
                  <c:v>1.81818181818182</c:v>
                </c:pt>
                <c:pt idx="21">
                  <c:v>1.90909090909091</c:v>
                </c:pt>
                <c:pt idx="22">
                  <c:v>2</c:v>
                </c:pt>
                <c:pt idx="23">
                  <c:v>2.09090909090909</c:v>
                </c:pt>
                <c:pt idx="24">
                  <c:v>2.18181818181818</c:v>
                </c:pt>
                <c:pt idx="25">
                  <c:v>2.27272727272727</c:v>
                </c:pt>
                <c:pt idx="26">
                  <c:v>2.36363636363636</c:v>
                </c:pt>
                <c:pt idx="27">
                  <c:v>2.45454545454545</c:v>
                </c:pt>
                <c:pt idx="28">
                  <c:v>2.54545454545455</c:v>
                </c:pt>
                <c:pt idx="29">
                  <c:v>2.63636363636364</c:v>
                </c:pt>
                <c:pt idx="30">
                  <c:v>2.72727272727273</c:v>
                </c:pt>
                <c:pt idx="31">
                  <c:v>2.81818181818182</c:v>
                </c:pt>
                <c:pt idx="32">
                  <c:v>2.90909090909091</c:v>
                </c:pt>
                <c:pt idx="33">
                  <c:v>3</c:v>
                </c:pt>
                <c:pt idx="34">
                  <c:v>3.09090909090909</c:v>
                </c:pt>
                <c:pt idx="35">
                  <c:v>3.18181818181818</c:v>
                </c:pt>
                <c:pt idx="36">
                  <c:v>3.27272727272727</c:v>
                </c:pt>
                <c:pt idx="37">
                  <c:v>3.36363636363636</c:v>
                </c:pt>
                <c:pt idx="38">
                  <c:v>3.45454545454545</c:v>
                </c:pt>
                <c:pt idx="39">
                  <c:v>3.54545454545455</c:v>
                </c:pt>
                <c:pt idx="40">
                  <c:v>3.63636363636364</c:v>
                </c:pt>
                <c:pt idx="41">
                  <c:v>3.72727272727273</c:v>
                </c:pt>
                <c:pt idx="42">
                  <c:v>3.81818181818182</c:v>
                </c:pt>
                <c:pt idx="43">
                  <c:v>3.90909090909091</c:v>
                </c:pt>
                <c:pt idx="44">
                  <c:v>4</c:v>
                </c:pt>
                <c:pt idx="45">
                  <c:v>4.09090909090909</c:v>
                </c:pt>
                <c:pt idx="46">
                  <c:v>4.18181818181818</c:v>
                </c:pt>
                <c:pt idx="47">
                  <c:v>4.27272727272727</c:v>
                </c:pt>
                <c:pt idx="48">
                  <c:v>4.36363636363636</c:v>
                </c:pt>
                <c:pt idx="49">
                  <c:v>4.45454545454545</c:v>
                </c:pt>
                <c:pt idx="50">
                  <c:v>4.54545454545455</c:v>
                </c:pt>
                <c:pt idx="51">
                  <c:v>4.63636363636364</c:v>
                </c:pt>
                <c:pt idx="52">
                  <c:v>4.72727272727273</c:v>
                </c:pt>
                <c:pt idx="53">
                  <c:v>4.81818181818182</c:v>
                </c:pt>
                <c:pt idx="54">
                  <c:v>4.90909090909091</c:v>
                </c:pt>
                <c:pt idx="55">
                  <c:v>5</c:v>
                </c:pt>
                <c:pt idx="56">
                  <c:v>5.09090909090909</c:v>
                </c:pt>
                <c:pt idx="57">
                  <c:v>5.18181818181818</c:v>
                </c:pt>
                <c:pt idx="58">
                  <c:v>5.27272727272727</c:v>
                </c:pt>
                <c:pt idx="59">
                  <c:v>5.36363636363636</c:v>
                </c:pt>
                <c:pt idx="60">
                  <c:v>5.45454545454545</c:v>
                </c:pt>
                <c:pt idx="61">
                  <c:v>5.54545454545455</c:v>
                </c:pt>
                <c:pt idx="62">
                  <c:v>5.63636363636364</c:v>
                </c:pt>
                <c:pt idx="63">
                  <c:v>5.72727272727273</c:v>
                </c:pt>
                <c:pt idx="64">
                  <c:v>5.81818181818182</c:v>
                </c:pt>
                <c:pt idx="65">
                  <c:v>5.90909090909091</c:v>
                </c:pt>
                <c:pt idx="66">
                  <c:v>6</c:v>
                </c:pt>
                <c:pt idx="67">
                  <c:v>6.09090909090909</c:v>
                </c:pt>
                <c:pt idx="68">
                  <c:v>6.18181818181818</c:v>
                </c:pt>
                <c:pt idx="69">
                  <c:v>6.27272727272727</c:v>
                </c:pt>
                <c:pt idx="70">
                  <c:v>6.36363636363636</c:v>
                </c:pt>
                <c:pt idx="71">
                  <c:v>6.45454545454545</c:v>
                </c:pt>
                <c:pt idx="72">
                  <c:v>6.54545454545455</c:v>
                </c:pt>
                <c:pt idx="73">
                  <c:v>6.63636363636364</c:v>
                </c:pt>
                <c:pt idx="74">
                  <c:v>6.72727272727273</c:v>
                </c:pt>
                <c:pt idx="75">
                  <c:v>6.81818181818182</c:v>
                </c:pt>
                <c:pt idx="76">
                  <c:v>6.90909090909091</c:v>
                </c:pt>
                <c:pt idx="77">
                  <c:v>7</c:v>
                </c:pt>
              </c:numCache>
            </c:numRef>
          </c:xVal>
          <c:yVal>
            <c:numRef>
              <c:f>Sheet3!$W$6:$W$83</c:f>
              <c:numCache>
                <c:formatCode>General</c:formatCode>
                <c:ptCount val="78"/>
                <c:pt idx="0">
                  <c:v>0.350061068970973</c:v>
                </c:pt>
                <c:pt idx="1">
                  <c:v>0.350061068970973</c:v>
                </c:pt>
                <c:pt idx="2">
                  <c:v>0.350061068970973</c:v>
                </c:pt>
                <c:pt idx="3">
                  <c:v>0.350061068970973</c:v>
                </c:pt>
                <c:pt idx="4">
                  <c:v>0.350061068970973</c:v>
                </c:pt>
                <c:pt idx="5">
                  <c:v>0.350061068970973</c:v>
                </c:pt>
                <c:pt idx="6">
                  <c:v>0.350061068970973</c:v>
                </c:pt>
                <c:pt idx="7">
                  <c:v>0.350061068970973</c:v>
                </c:pt>
                <c:pt idx="8">
                  <c:v>0.350061068970973</c:v>
                </c:pt>
                <c:pt idx="9">
                  <c:v>0.350061068970973</c:v>
                </c:pt>
                <c:pt idx="10">
                  <c:v>0.350061068970973</c:v>
                </c:pt>
                <c:pt idx="11">
                  <c:v>0.350061068970973</c:v>
                </c:pt>
                <c:pt idx="12">
                  <c:v>0.350061068970973</c:v>
                </c:pt>
                <c:pt idx="13">
                  <c:v>0.350061068970973</c:v>
                </c:pt>
                <c:pt idx="14">
                  <c:v>0.350061068970973</c:v>
                </c:pt>
                <c:pt idx="15">
                  <c:v>0.350061068970973</c:v>
                </c:pt>
                <c:pt idx="16">
                  <c:v>0.350061068970973</c:v>
                </c:pt>
                <c:pt idx="17">
                  <c:v>0.350061068970973</c:v>
                </c:pt>
                <c:pt idx="18">
                  <c:v>0.350061068970973</c:v>
                </c:pt>
                <c:pt idx="19">
                  <c:v>0.350061068970973</c:v>
                </c:pt>
                <c:pt idx="20">
                  <c:v>0.350061068970973</c:v>
                </c:pt>
                <c:pt idx="21">
                  <c:v>0.350061068970973</c:v>
                </c:pt>
                <c:pt idx="22">
                  <c:v>0.350061068970973</c:v>
                </c:pt>
                <c:pt idx="23">
                  <c:v>0.350061068970973</c:v>
                </c:pt>
                <c:pt idx="24">
                  <c:v>0.350061068970973</c:v>
                </c:pt>
                <c:pt idx="25">
                  <c:v>0.350061068970973</c:v>
                </c:pt>
                <c:pt idx="26">
                  <c:v>0.350061068970973</c:v>
                </c:pt>
                <c:pt idx="27">
                  <c:v>0.350061068970973</c:v>
                </c:pt>
                <c:pt idx="28">
                  <c:v>0.350061068970973</c:v>
                </c:pt>
                <c:pt idx="29">
                  <c:v>0.350061068970973</c:v>
                </c:pt>
                <c:pt idx="30">
                  <c:v>0.350061068970973</c:v>
                </c:pt>
                <c:pt idx="31">
                  <c:v>0.350061068970973</c:v>
                </c:pt>
                <c:pt idx="32">
                  <c:v>0.350061068970973</c:v>
                </c:pt>
                <c:pt idx="33">
                  <c:v>0.350061068970973</c:v>
                </c:pt>
                <c:pt idx="34">
                  <c:v>0.350061068970973</c:v>
                </c:pt>
                <c:pt idx="35">
                  <c:v>0.350061068970973</c:v>
                </c:pt>
                <c:pt idx="36">
                  <c:v>0.350061068970973</c:v>
                </c:pt>
                <c:pt idx="37">
                  <c:v>0.350061068970973</c:v>
                </c:pt>
                <c:pt idx="38">
                  <c:v>0.350061068970973</c:v>
                </c:pt>
                <c:pt idx="39">
                  <c:v>0.350061068970973</c:v>
                </c:pt>
                <c:pt idx="40">
                  <c:v>0.350061068970973</c:v>
                </c:pt>
                <c:pt idx="41">
                  <c:v>0.350061068970973</c:v>
                </c:pt>
                <c:pt idx="42">
                  <c:v>0.350061068970973</c:v>
                </c:pt>
                <c:pt idx="43">
                  <c:v>0.350061068970973</c:v>
                </c:pt>
                <c:pt idx="44">
                  <c:v>0.350061068970973</c:v>
                </c:pt>
                <c:pt idx="45">
                  <c:v>0.350061068970973</c:v>
                </c:pt>
                <c:pt idx="46">
                  <c:v>0.350061068970973</c:v>
                </c:pt>
                <c:pt idx="47">
                  <c:v>0.350061068970973</c:v>
                </c:pt>
                <c:pt idx="48">
                  <c:v>0.350061068970973</c:v>
                </c:pt>
                <c:pt idx="49">
                  <c:v>0.350061068970973</c:v>
                </c:pt>
                <c:pt idx="50">
                  <c:v>0.350061068970973</c:v>
                </c:pt>
                <c:pt idx="51">
                  <c:v>0.350061068970973</c:v>
                </c:pt>
                <c:pt idx="52">
                  <c:v>0.350061068970973</c:v>
                </c:pt>
                <c:pt idx="53">
                  <c:v>0.350061068970973</c:v>
                </c:pt>
                <c:pt idx="54">
                  <c:v>0.350061068970973</c:v>
                </c:pt>
                <c:pt idx="55">
                  <c:v>0.350061068970973</c:v>
                </c:pt>
                <c:pt idx="56">
                  <c:v>0.350061068970973</c:v>
                </c:pt>
                <c:pt idx="57">
                  <c:v>0.350061068970973</c:v>
                </c:pt>
                <c:pt idx="58">
                  <c:v>0.350061068970973</c:v>
                </c:pt>
                <c:pt idx="59">
                  <c:v>0.350061068970973</c:v>
                </c:pt>
                <c:pt idx="60">
                  <c:v>0.350061068970973</c:v>
                </c:pt>
                <c:pt idx="61">
                  <c:v>0.350061068970973</c:v>
                </c:pt>
                <c:pt idx="62">
                  <c:v>0.350061068970973</c:v>
                </c:pt>
                <c:pt idx="63">
                  <c:v>0.350061068970973</c:v>
                </c:pt>
                <c:pt idx="64">
                  <c:v>0.350061068970973</c:v>
                </c:pt>
                <c:pt idx="65">
                  <c:v>0.350061068970973</c:v>
                </c:pt>
                <c:pt idx="66">
                  <c:v>0.350061068970973</c:v>
                </c:pt>
                <c:pt idx="67">
                  <c:v>0.350061068970973</c:v>
                </c:pt>
                <c:pt idx="68">
                  <c:v>0.350061068970973</c:v>
                </c:pt>
                <c:pt idx="69">
                  <c:v>0.350061068970973</c:v>
                </c:pt>
                <c:pt idx="70">
                  <c:v>0.350061068970973</c:v>
                </c:pt>
                <c:pt idx="71">
                  <c:v>0.350061068970973</c:v>
                </c:pt>
                <c:pt idx="72">
                  <c:v>0.350061068970973</c:v>
                </c:pt>
                <c:pt idx="73">
                  <c:v>0.350061068970973</c:v>
                </c:pt>
                <c:pt idx="74">
                  <c:v>0.350061068970973</c:v>
                </c:pt>
                <c:pt idx="75">
                  <c:v>0.350061068970973</c:v>
                </c:pt>
                <c:pt idx="76">
                  <c:v>0.350061068970973</c:v>
                </c:pt>
                <c:pt idx="77">
                  <c:v>0.350061068970973</c:v>
                </c:pt>
              </c:numCache>
            </c:numRef>
          </c:yVal>
          <c:smooth val="1"/>
        </c:ser>
        <c:axId val="87151543"/>
        <c:axId val="43315700"/>
      </c:scatterChart>
      <c:valAx>
        <c:axId val="87151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315700"/>
        <c:crossesAt val="0"/>
        <c:crossBetween val="midCat"/>
      </c:valAx>
      <c:valAx>
        <c:axId val="43315700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151543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50278237328922"/>
          <c:y val="0.491798976512269"/>
          <c:w val="0.119416453602045"/>
          <c:h val="0.162052224117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N=6 SM=24</a:t>
            </a:r>
          </a:p>
        </c:rich>
      </c:tx>
      <c:layout>
        <c:manualLayout>
          <c:xMode val="edge"/>
          <c:yMode val="edge"/>
          <c:x val="0.376297187547"/>
          <c:y val="0.043038971263613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67709429989472"/>
          <c:y val="0.118357170974938"/>
          <c:w val="0.816363362911716"/>
          <c:h val="0.881642829025062"/>
        </c:manualLayout>
      </c:layout>
      <c:scatterChart>
        <c:scatterStyle val="line"/>
        <c:varyColors val="0"/>
        <c:ser>
          <c:idx val="0"/>
          <c:order val="0"/>
          <c:tx>
            <c:strRef>
              <c:f>Sheet3!$Z$5</c:f>
              <c:strCache>
                <c:ptCount val="1"/>
                <c:pt idx="0">
                  <c:v>Clin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Sheet3!$Y$6:$Y$83</c:f>
              <c:numCache>
                <c:formatCode>General</c:formatCode>
                <c:ptCount val="78"/>
                <c:pt idx="0">
                  <c:v>0</c:v>
                </c:pt>
                <c:pt idx="1">
                  <c:v>0.0909090909090909</c:v>
                </c:pt>
                <c:pt idx="2">
                  <c:v>0.181818181818182</c:v>
                </c:pt>
                <c:pt idx="3">
                  <c:v>0.272727272727273</c:v>
                </c:pt>
                <c:pt idx="4">
                  <c:v>0.363636363636364</c:v>
                </c:pt>
                <c:pt idx="5">
                  <c:v>0.454545454545455</c:v>
                </c:pt>
                <c:pt idx="6">
                  <c:v>0.545454545454545</c:v>
                </c:pt>
                <c:pt idx="7">
                  <c:v>0.636363636363636</c:v>
                </c:pt>
                <c:pt idx="8">
                  <c:v>0.727272727272727</c:v>
                </c:pt>
                <c:pt idx="9">
                  <c:v>0.818181818181818</c:v>
                </c:pt>
                <c:pt idx="10">
                  <c:v>0.909090909090909</c:v>
                </c:pt>
                <c:pt idx="11">
                  <c:v>1</c:v>
                </c:pt>
                <c:pt idx="12">
                  <c:v>1.09090909090909</c:v>
                </c:pt>
                <c:pt idx="13">
                  <c:v>1.18181818181818</c:v>
                </c:pt>
                <c:pt idx="14">
                  <c:v>1.27272727272727</c:v>
                </c:pt>
                <c:pt idx="15">
                  <c:v>1.36363636363636</c:v>
                </c:pt>
                <c:pt idx="16">
                  <c:v>1.45454545454545</c:v>
                </c:pt>
                <c:pt idx="17">
                  <c:v>1.54545454545455</c:v>
                </c:pt>
                <c:pt idx="18">
                  <c:v>1.63636363636364</c:v>
                </c:pt>
                <c:pt idx="19">
                  <c:v>1.72727272727273</c:v>
                </c:pt>
                <c:pt idx="20">
                  <c:v>1.81818181818182</c:v>
                </c:pt>
                <c:pt idx="21">
                  <c:v>1.90909090909091</c:v>
                </c:pt>
                <c:pt idx="22">
                  <c:v>2</c:v>
                </c:pt>
                <c:pt idx="23">
                  <c:v>2.09090909090909</c:v>
                </c:pt>
                <c:pt idx="24">
                  <c:v>2.18181818181818</c:v>
                </c:pt>
                <c:pt idx="25">
                  <c:v>2.27272727272727</c:v>
                </c:pt>
                <c:pt idx="26">
                  <c:v>2.36363636363636</c:v>
                </c:pt>
                <c:pt idx="27">
                  <c:v>2.45454545454545</c:v>
                </c:pt>
                <c:pt idx="28">
                  <c:v>2.54545454545455</c:v>
                </c:pt>
                <c:pt idx="29">
                  <c:v>2.63636363636364</c:v>
                </c:pt>
                <c:pt idx="30">
                  <c:v>2.72727272727273</c:v>
                </c:pt>
                <c:pt idx="31">
                  <c:v>2.81818181818182</c:v>
                </c:pt>
                <c:pt idx="32">
                  <c:v>2.90909090909091</c:v>
                </c:pt>
                <c:pt idx="33">
                  <c:v>3</c:v>
                </c:pt>
                <c:pt idx="34">
                  <c:v>3.09090909090909</c:v>
                </c:pt>
                <c:pt idx="35">
                  <c:v>3.18181818181818</c:v>
                </c:pt>
                <c:pt idx="36">
                  <c:v>3.27272727272727</c:v>
                </c:pt>
                <c:pt idx="37">
                  <c:v>3.36363636363636</c:v>
                </c:pt>
                <c:pt idx="38">
                  <c:v>3.45454545454545</c:v>
                </c:pt>
                <c:pt idx="39">
                  <c:v>3.54545454545455</c:v>
                </c:pt>
                <c:pt idx="40">
                  <c:v>3.63636363636364</c:v>
                </c:pt>
                <c:pt idx="41">
                  <c:v>3.72727272727273</c:v>
                </c:pt>
                <c:pt idx="42">
                  <c:v>3.81818181818182</c:v>
                </c:pt>
                <c:pt idx="43">
                  <c:v>3.90909090909091</c:v>
                </c:pt>
                <c:pt idx="44">
                  <c:v>4</c:v>
                </c:pt>
                <c:pt idx="45">
                  <c:v>4.09090909090909</c:v>
                </c:pt>
                <c:pt idx="46">
                  <c:v>4.18181818181818</c:v>
                </c:pt>
                <c:pt idx="47">
                  <c:v>4.27272727272727</c:v>
                </c:pt>
                <c:pt idx="48">
                  <c:v>4.36363636363636</c:v>
                </c:pt>
                <c:pt idx="49">
                  <c:v>4.45454545454545</c:v>
                </c:pt>
                <c:pt idx="50">
                  <c:v>4.54545454545455</c:v>
                </c:pt>
                <c:pt idx="51">
                  <c:v>4.63636363636364</c:v>
                </c:pt>
                <c:pt idx="52">
                  <c:v>4.72727272727273</c:v>
                </c:pt>
                <c:pt idx="53">
                  <c:v>4.81818181818182</c:v>
                </c:pt>
                <c:pt idx="54">
                  <c:v>4.90909090909091</c:v>
                </c:pt>
                <c:pt idx="55">
                  <c:v>5</c:v>
                </c:pt>
                <c:pt idx="56">
                  <c:v>5.09090909090909</c:v>
                </c:pt>
                <c:pt idx="57">
                  <c:v>5.18181818181818</c:v>
                </c:pt>
                <c:pt idx="58">
                  <c:v>5.27272727272727</c:v>
                </c:pt>
                <c:pt idx="59">
                  <c:v>5.36363636363636</c:v>
                </c:pt>
                <c:pt idx="60">
                  <c:v>5.45454545454545</c:v>
                </c:pt>
                <c:pt idx="61">
                  <c:v>5.54545454545455</c:v>
                </c:pt>
                <c:pt idx="62">
                  <c:v>5.63636363636364</c:v>
                </c:pt>
                <c:pt idx="63">
                  <c:v>5.72727272727273</c:v>
                </c:pt>
                <c:pt idx="64">
                  <c:v>5.81818181818182</c:v>
                </c:pt>
                <c:pt idx="65">
                  <c:v>5.90909090909091</c:v>
                </c:pt>
                <c:pt idx="66">
                  <c:v>6</c:v>
                </c:pt>
                <c:pt idx="67">
                  <c:v>6.09090909090909</c:v>
                </c:pt>
                <c:pt idx="68">
                  <c:v>6.18181818181818</c:v>
                </c:pt>
                <c:pt idx="69">
                  <c:v>6.27272727272727</c:v>
                </c:pt>
                <c:pt idx="70">
                  <c:v>6.36363636363636</c:v>
                </c:pt>
                <c:pt idx="71">
                  <c:v>6.45454545454545</c:v>
                </c:pt>
                <c:pt idx="72">
                  <c:v>6.54545454545455</c:v>
                </c:pt>
                <c:pt idx="73">
                  <c:v>6.63636363636364</c:v>
                </c:pt>
                <c:pt idx="74">
                  <c:v>6.72727272727273</c:v>
                </c:pt>
                <c:pt idx="75">
                  <c:v>6.81818181818182</c:v>
                </c:pt>
                <c:pt idx="76">
                  <c:v>6.90909090909091</c:v>
                </c:pt>
                <c:pt idx="77">
                  <c:v>7</c:v>
                </c:pt>
              </c:numCache>
            </c:numRef>
          </c:xVal>
          <c:yVal>
            <c:numRef>
              <c:f>Sheet3!$Z$6:$Z$83</c:f>
              <c:numCache>
                <c:formatCode>General</c:formatCode>
                <c:ptCount val="78"/>
                <c:pt idx="0">
                  <c:v>2.33304197255907E-005</c:v>
                </c:pt>
                <c:pt idx="1">
                  <c:v>0.00227535096168232</c:v>
                </c:pt>
                <c:pt idx="2">
                  <c:v>0.00443346094411633</c:v>
                </c:pt>
                <c:pt idx="3">
                  <c:v>0.00647083627243691</c:v>
                </c:pt>
                <c:pt idx="4">
                  <c:v>0.00838238338703602</c:v>
                </c:pt>
                <c:pt idx="5">
                  <c:v>0.010161924389015</c:v>
                </c:pt>
                <c:pt idx="6">
                  <c:v>0.0118024156196351</c:v>
                </c:pt>
                <c:pt idx="7">
                  <c:v>0.0132960976765023</c:v>
                </c:pt>
                <c:pt idx="8">
                  <c:v>0.0146345762145849</c:v>
                </c:pt>
                <c:pt idx="9">
                  <c:v>0.0158089500633522</c:v>
                </c:pt>
                <c:pt idx="10">
                  <c:v>0.0168099461949824</c:v>
                </c:pt>
                <c:pt idx="11">
                  <c:v>0.0176279794523069</c:v>
                </c:pt>
                <c:pt idx="12">
                  <c:v>0.0182532965935301</c:v>
                </c:pt>
                <c:pt idx="13">
                  <c:v>0.0186761338796575</c:v>
                </c:pt>
                <c:pt idx="14">
                  <c:v>0.018886752317733</c:v>
                </c:pt>
                <c:pt idx="15">
                  <c:v>0.0188755794379303</c:v>
                </c:pt>
                <c:pt idx="16">
                  <c:v>0.018633357664963</c:v>
                </c:pt>
                <c:pt idx="17">
                  <c:v>0.0181511572190712</c:v>
                </c:pt>
                <c:pt idx="18">
                  <c:v>0.0174205051847474</c:v>
                </c:pt>
                <c:pt idx="19">
                  <c:v>0.0164334171333412</c:v>
                </c:pt>
                <c:pt idx="20">
                  <c:v>0.0151825282275118</c:v>
                </c:pt>
                <c:pt idx="21">
                  <c:v>0.0136610190939372</c:v>
                </c:pt>
                <c:pt idx="22">
                  <c:v>0.0118627232803277</c:v>
                </c:pt>
                <c:pt idx="23">
                  <c:v>0.00978210467952428</c:v>
                </c:pt>
                <c:pt idx="24">
                  <c:v>0.00741432834336969</c:v>
                </c:pt>
                <c:pt idx="25">
                  <c:v>0.00475514152476469</c:v>
                </c:pt>
                <c:pt idx="26">
                  <c:v>0.0018010333871209</c:v>
                </c:pt>
                <c:pt idx="27">
                  <c:v>0.00143665182859715</c:v>
                </c:pt>
                <c:pt idx="28">
                  <c:v>0.00484367816728043</c:v>
                </c:pt>
                <c:pt idx="29">
                  <c:v>0.00838702474036557</c:v>
                </c:pt>
                <c:pt idx="30">
                  <c:v>0.012057015057297</c:v>
                </c:pt>
                <c:pt idx="31">
                  <c:v>0.0158437216862281</c:v>
                </c:pt>
                <c:pt idx="32">
                  <c:v>0.0197367931831397</c:v>
                </c:pt>
                <c:pt idx="33">
                  <c:v>0.0237259092006187</c:v>
                </c:pt>
                <c:pt idx="34">
                  <c:v>0.0277996490120303</c:v>
                </c:pt>
                <c:pt idx="35">
                  <c:v>0.0319468650505075</c:v>
                </c:pt>
                <c:pt idx="36">
                  <c:v>0.0361554588272822</c:v>
                </c:pt>
                <c:pt idx="37">
                  <c:v>0.0404128874688006</c:v>
                </c:pt>
                <c:pt idx="38">
                  <c:v>0.0447058127924891</c:v>
                </c:pt>
                <c:pt idx="39">
                  <c:v>0.0490204796960968</c:v>
                </c:pt>
                <c:pt idx="40">
                  <c:v>0.0533422884602475</c:v>
                </c:pt>
                <c:pt idx="41">
                  <c:v>0.0576559898625528</c:v>
                </c:pt>
                <c:pt idx="42">
                  <c:v>0.0619454204203501</c:v>
                </c:pt>
                <c:pt idx="43">
                  <c:v>0.06619383123106</c:v>
                </c:pt>
                <c:pt idx="44">
                  <c:v>0.0703834423567397</c:v>
                </c:pt>
                <c:pt idx="45">
                  <c:v>0.0745005983332012</c:v>
                </c:pt>
                <c:pt idx="46">
                  <c:v>0.0785113135322775</c:v>
                </c:pt>
                <c:pt idx="47">
                  <c:v>0.0824098346046885</c:v>
                </c:pt>
                <c:pt idx="48">
                  <c:v>0.0861699724221166</c:v>
                </c:pt>
                <c:pt idx="49">
                  <c:v>0.0897696079046978</c:v>
                </c:pt>
                <c:pt idx="50">
                  <c:v>0.093185619842298</c:v>
                </c:pt>
                <c:pt idx="51">
                  <c:v>0.096393640275526</c:v>
                </c:pt>
                <c:pt idx="52">
                  <c:v>0.0993688037821265</c:v>
                </c:pt>
                <c:pt idx="53">
                  <c:v>0.102084757000441</c:v>
                </c:pt>
                <c:pt idx="54">
                  <c:v>0.104514274418527</c:v>
                </c:pt>
                <c:pt idx="55">
                  <c:v>0.10662921996382</c:v>
                </c:pt>
                <c:pt idx="56">
                  <c:v>0.108400146571614</c:v>
                </c:pt>
                <c:pt idx="57">
                  <c:v>0.109796812961635</c:v>
                </c:pt>
                <c:pt idx="58">
                  <c:v>0.110787529060661</c:v>
                </c:pt>
                <c:pt idx="59">
                  <c:v>0.111339678540788</c:v>
                </c:pt>
                <c:pt idx="60">
                  <c:v>0.111419487970614</c:v>
                </c:pt>
                <c:pt idx="61">
                  <c:v>0.110992147708106</c:v>
                </c:pt>
                <c:pt idx="62">
                  <c:v>0.1100215487847</c:v>
                </c:pt>
                <c:pt idx="63">
                  <c:v>0.10847037050638</c:v>
                </c:pt>
                <c:pt idx="64">
                  <c:v>0.106300369031216</c:v>
                </c:pt>
                <c:pt idx="65">
                  <c:v>0.103471763111519</c:v>
                </c:pt>
                <c:pt idx="66">
                  <c:v>0.0999438606821643</c:v>
                </c:pt>
                <c:pt idx="67">
                  <c:v>0.0956738830206341</c:v>
                </c:pt>
                <c:pt idx="68">
                  <c:v>0.0906193457852176</c:v>
                </c:pt>
                <c:pt idx="69">
                  <c:v>0.0847351624816237</c:v>
                </c:pt>
                <c:pt idx="70">
                  <c:v>0.0779757036441464</c:v>
                </c:pt>
                <c:pt idx="71">
                  <c:v>0.0702929880752361</c:v>
                </c:pt>
                <c:pt idx="72">
                  <c:v>0.0616393727754812</c:v>
                </c:pt>
                <c:pt idx="73">
                  <c:v>0.0519644247539721</c:v>
                </c:pt>
                <c:pt idx="74">
                  <c:v>0.0476886852976042</c:v>
                </c:pt>
                <c:pt idx="75">
                  <c:v>0.0564099686724293</c:v>
                </c:pt>
                <c:pt idx="76">
                  <c:v>0.0661407052306684</c:v>
                </c:pt>
                <c:pt idx="77">
                  <c:v>0.0769495474781075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Sheet3!$AA$5</c:f>
              <c:strCache>
                <c:ptCount val="1"/>
                <c:pt idx="0">
                  <c:v>CLp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Sheet3!$Y$6:$Y$83</c:f>
              <c:numCache>
                <c:formatCode>General</c:formatCode>
                <c:ptCount val="78"/>
                <c:pt idx="0">
                  <c:v>0</c:v>
                </c:pt>
                <c:pt idx="1">
                  <c:v>0.0909090909090909</c:v>
                </c:pt>
                <c:pt idx="2">
                  <c:v>0.181818181818182</c:v>
                </c:pt>
                <c:pt idx="3">
                  <c:v>0.272727272727273</c:v>
                </c:pt>
                <c:pt idx="4">
                  <c:v>0.363636363636364</c:v>
                </c:pt>
                <c:pt idx="5">
                  <c:v>0.454545454545455</c:v>
                </c:pt>
                <c:pt idx="6">
                  <c:v>0.545454545454545</c:v>
                </c:pt>
                <c:pt idx="7">
                  <c:v>0.636363636363636</c:v>
                </c:pt>
                <c:pt idx="8">
                  <c:v>0.727272727272727</c:v>
                </c:pt>
                <c:pt idx="9">
                  <c:v>0.818181818181818</c:v>
                </c:pt>
                <c:pt idx="10">
                  <c:v>0.909090909090909</c:v>
                </c:pt>
                <c:pt idx="11">
                  <c:v>1</c:v>
                </c:pt>
                <c:pt idx="12">
                  <c:v>1.09090909090909</c:v>
                </c:pt>
                <c:pt idx="13">
                  <c:v>1.18181818181818</c:v>
                </c:pt>
                <c:pt idx="14">
                  <c:v>1.27272727272727</c:v>
                </c:pt>
                <c:pt idx="15">
                  <c:v>1.36363636363636</c:v>
                </c:pt>
                <c:pt idx="16">
                  <c:v>1.45454545454545</c:v>
                </c:pt>
                <c:pt idx="17">
                  <c:v>1.54545454545455</c:v>
                </c:pt>
                <c:pt idx="18">
                  <c:v>1.63636363636364</c:v>
                </c:pt>
                <c:pt idx="19">
                  <c:v>1.72727272727273</c:v>
                </c:pt>
                <c:pt idx="20">
                  <c:v>1.81818181818182</c:v>
                </c:pt>
                <c:pt idx="21">
                  <c:v>1.90909090909091</c:v>
                </c:pt>
                <c:pt idx="22">
                  <c:v>2</c:v>
                </c:pt>
                <c:pt idx="23">
                  <c:v>2.09090909090909</c:v>
                </c:pt>
                <c:pt idx="24">
                  <c:v>2.18181818181818</c:v>
                </c:pt>
                <c:pt idx="25">
                  <c:v>2.27272727272727</c:v>
                </c:pt>
                <c:pt idx="26">
                  <c:v>2.36363636363636</c:v>
                </c:pt>
                <c:pt idx="27">
                  <c:v>2.45454545454545</c:v>
                </c:pt>
                <c:pt idx="28">
                  <c:v>2.54545454545455</c:v>
                </c:pt>
                <c:pt idx="29">
                  <c:v>2.63636363636364</c:v>
                </c:pt>
                <c:pt idx="30">
                  <c:v>2.72727272727273</c:v>
                </c:pt>
                <c:pt idx="31">
                  <c:v>2.81818181818182</c:v>
                </c:pt>
                <c:pt idx="32">
                  <c:v>2.90909090909091</c:v>
                </c:pt>
                <c:pt idx="33">
                  <c:v>3</c:v>
                </c:pt>
                <c:pt idx="34">
                  <c:v>3.09090909090909</c:v>
                </c:pt>
                <c:pt idx="35">
                  <c:v>3.18181818181818</c:v>
                </c:pt>
                <c:pt idx="36">
                  <c:v>3.27272727272727</c:v>
                </c:pt>
                <c:pt idx="37">
                  <c:v>3.36363636363636</c:v>
                </c:pt>
                <c:pt idx="38">
                  <c:v>3.45454545454545</c:v>
                </c:pt>
                <c:pt idx="39">
                  <c:v>3.54545454545455</c:v>
                </c:pt>
                <c:pt idx="40">
                  <c:v>3.63636363636364</c:v>
                </c:pt>
                <c:pt idx="41">
                  <c:v>3.72727272727273</c:v>
                </c:pt>
                <c:pt idx="42">
                  <c:v>3.81818181818182</c:v>
                </c:pt>
                <c:pt idx="43">
                  <c:v>3.90909090909091</c:v>
                </c:pt>
                <c:pt idx="44">
                  <c:v>4</c:v>
                </c:pt>
                <c:pt idx="45">
                  <c:v>4.09090909090909</c:v>
                </c:pt>
                <c:pt idx="46">
                  <c:v>4.18181818181818</c:v>
                </c:pt>
                <c:pt idx="47">
                  <c:v>4.27272727272727</c:v>
                </c:pt>
                <c:pt idx="48">
                  <c:v>4.36363636363636</c:v>
                </c:pt>
                <c:pt idx="49">
                  <c:v>4.45454545454545</c:v>
                </c:pt>
                <c:pt idx="50">
                  <c:v>4.54545454545455</c:v>
                </c:pt>
                <c:pt idx="51">
                  <c:v>4.63636363636364</c:v>
                </c:pt>
                <c:pt idx="52">
                  <c:v>4.72727272727273</c:v>
                </c:pt>
                <c:pt idx="53">
                  <c:v>4.81818181818182</c:v>
                </c:pt>
                <c:pt idx="54">
                  <c:v>4.90909090909091</c:v>
                </c:pt>
                <c:pt idx="55">
                  <c:v>5</c:v>
                </c:pt>
                <c:pt idx="56">
                  <c:v>5.09090909090909</c:v>
                </c:pt>
                <c:pt idx="57">
                  <c:v>5.18181818181818</c:v>
                </c:pt>
                <c:pt idx="58">
                  <c:v>5.27272727272727</c:v>
                </c:pt>
                <c:pt idx="59">
                  <c:v>5.36363636363636</c:v>
                </c:pt>
                <c:pt idx="60">
                  <c:v>5.45454545454545</c:v>
                </c:pt>
                <c:pt idx="61">
                  <c:v>5.54545454545455</c:v>
                </c:pt>
                <c:pt idx="62">
                  <c:v>5.63636363636364</c:v>
                </c:pt>
                <c:pt idx="63">
                  <c:v>5.72727272727273</c:v>
                </c:pt>
                <c:pt idx="64">
                  <c:v>5.81818181818182</c:v>
                </c:pt>
                <c:pt idx="65">
                  <c:v>5.90909090909091</c:v>
                </c:pt>
                <c:pt idx="66">
                  <c:v>6</c:v>
                </c:pt>
                <c:pt idx="67">
                  <c:v>6.09090909090909</c:v>
                </c:pt>
                <c:pt idx="68">
                  <c:v>6.18181818181818</c:v>
                </c:pt>
                <c:pt idx="69">
                  <c:v>6.27272727272727</c:v>
                </c:pt>
                <c:pt idx="70">
                  <c:v>6.36363636363636</c:v>
                </c:pt>
                <c:pt idx="71">
                  <c:v>6.45454545454545</c:v>
                </c:pt>
                <c:pt idx="72">
                  <c:v>6.54545454545455</c:v>
                </c:pt>
                <c:pt idx="73">
                  <c:v>6.63636363636364</c:v>
                </c:pt>
                <c:pt idx="74">
                  <c:v>6.72727272727273</c:v>
                </c:pt>
                <c:pt idx="75">
                  <c:v>6.81818181818182</c:v>
                </c:pt>
                <c:pt idx="76">
                  <c:v>6.90909090909091</c:v>
                </c:pt>
                <c:pt idx="77">
                  <c:v>7</c:v>
                </c:pt>
              </c:numCache>
            </c:numRef>
          </c:xVal>
          <c:yVal>
            <c:numRef>
              <c:f>Sheet3!$AA$6:$AA$83</c:f>
              <c:numCache>
                <c:formatCode>General</c:formatCode>
                <c:ptCount val="78"/>
                <c:pt idx="0">
                  <c:v>0.350055530130554</c:v>
                </c:pt>
                <c:pt idx="1">
                  <c:v>0.350055530130554</c:v>
                </c:pt>
                <c:pt idx="2">
                  <c:v>0.350055530130554</c:v>
                </c:pt>
                <c:pt idx="3">
                  <c:v>0.350055530130554</c:v>
                </c:pt>
                <c:pt idx="4">
                  <c:v>0.350055530130554</c:v>
                </c:pt>
                <c:pt idx="5">
                  <c:v>0.350055530130554</c:v>
                </c:pt>
                <c:pt idx="6">
                  <c:v>0.350055530130554</c:v>
                </c:pt>
                <c:pt idx="7">
                  <c:v>0.350055530130554</c:v>
                </c:pt>
                <c:pt idx="8">
                  <c:v>0.350055530130554</c:v>
                </c:pt>
                <c:pt idx="9">
                  <c:v>0.350055530130554</c:v>
                </c:pt>
                <c:pt idx="10">
                  <c:v>0.350055530130554</c:v>
                </c:pt>
                <c:pt idx="11">
                  <c:v>0.350055530130554</c:v>
                </c:pt>
                <c:pt idx="12">
                  <c:v>0.350055530130554</c:v>
                </c:pt>
                <c:pt idx="13">
                  <c:v>0.350055530130554</c:v>
                </c:pt>
                <c:pt idx="14">
                  <c:v>0.350055530130554</c:v>
                </c:pt>
                <c:pt idx="15">
                  <c:v>0.350055530130554</c:v>
                </c:pt>
                <c:pt idx="16">
                  <c:v>0.350055530130554</c:v>
                </c:pt>
                <c:pt idx="17">
                  <c:v>0.350055530130554</c:v>
                </c:pt>
                <c:pt idx="18">
                  <c:v>0.350055530130554</c:v>
                </c:pt>
                <c:pt idx="19">
                  <c:v>0.350055530130554</c:v>
                </c:pt>
                <c:pt idx="20">
                  <c:v>0.350055530130554</c:v>
                </c:pt>
                <c:pt idx="21">
                  <c:v>0.350055530130554</c:v>
                </c:pt>
                <c:pt idx="22">
                  <c:v>0.350055530130554</c:v>
                </c:pt>
                <c:pt idx="23">
                  <c:v>0.350055530130554</c:v>
                </c:pt>
                <c:pt idx="24">
                  <c:v>0.350055530130554</c:v>
                </c:pt>
                <c:pt idx="25">
                  <c:v>0.350055530130554</c:v>
                </c:pt>
                <c:pt idx="26">
                  <c:v>0.350055530130554</c:v>
                </c:pt>
                <c:pt idx="27">
                  <c:v>0.350055530130554</c:v>
                </c:pt>
                <c:pt idx="28">
                  <c:v>0.350055530130554</c:v>
                </c:pt>
                <c:pt idx="29">
                  <c:v>0.350055530130554</c:v>
                </c:pt>
                <c:pt idx="30">
                  <c:v>0.350055530130554</c:v>
                </c:pt>
                <c:pt idx="31">
                  <c:v>0.350055530130554</c:v>
                </c:pt>
                <c:pt idx="32">
                  <c:v>0.350055530130554</c:v>
                </c:pt>
                <c:pt idx="33">
                  <c:v>0.350055530130554</c:v>
                </c:pt>
                <c:pt idx="34">
                  <c:v>0.350055530130554</c:v>
                </c:pt>
                <c:pt idx="35">
                  <c:v>0.350055530130554</c:v>
                </c:pt>
                <c:pt idx="36">
                  <c:v>0.350055530130554</c:v>
                </c:pt>
                <c:pt idx="37">
                  <c:v>0.350055530130554</c:v>
                </c:pt>
                <c:pt idx="38">
                  <c:v>0.350055530130554</c:v>
                </c:pt>
                <c:pt idx="39">
                  <c:v>0.350055530130554</c:v>
                </c:pt>
                <c:pt idx="40">
                  <c:v>0.350055530130554</c:v>
                </c:pt>
                <c:pt idx="41">
                  <c:v>0.350055530130554</c:v>
                </c:pt>
                <c:pt idx="42">
                  <c:v>0.350055530130554</c:v>
                </c:pt>
                <c:pt idx="43">
                  <c:v>0.350055530130554</c:v>
                </c:pt>
                <c:pt idx="44">
                  <c:v>0.350055530130554</c:v>
                </c:pt>
                <c:pt idx="45">
                  <c:v>0.350055530130554</c:v>
                </c:pt>
                <c:pt idx="46">
                  <c:v>0.350055530130554</c:v>
                </c:pt>
                <c:pt idx="47">
                  <c:v>0.350055530130554</c:v>
                </c:pt>
                <c:pt idx="48">
                  <c:v>0.350055530130554</c:v>
                </c:pt>
                <c:pt idx="49">
                  <c:v>0.350055530130554</c:v>
                </c:pt>
                <c:pt idx="50">
                  <c:v>0.350055530130554</c:v>
                </c:pt>
                <c:pt idx="51">
                  <c:v>0.350055530130554</c:v>
                </c:pt>
                <c:pt idx="52">
                  <c:v>0.350055530130554</c:v>
                </c:pt>
                <c:pt idx="53">
                  <c:v>0.350055530130554</c:v>
                </c:pt>
                <c:pt idx="54">
                  <c:v>0.350055530130554</c:v>
                </c:pt>
                <c:pt idx="55">
                  <c:v>0.350055530130554</c:v>
                </c:pt>
                <c:pt idx="56">
                  <c:v>0.350055530130554</c:v>
                </c:pt>
                <c:pt idx="57">
                  <c:v>0.350055530130554</c:v>
                </c:pt>
                <c:pt idx="58">
                  <c:v>0.350055530130554</c:v>
                </c:pt>
                <c:pt idx="59">
                  <c:v>0.350055530130554</c:v>
                </c:pt>
                <c:pt idx="60">
                  <c:v>0.350055530130554</c:v>
                </c:pt>
                <c:pt idx="61">
                  <c:v>0.350055530130554</c:v>
                </c:pt>
                <c:pt idx="62">
                  <c:v>0.350055530130554</c:v>
                </c:pt>
                <c:pt idx="63">
                  <c:v>0.350055530130554</c:v>
                </c:pt>
                <c:pt idx="64">
                  <c:v>0.350055530130554</c:v>
                </c:pt>
                <c:pt idx="65">
                  <c:v>0.350055530130554</c:v>
                </c:pt>
                <c:pt idx="66">
                  <c:v>0.350055530130554</c:v>
                </c:pt>
                <c:pt idx="67">
                  <c:v>0.350055530130554</c:v>
                </c:pt>
                <c:pt idx="68">
                  <c:v>0.350055530130554</c:v>
                </c:pt>
                <c:pt idx="69">
                  <c:v>0.350055530130554</c:v>
                </c:pt>
                <c:pt idx="70">
                  <c:v>0.350055530130554</c:v>
                </c:pt>
                <c:pt idx="71">
                  <c:v>0.350055530130554</c:v>
                </c:pt>
                <c:pt idx="72">
                  <c:v>0.350055530130554</c:v>
                </c:pt>
                <c:pt idx="73">
                  <c:v>0.350055530130554</c:v>
                </c:pt>
                <c:pt idx="74">
                  <c:v>0.350055530130554</c:v>
                </c:pt>
                <c:pt idx="75">
                  <c:v>0.350055530130554</c:v>
                </c:pt>
                <c:pt idx="76">
                  <c:v>0.350055530130554</c:v>
                </c:pt>
                <c:pt idx="77">
                  <c:v>0.350055530130554</c:v>
                </c:pt>
              </c:numCache>
            </c:numRef>
          </c:yVal>
          <c:smooth val="1"/>
        </c:ser>
        <c:axId val="82438871"/>
        <c:axId val="28573999"/>
      </c:scatterChart>
      <c:valAx>
        <c:axId val="82438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573999"/>
        <c:crossesAt val="0"/>
        <c:crossBetween val="midCat"/>
      </c:valAx>
      <c:valAx>
        <c:axId val="28573999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438871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50278237328922"/>
          <c:y val="0.488256134365569"/>
          <c:w val="0.119416453602045"/>
          <c:h val="0.162052224117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N=8 SM=24</a:t>
            </a:r>
          </a:p>
        </c:rich>
      </c:tx>
      <c:layout>
        <c:manualLayout>
          <c:xMode val="edge"/>
          <c:yMode val="edge"/>
          <c:x val="0.376297187547"/>
          <c:y val="0.043033324586722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67709429989472"/>
          <c:y val="0.118341642613487"/>
          <c:w val="0.816363362911716"/>
          <c:h val="0.881658357386513"/>
        </c:manualLayout>
      </c:layout>
      <c:scatterChart>
        <c:scatterStyle val="line"/>
        <c:varyColors val="0"/>
        <c:ser>
          <c:idx val="0"/>
          <c:order val="0"/>
          <c:tx>
            <c:strRef>
              <c:f>Sheet3!$AD$5</c:f>
              <c:strCache>
                <c:ptCount val="1"/>
                <c:pt idx="0">
                  <c:v>Clin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Sheet3!$AC$6:$AC$83</c:f>
              <c:numCache>
                <c:formatCode>General</c:formatCode>
                <c:ptCount val="78"/>
                <c:pt idx="0">
                  <c:v>0</c:v>
                </c:pt>
                <c:pt idx="1">
                  <c:v>0.116883116883117</c:v>
                </c:pt>
                <c:pt idx="2">
                  <c:v>0.233766233766234</c:v>
                </c:pt>
                <c:pt idx="3">
                  <c:v>0.350649350649351</c:v>
                </c:pt>
                <c:pt idx="4">
                  <c:v>0.467532467532468</c:v>
                </c:pt>
                <c:pt idx="5">
                  <c:v>0.584415584415585</c:v>
                </c:pt>
                <c:pt idx="6">
                  <c:v>0.701298701298701</c:v>
                </c:pt>
                <c:pt idx="7">
                  <c:v>0.818181818181818</c:v>
                </c:pt>
                <c:pt idx="8">
                  <c:v>0.935064935064935</c:v>
                </c:pt>
                <c:pt idx="9">
                  <c:v>1.05194805194805</c:v>
                </c:pt>
                <c:pt idx="10">
                  <c:v>1.16883116883117</c:v>
                </c:pt>
                <c:pt idx="11">
                  <c:v>1.28571428571429</c:v>
                </c:pt>
                <c:pt idx="12">
                  <c:v>1.4025974025974</c:v>
                </c:pt>
                <c:pt idx="13">
                  <c:v>1.51948051948052</c:v>
                </c:pt>
                <c:pt idx="14">
                  <c:v>1.63636363636364</c:v>
                </c:pt>
                <c:pt idx="15">
                  <c:v>1.75324675324675</c:v>
                </c:pt>
                <c:pt idx="16">
                  <c:v>1.87012987012987</c:v>
                </c:pt>
                <c:pt idx="17">
                  <c:v>1.98701298701299</c:v>
                </c:pt>
                <c:pt idx="18">
                  <c:v>2.1038961038961</c:v>
                </c:pt>
                <c:pt idx="19">
                  <c:v>2.22077922077922</c:v>
                </c:pt>
                <c:pt idx="20">
                  <c:v>2.33766233766234</c:v>
                </c:pt>
                <c:pt idx="21">
                  <c:v>2.45454545454546</c:v>
                </c:pt>
                <c:pt idx="22">
                  <c:v>2.57142857142857</c:v>
                </c:pt>
                <c:pt idx="23">
                  <c:v>2.68831168831169</c:v>
                </c:pt>
                <c:pt idx="24">
                  <c:v>2.80519480519481</c:v>
                </c:pt>
                <c:pt idx="25">
                  <c:v>2.92207792207792</c:v>
                </c:pt>
                <c:pt idx="26">
                  <c:v>3.03896103896104</c:v>
                </c:pt>
                <c:pt idx="27">
                  <c:v>3.15584415584416</c:v>
                </c:pt>
                <c:pt idx="28">
                  <c:v>3.27272727272727</c:v>
                </c:pt>
                <c:pt idx="29">
                  <c:v>3.38961038961039</c:v>
                </c:pt>
                <c:pt idx="30">
                  <c:v>3.50649350649351</c:v>
                </c:pt>
                <c:pt idx="31">
                  <c:v>3.62337662337662</c:v>
                </c:pt>
                <c:pt idx="32">
                  <c:v>3.74025974025974</c:v>
                </c:pt>
                <c:pt idx="33">
                  <c:v>3.85714285714286</c:v>
                </c:pt>
                <c:pt idx="34">
                  <c:v>3.97402597402597</c:v>
                </c:pt>
                <c:pt idx="35">
                  <c:v>4.09090909090909</c:v>
                </c:pt>
                <c:pt idx="36">
                  <c:v>4.20779220779221</c:v>
                </c:pt>
                <c:pt idx="37">
                  <c:v>4.32467532467533</c:v>
                </c:pt>
                <c:pt idx="38">
                  <c:v>4.44155844155844</c:v>
                </c:pt>
                <c:pt idx="39">
                  <c:v>4.55844155844156</c:v>
                </c:pt>
                <c:pt idx="40">
                  <c:v>4.67532467532468</c:v>
                </c:pt>
                <c:pt idx="41">
                  <c:v>4.79220779220779</c:v>
                </c:pt>
                <c:pt idx="42">
                  <c:v>4.90909090909091</c:v>
                </c:pt>
                <c:pt idx="43">
                  <c:v>5.02597402597403</c:v>
                </c:pt>
                <c:pt idx="44">
                  <c:v>5.14285714285714</c:v>
                </c:pt>
                <c:pt idx="45">
                  <c:v>5.25974025974026</c:v>
                </c:pt>
                <c:pt idx="46">
                  <c:v>5.37662337662338</c:v>
                </c:pt>
                <c:pt idx="47">
                  <c:v>5.49350649350649</c:v>
                </c:pt>
                <c:pt idx="48">
                  <c:v>5.61038961038961</c:v>
                </c:pt>
                <c:pt idx="49">
                  <c:v>5.72727272727273</c:v>
                </c:pt>
                <c:pt idx="50">
                  <c:v>5.84415584415584</c:v>
                </c:pt>
                <c:pt idx="51">
                  <c:v>5.96103896103896</c:v>
                </c:pt>
                <c:pt idx="52">
                  <c:v>6.07792207792208</c:v>
                </c:pt>
                <c:pt idx="53">
                  <c:v>6.1948051948052</c:v>
                </c:pt>
                <c:pt idx="54">
                  <c:v>6.31168831168831</c:v>
                </c:pt>
                <c:pt idx="55">
                  <c:v>6.42857142857143</c:v>
                </c:pt>
                <c:pt idx="56">
                  <c:v>6.54545454545455</c:v>
                </c:pt>
                <c:pt idx="57">
                  <c:v>6.66233766233766</c:v>
                </c:pt>
                <c:pt idx="58">
                  <c:v>6.77922077922078</c:v>
                </c:pt>
                <c:pt idx="59">
                  <c:v>6.8961038961039</c:v>
                </c:pt>
                <c:pt idx="60">
                  <c:v>7.01298701298701</c:v>
                </c:pt>
                <c:pt idx="61">
                  <c:v>7.12987012987013</c:v>
                </c:pt>
                <c:pt idx="62">
                  <c:v>7.24675324675325</c:v>
                </c:pt>
                <c:pt idx="63">
                  <c:v>7.36363636363636</c:v>
                </c:pt>
                <c:pt idx="64">
                  <c:v>7.48051948051948</c:v>
                </c:pt>
                <c:pt idx="65">
                  <c:v>7.5974025974026</c:v>
                </c:pt>
                <c:pt idx="66">
                  <c:v>7.71428571428571</c:v>
                </c:pt>
                <c:pt idx="67">
                  <c:v>7.83116883116883</c:v>
                </c:pt>
                <c:pt idx="68">
                  <c:v>7.94805194805195</c:v>
                </c:pt>
                <c:pt idx="69">
                  <c:v>8.06493506493507</c:v>
                </c:pt>
                <c:pt idx="70">
                  <c:v>8.18181818181818</c:v>
                </c:pt>
                <c:pt idx="71">
                  <c:v>8.2987012987013</c:v>
                </c:pt>
                <c:pt idx="72">
                  <c:v>8.41558441558442</c:v>
                </c:pt>
                <c:pt idx="73">
                  <c:v>8.53246753246753</c:v>
                </c:pt>
                <c:pt idx="74">
                  <c:v>8.64935064935065</c:v>
                </c:pt>
                <c:pt idx="75">
                  <c:v>8.76623376623377</c:v>
                </c:pt>
                <c:pt idx="76">
                  <c:v>8.88311688311688</c:v>
                </c:pt>
                <c:pt idx="77">
                  <c:v>9</c:v>
                </c:pt>
              </c:numCache>
            </c:numRef>
          </c:xVal>
          <c:yVal>
            <c:numRef>
              <c:f>Sheet3!$AD$6:$AD$83</c:f>
              <c:numCache>
                <c:formatCode>General</c:formatCode>
                <c:ptCount val="78"/>
                <c:pt idx="0">
                  <c:v>2.91116934990204E-005</c:v>
                </c:pt>
                <c:pt idx="1">
                  <c:v>0.00292512466124339</c:v>
                </c:pt>
                <c:pt idx="2">
                  <c:v>0.0058814873246411</c:v>
                </c:pt>
                <c:pt idx="3">
                  <c:v>0.0088705727459282</c:v>
                </c:pt>
                <c:pt idx="4">
                  <c:v>0.011892366886236</c:v>
                </c:pt>
                <c:pt idx="5">
                  <c:v>0.0149459817654454</c:v>
                </c:pt>
                <c:pt idx="6">
                  <c:v>0.0180297358522593</c:v>
                </c:pt>
                <c:pt idx="7">
                  <c:v>0.0211412134902868</c:v>
                </c:pt>
                <c:pt idx="8">
                  <c:v>0.0242770220951456</c:v>
                </c:pt>
                <c:pt idx="9">
                  <c:v>0.0274328410351924</c:v>
                </c:pt>
                <c:pt idx="10">
                  <c:v>0.0306033182687852</c:v>
                </c:pt>
                <c:pt idx="11">
                  <c:v>0.0337819928697854</c:v>
                </c:pt>
                <c:pt idx="12">
                  <c:v>0.0369613085623405</c:v>
                </c:pt>
                <c:pt idx="13">
                  <c:v>0.0401326533996606</c:v>
                </c:pt>
                <c:pt idx="14">
                  <c:v>0.0432863314318322</c:v>
                </c:pt>
                <c:pt idx="15">
                  <c:v>0.0464115396760703</c:v>
                </c:pt>
                <c:pt idx="16">
                  <c:v>0.0494966308085644</c:v>
                </c:pt>
                <c:pt idx="17">
                  <c:v>0.0525290829583453</c:v>
                </c:pt>
                <c:pt idx="18">
                  <c:v>0.0554959594783798</c:v>
                </c:pt>
                <c:pt idx="19">
                  <c:v>0.0583823408283454</c:v>
                </c:pt>
                <c:pt idx="20">
                  <c:v>0.0611749816530428</c:v>
                </c:pt>
                <c:pt idx="21">
                  <c:v>0.0638589728155428</c:v>
                </c:pt>
                <c:pt idx="22">
                  <c:v>0.0664196210817198</c:v>
                </c:pt>
                <c:pt idx="23">
                  <c:v>0.0688421741362803</c:v>
                </c:pt>
                <c:pt idx="24">
                  <c:v>0.0711121477862083</c:v>
                </c:pt>
                <c:pt idx="25">
                  <c:v>0.0732153934477783</c:v>
                </c:pt>
                <c:pt idx="26">
                  <c:v>0.0751382515176988</c:v>
                </c:pt>
                <c:pt idx="27">
                  <c:v>0.0768675808774659</c:v>
                </c:pt>
                <c:pt idx="28">
                  <c:v>0.0783911548607806</c:v>
                </c:pt>
                <c:pt idx="29">
                  <c:v>0.0796974485938587</c:v>
                </c:pt>
                <c:pt idx="30">
                  <c:v>0.0807759653337635</c:v>
                </c:pt>
                <c:pt idx="31">
                  <c:v>0.0816172580282398</c:v>
                </c:pt>
                <c:pt idx="32">
                  <c:v>0.0822129946761726</c:v>
                </c:pt>
                <c:pt idx="33">
                  <c:v>0.0825558670494566</c:v>
                </c:pt>
                <c:pt idx="34">
                  <c:v>0.0826400852608162</c:v>
                </c:pt>
                <c:pt idx="35">
                  <c:v>0.0824610100617028</c:v>
                </c:pt>
                <c:pt idx="36">
                  <c:v>0.0820154241355023</c:v>
                </c:pt>
                <c:pt idx="37">
                  <c:v>0.0813014869354093</c:v>
                </c:pt>
                <c:pt idx="38">
                  <c:v>0.0803188616463742</c:v>
                </c:pt>
                <c:pt idx="39">
                  <c:v>0.0790686607337018</c:v>
                </c:pt>
                <c:pt idx="40">
                  <c:v>0.0775537119787839</c:v>
                </c:pt>
                <c:pt idx="41">
                  <c:v>0.0757781929213371</c:v>
                </c:pt>
                <c:pt idx="42">
                  <c:v>0.073748374390205</c:v>
                </c:pt>
                <c:pt idx="43">
                  <c:v>0.0714730427593595</c:v>
                </c:pt>
                <c:pt idx="44">
                  <c:v>0.0689581355439723</c:v>
                </c:pt>
                <c:pt idx="45">
                  <c:v>0.0662188557713738</c:v>
                </c:pt>
                <c:pt idx="46">
                  <c:v>0.0632671337781623</c:v>
                </c:pt>
                <c:pt idx="47">
                  <c:v>0.0601184788159056</c:v>
                </c:pt>
                <c:pt idx="48">
                  <c:v>0.056793857547469</c:v>
                </c:pt>
                <c:pt idx="49">
                  <c:v>0.0533018094102964</c:v>
                </c:pt>
                <c:pt idx="50">
                  <c:v>0.0496750683474957</c:v>
                </c:pt>
                <c:pt idx="51">
                  <c:v>0.0459339191560285</c:v>
                </c:pt>
                <c:pt idx="52">
                  <c:v>0.0421047470635021</c:v>
                </c:pt>
                <c:pt idx="53">
                  <c:v>0.038216340389875</c:v>
                </c:pt>
                <c:pt idx="54">
                  <c:v>0.0343000133271237</c:v>
                </c:pt>
                <c:pt idx="55">
                  <c:v>0.0303893155941271</c:v>
                </c:pt>
                <c:pt idx="56">
                  <c:v>0.0265209792805735</c:v>
                </c:pt>
                <c:pt idx="57">
                  <c:v>0.022734036156333</c:v>
                </c:pt>
                <c:pt idx="58">
                  <c:v>0.0190703915487734</c:v>
                </c:pt>
                <c:pt idx="59">
                  <c:v>0.0155748621073739</c:v>
                </c:pt>
                <c:pt idx="60">
                  <c:v>0.0122945475274585</c:v>
                </c:pt>
                <c:pt idx="61">
                  <c:v>0.00928043332964368</c:v>
                </c:pt>
                <c:pt idx="62">
                  <c:v>0.00658570363829725</c:v>
                </c:pt>
                <c:pt idx="63">
                  <c:v>0.00404457787605739</c:v>
                </c:pt>
                <c:pt idx="64">
                  <c:v>0.0038004516133332</c:v>
                </c:pt>
                <c:pt idx="65">
                  <c:v>0.00313522944713718</c:v>
                </c:pt>
                <c:pt idx="66">
                  <c:v>0.00196977280246791</c:v>
                </c:pt>
                <c:pt idx="67">
                  <c:v>0.000221709691562877</c:v>
                </c:pt>
                <c:pt idx="68">
                  <c:v>0.00219482715566688</c:v>
                </c:pt>
                <c:pt idx="69">
                  <c:v>0.00536942290854969</c:v>
                </c:pt>
                <c:pt idx="70">
                  <c:v>0.00939558433261967</c:v>
                </c:pt>
                <c:pt idx="71">
                  <c:v>0.0143709385240995</c:v>
                </c:pt>
                <c:pt idx="72">
                  <c:v>0.0203974374538933</c:v>
                </c:pt>
                <c:pt idx="73">
                  <c:v>0.0275815776966415</c:v>
                </c:pt>
                <c:pt idx="74">
                  <c:v>0.0360346443972084</c:v>
                </c:pt>
                <c:pt idx="75">
                  <c:v>0.0458729888945</c:v>
                </c:pt>
                <c:pt idx="76">
                  <c:v>0.0572183502516517</c:v>
                </c:pt>
                <c:pt idx="77">
                  <c:v>0.0701982320827335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Sheet3!$AE$5</c:f>
              <c:strCache>
                <c:ptCount val="1"/>
                <c:pt idx="0">
                  <c:v>CLp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Sheet3!$AC$6:$AC$83</c:f>
              <c:numCache>
                <c:formatCode>General</c:formatCode>
                <c:ptCount val="78"/>
                <c:pt idx="0">
                  <c:v>0</c:v>
                </c:pt>
                <c:pt idx="1">
                  <c:v>0.116883116883117</c:v>
                </c:pt>
                <c:pt idx="2">
                  <c:v>0.233766233766234</c:v>
                </c:pt>
                <c:pt idx="3">
                  <c:v>0.350649350649351</c:v>
                </c:pt>
                <c:pt idx="4">
                  <c:v>0.467532467532468</c:v>
                </c:pt>
                <c:pt idx="5">
                  <c:v>0.584415584415585</c:v>
                </c:pt>
                <c:pt idx="6">
                  <c:v>0.701298701298701</c:v>
                </c:pt>
                <c:pt idx="7">
                  <c:v>0.818181818181818</c:v>
                </c:pt>
                <c:pt idx="8">
                  <c:v>0.935064935064935</c:v>
                </c:pt>
                <c:pt idx="9">
                  <c:v>1.05194805194805</c:v>
                </c:pt>
                <c:pt idx="10">
                  <c:v>1.16883116883117</c:v>
                </c:pt>
                <c:pt idx="11">
                  <c:v>1.28571428571429</c:v>
                </c:pt>
                <c:pt idx="12">
                  <c:v>1.4025974025974</c:v>
                </c:pt>
                <c:pt idx="13">
                  <c:v>1.51948051948052</c:v>
                </c:pt>
                <c:pt idx="14">
                  <c:v>1.63636363636364</c:v>
                </c:pt>
                <c:pt idx="15">
                  <c:v>1.75324675324675</c:v>
                </c:pt>
                <c:pt idx="16">
                  <c:v>1.87012987012987</c:v>
                </c:pt>
                <c:pt idx="17">
                  <c:v>1.98701298701299</c:v>
                </c:pt>
                <c:pt idx="18">
                  <c:v>2.1038961038961</c:v>
                </c:pt>
                <c:pt idx="19">
                  <c:v>2.22077922077922</c:v>
                </c:pt>
                <c:pt idx="20">
                  <c:v>2.33766233766234</c:v>
                </c:pt>
                <c:pt idx="21">
                  <c:v>2.45454545454546</c:v>
                </c:pt>
                <c:pt idx="22">
                  <c:v>2.57142857142857</c:v>
                </c:pt>
                <c:pt idx="23">
                  <c:v>2.68831168831169</c:v>
                </c:pt>
                <c:pt idx="24">
                  <c:v>2.80519480519481</c:v>
                </c:pt>
                <c:pt idx="25">
                  <c:v>2.92207792207792</c:v>
                </c:pt>
                <c:pt idx="26">
                  <c:v>3.03896103896104</c:v>
                </c:pt>
                <c:pt idx="27">
                  <c:v>3.15584415584416</c:v>
                </c:pt>
                <c:pt idx="28">
                  <c:v>3.27272727272727</c:v>
                </c:pt>
                <c:pt idx="29">
                  <c:v>3.38961038961039</c:v>
                </c:pt>
                <c:pt idx="30">
                  <c:v>3.50649350649351</c:v>
                </c:pt>
                <c:pt idx="31">
                  <c:v>3.62337662337662</c:v>
                </c:pt>
                <c:pt idx="32">
                  <c:v>3.74025974025974</c:v>
                </c:pt>
                <c:pt idx="33">
                  <c:v>3.85714285714286</c:v>
                </c:pt>
                <c:pt idx="34">
                  <c:v>3.97402597402597</c:v>
                </c:pt>
                <c:pt idx="35">
                  <c:v>4.09090909090909</c:v>
                </c:pt>
                <c:pt idx="36">
                  <c:v>4.20779220779221</c:v>
                </c:pt>
                <c:pt idx="37">
                  <c:v>4.32467532467533</c:v>
                </c:pt>
                <c:pt idx="38">
                  <c:v>4.44155844155844</c:v>
                </c:pt>
                <c:pt idx="39">
                  <c:v>4.55844155844156</c:v>
                </c:pt>
                <c:pt idx="40">
                  <c:v>4.67532467532468</c:v>
                </c:pt>
                <c:pt idx="41">
                  <c:v>4.79220779220779</c:v>
                </c:pt>
                <c:pt idx="42">
                  <c:v>4.90909090909091</c:v>
                </c:pt>
                <c:pt idx="43">
                  <c:v>5.02597402597403</c:v>
                </c:pt>
                <c:pt idx="44">
                  <c:v>5.14285714285714</c:v>
                </c:pt>
                <c:pt idx="45">
                  <c:v>5.25974025974026</c:v>
                </c:pt>
                <c:pt idx="46">
                  <c:v>5.37662337662338</c:v>
                </c:pt>
                <c:pt idx="47">
                  <c:v>5.49350649350649</c:v>
                </c:pt>
                <c:pt idx="48">
                  <c:v>5.61038961038961</c:v>
                </c:pt>
                <c:pt idx="49">
                  <c:v>5.72727272727273</c:v>
                </c:pt>
                <c:pt idx="50">
                  <c:v>5.84415584415584</c:v>
                </c:pt>
                <c:pt idx="51">
                  <c:v>5.96103896103896</c:v>
                </c:pt>
                <c:pt idx="52">
                  <c:v>6.07792207792208</c:v>
                </c:pt>
                <c:pt idx="53">
                  <c:v>6.1948051948052</c:v>
                </c:pt>
                <c:pt idx="54">
                  <c:v>6.31168831168831</c:v>
                </c:pt>
                <c:pt idx="55">
                  <c:v>6.42857142857143</c:v>
                </c:pt>
                <c:pt idx="56">
                  <c:v>6.54545454545455</c:v>
                </c:pt>
                <c:pt idx="57">
                  <c:v>6.66233766233766</c:v>
                </c:pt>
                <c:pt idx="58">
                  <c:v>6.77922077922078</c:v>
                </c:pt>
                <c:pt idx="59">
                  <c:v>6.8961038961039</c:v>
                </c:pt>
                <c:pt idx="60">
                  <c:v>7.01298701298701</c:v>
                </c:pt>
                <c:pt idx="61">
                  <c:v>7.12987012987013</c:v>
                </c:pt>
                <c:pt idx="62">
                  <c:v>7.24675324675325</c:v>
                </c:pt>
                <c:pt idx="63">
                  <c:v>7.36363636363636</c:v>
                </c:pt>
                <c:pt idx="64">
                  <c:v>7.48051948051948</c:v>
                </c:pt>
                <c:pt idx="65">
                  <c:v>7.5974025974026</c:v>
                </c:pt>
                <c:pt idx="66">
                  <c:v>7.71428571428571</c:v>
                </c:pt>
                <c:pt idx="67">
                  <c:v>7.83116883116883</c:v>
                </c:pt>
                <c:pt idx="68">
                  <c:v>7.94805194805195</c:v>
                </c:pt>
                <c:pt idx="69">
                  <c:v>8.06493506493507</c:v>
                </c:pt>
                <c:pt idx="70">
                  <c:v>8.18181818181818</c:v>
                </c:pt>
                <c:pt idx="71">
                  <c:v>8.2987012987013</c:v>
                </c:pt>
                <c:pt idx="72">
                  <c:v>8.41558441558442</c:v>
                </c:pt>
                <c:pt idx="73">
                  <c:v>8.53246753246753</c:v>
                </c:pt>
                <c:pt idx="74">
                  <c:v>8.64935064935065</c:v>
                </c:pt>
                <c:pt idx="75">
                  <c:v>8.76623376623377</c:v>
                </c:pt>
                <c:pt idx="76">
                  <c:v>8.88311688311688</c:v>
                </c:pt>
                <c:pt idx="77">
                  <c:v>9</c:v>
                </c:pt>
              </c:numCache>
            </c:numRef>
          </c:xVal>
          <c:yVal>
            <c:numRef>
              <c:f>Sheet3!$AE$6:$AE$83</c:f>
              <c:numCache>
                <c:formatCode>General</c:formatCode>
                <c:ptCount val="78"/>
                <c:pt idx="0">
                  <c:v>0.350049991290136</c:v>
                </c:pt>
                <c:pt idx="1">
                  <c:v>0.350049991290136</c:v>
                </c:pt>
                <c:pt idx="2">
                  <c:v>0.350049991290136</c:v>
                </c:pt>
                <c:pt idx="3">
                  <c:v>0.350049991290136</c:v>
                </c:pt>
                <c:pt idx="4">
                  <c:v>0.350049991290136</c:v>
                </c:pt>
                <c:pt idx="5">
                  <c:v>0.350049991290136</c:v>
                </c:pt>
                <c:pt idx="6">
                  <c:v>0.350049991290136</c:v>
                </c:pt>
                <c:pt idx="7">
                  <c:v>0.350049991290136</c:v>
                </c:pt>
                <c:pt idx="8">
                  <c:v>0.350049991290136</c:v>
                </c:pt>
                <c:pt idx="9">
                  <c:v>0.350049991290136</c:v>
                </c:pt>
                <c:pt idx="10">
                  <c:v>0.350049991290136</c:v>
                </c:pt>
                <c:pt idx="11">
                  <c:v>0.350049991290136</c:v>
                </c:pt>
                <c:pt idx="12">
                  <c:v>0.350049991290136</c:v>
                </c:pt>
                <c:pt idx="13">
                  <c:v>0.350049991290136</c:v>
                </c:pt>
                <c:pt idx="14">
                  <c:v>0.350049991290136</c:v>
                </c:pt>
                <c:pt idx="15">
                  <c:v>0.350049991290136</c:v>
                </c:pt>
                <c:pt idx="16">
                  <c:v>0.350049991290136</c:v>
                </c:pt>
                <c:pt idx="17">
                  <c:v>0.350049991290136</c:v>
                </c:pt>
                <c:pt idx="18">
                  <c:v>0.350049991290136</c:v>
                </c:pt>
                <c:pt idx="19">
                  <c:v>0.350049991290136</c:v>
                </c:pt>
                <c:pt idx="20">
                  <c:v>0.350049991290136</c:v>
                </c:pt>
                <c:pt idx="21">
                  <c:v>0.350049991290136</c:v>
                </c:pt>
                <c:pt idx="22">
                  <c:v>0.350049991290136</c:v>
                </c:pt>
                <c:pt idx="23">
                  <c:v>0.350049991290136</c:v>
                </c:pt>
                <c:pt idx="24">
                  <c:v>0.350049991290136</c:v>
                </c:pt>
                <c:pt idx="25">
                  <c:v>0.350049991290136</c:v>
                </c:pt>
                <c:pt idx="26">
                  <c:v>0.350049991290136</c:v>
                </c:pt>
                <c:pt idx="27">
                  <c:v>0.350049991290136</c:v>
                </c:pt>
                <c:pt idx="28">
                  <c:v>0.350049991290136</c:v>
                </c:pt>
                <c:pt idx="29">
                  <c:v>0.350049991290136</c:v>
                </c:pt>
                <c:pt idx="30">
                  <c:v>0.350049991290136</c:v>
                </c:pt>
                <c:pt idx="31">
                  <c:v>0.350049991290136</c:v>
                </c:pt>
                <c:pt idx="32">
                  <c:v>0.350049991290136</c:v>
                </c:pt>
                <c:pt idx="33">
                  <c:v>0.350049991290136</c:v>
                </c:pt>
                <c:pt idx="34">
                  <c:v>0.350049991290136</c:v>
                </c:pt>
                <c:pt idx="35">
                  <c:v>0.350049991290136</c:v>
                </c:pt>
                <c:pt idx="36">
                  <c:v>0.350049991290136</c:v>
                </c:pt>
                <c:pt idx="37">
                  <c:v>0.350049991290136</c:v>
                </c:pt>
                <c:pt idx="38">
                  <c:v>0.350049991290136</c:v>
                </c:pt>
                <c:pt idx="39">
                  <c:v>0.350049991290136</c:v>
                </c:pt>
                <c:pt idx="40">
                  <c:v>0.350049991290136</c:v>
                </c:pt>
                <c:pt idx="41">
                  <c:v>0.350049991290136</c:v>
                </c:pt>
                <c:pt idx="42">
                  <c:v>0.350049991290136</c:v>
                </c:pt>
                <c:pt idx="43">
                  <c:v>0.350049991290136</c:v>
                </c:pt>
                <c:pt idx="44">
                  <c:v>0.350049991290136</c:v>
                </c:pt>
                <c:pt idx="45">
                  <c:v>0.350049991290136</c:v>
                </c:pt>
                <c:pt idx="46">
                  <c:v>0.350049991290136</c:v>
                </c:pt>
                <c:pt idx="47">
                  <c:v>0.350049991290136</c:v>
                </c:pt>
                <c:pt idx="48">
                  <c:v>0.350049991290136</c:v>
                </c:pt>
                <c:pt idx="49">
                  <c:v>0.350049991290136</c:v>
                </c:pt>
                <c:pt idx="50">
                  <c:v>0.350049991290136</c:v>
                </c:pt>
                <c:pt idx="51">
                  <c:v>0.350049991290136</c:v>
                </c:pt>
                <c:pt idx="52">
                  <c:v>0.350049991290136</c:v>
                </c:pt>
                <c:pt idx="53">
                  <c:v>0.350049991290136</c:v>
                </c:pt>
                <c:pt idx="54">
                  <c:v>0.350049991290136</c:v>
                </c:pt>
                <c:pt idx="55">
                  <c:v>0.350049991290136</c:v>
                </c:pt>
                <c:pt idx="56">
                  <c:v>0.350049991290136</c:v>
                </c:pt>
                <c:pt idx="57">
                  <c:v>0.350049991290136</c:v>
                </c:pt>
                <c:pt idx="58">
                  <c:v>0.350049991290136</c:v>
                </c:pt>
                <c:pt idx="59">
                  <c:v>0.350049991290136</c:v>
                </c:pt>
                <c:pt idx="60">
                  <c:v>0.350049991290136</c:v>
                </c:pt>
                <c:pt idx="61">
                  <c:v>0.350049991290136</c:v>
                </c:pt>
                <c:pt idx="62">
                  <c:v>0.350049991290136</c:v>
                </c:pt>
                <c:pt idx="63">
                  <c:v>0.350049991290136</c:v>
                </c:pt>
                <c:pt idx="64">
                  <c:v>0.350049991290136</c:v>
                </c:pt>
                <c:pt idx="65">
                  <c:v>0.350049991290136</c:v>
                </c:pt>
                <c:pt idx="66">
                  <c:v>0.350049991290136</c:v>
                </c:pt>
                <c:pt idx="67">
                  <c:v>0.350049991290136</c:v>
                </c:pt>
                <c:pt idx="68">
                  <c:v>0.350049991290136</c:v>
                </c:pt>
                <c:pt idx="69">
                  <c:v>0.350049991290136</c:v>
                </c:pt>
                <c:pt idx="70">
                  <c:v>0.350049991290136</c:v>
                </c:pt>
                <c:pt idx="71">
                  <c:v>0.350049991290136</c:v>
                </c:pt>
                <c:pt idx="72">
                  <c:v>0.350049991290136</c:v>
                </c:pt>
                <c:pt idx="73">
                  <c:v>0.350049991290136</c:v>
                </c:pt>
                <c:pt idx="74">
                  <c:v>0.350049991290136</c:v>
                </c:pt>
                <c:pt idx="75">
                  <c:v>0.350049991290136</c:v>
                </c:pt>
                <c:pt idx="76">
                  <c:v>0.350049991290136</c:v>
                </c:pt>
                <c:pt idx="77">
                  <c:v>0.350049991290136</c:v>
                </c:pt>
              </c:numCache>
            </c:numRef>
          </c:yVal>
          <c:smooth val="1"/>
        </c:ser>
        <c:axId val="62746198"/>
        <c:axId val="98786872"/>
      </c:scatterChart>
      <c:valAx>
        <c:axId val="6274619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786872"/>
        <c:crossesAt val="0"/>
        <c:crossBetween val="midCat"/>
      </c:valAx>
      <c:valAx>
        <c:axId val="98786872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746198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48398255376748"/>
          <c:y val="0.488323274731042"/>
          <c:w val="0.119416453602045"/>
          <c:h val="0.16203096300183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79" b="1" u="none" strike="noStrike">
                <a:solidFill>
                  <a:srgbClr val="000000"/>
                </a:solidFill>
                <a:uFillTx/>
                <a:latin typeface="Calibri"/>
              </a:rPr>
              <a:t>CLi eq.28 at dif AOA</a:t>
            </a:r>
          </a:p>
        </c:rich>
      </c:tx>
      <c:layout>
        <c:manualLayout>
          <c:xMode val="edge"/>
          <c:yMode val="edge"/>
          <c:x val="0.402662354755011"/>
          <c:y val="0.021176923570557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111307486932651"/>
          <c:y val="0.0811140345248027"/>
          <c:w val="0.983717519648028"/>
          <c:h val="0.8750561509337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Sheet2!$A$4</c:f>
              <c:strCache>
                <c:ptCount val="1"/>
                <c:pt idx="0">
                  <c:v>0.11 = 6.3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custDash>
                <a:ds d="151429" sp="151429"/>
              </a:custDash>
              <a:round/>
            </a:ln>
          </c:spPr>
          <c:marker>
            <c:symbol val="diamond"/>
            <c:size val="9"/>
            <c:spPr>
              <a:solidFill>
                <a:srgbClr val="666699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151429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Sheet2!$A$7:$A$28</c:f>
              <c:numCache>
                <c:formatCode>General</c:formatCode>
                <c:ptCount val="22"/>
                <c:pt idx="0">
                  <c:v>0</c:v>
                </c:pt>
                <c:pt idx="1">
                  <c:v>0.299199300341885</c:v>
                </c:pt>
                <c:pt idx="2">
                  <c:v>0.59839860068377</c:v>
                </c:pt>
                <c:pt idx="3">
                  <c:v>0.897597901025655</c:v>
                </c:pt>
                <c:pt idx="4">
                  <c:v>1.19679720136754</c:v>
                </c:pt>
                <c:pt idx="5">
                  <c:v>1.49599650170943</c:v>
                </c:pt>
                <c:pt idx="6">
                  <c:v>1.79519580205131</c:v>
                </c:pt>
                <c:pt idx="7">
                  <c:v>2.0943951023932</c:v>
                </c:pt>
                <c:pt idx="8">
                  <c:v>2.39359440273508</c:v>
                </c:pt>
                <c:pt idx="9">
                  <c:v>2.69279370307697</c:v>
                </c:pt>
                <c:pt idx="10">
                  <c:v>2.99199300341885</c:v>
                </c:pt>
                <c:pt idx="11">
                  <c:v>3.29119230376074</c:v>
                </c:pt>
                <c:pt idx="12">
                  <c:v>3.59039160410262</c:v>
                </c:pt>
                <c:pt idx="13">
                  <c:v>3.88959090444451</c:v>
                </c:pt>
                <c:pt idx="14">
                  <c:v>4.18879020478639</c:v>
                </c:pt>
                <c:pt idx="15">
                  <c:v>4.48798950512828</c:v>
                </c:pt>
                <c:pt idx="16">
                  <c:v>4.78718880547016</c:v>
                </c:pt>
                <c:pt idx="17">
                  <c:v>5.08638810581205</c:v>
                </c:pt>
                <c:pt idx="18">
                  <c:v>5.38558740615393</c:v>
                </c:pt>
                <c:pt idx="19">
                  <c:v>5.68478670649582</c:v>
                </c:pt>
                <c:pt idx="20">
                  <c:v>5.9839860068377</c:v>
                </c:pt>
                <c:pt idx="21">
                  <c:v>6.28318530717959</c:v>
                </c:pt>
              </c:numCache>
            </c:numRef>
          </c:xVal>
          <c:yVal>
            <c:numRef>
              <c:f>Sheet2!$B$7:$B$28</c:f>
              <c:numCache>
                <c:formatCode>General</c:formatCode>
                <c:ptCount val="22"/>
                <c:pt idx="0">
                  <c:v>-4.16333634234434E-017</c:v>
                </c:pt>
                <c:pt idx="1">
                  <c:v>-0.0115964938623658</c:v>
                </c:pt>
                <c:pt idx="2">
                  <c:v>-0.0089919474709029</c:v>
                </c:pt>
                <c:pt idx="3">
                  <c:v>0.0061165145189868</c:v>
                </c:pt>
                <c:pt idx="4">
                  <c:v>0.0100094956215657</c:v>
                </c:pt>
                <c:pt idx="5">
                  <c:v>0.00434383088582203</c:v>
                </c:pt>
                <c:pt idx="6">
                  <c:v>-0.0107507084608892</c:v>
                </c:pt>
                <c:pt idx="7">
                  <c:v>-0.01004960475403</c:v>
                </c:pt>
                <c:pt idx="8">
                  <c:v>0.00215840572815307</c:v>
                </c:pt>
                <c:pt idx="9">
                  <c:v>0.00855841046009563</c:v>
                </c:pt>
                <c:pt idx="10">
                  <c:v>0.00812401947054041</c:v>
                </c:pt>
                <c:pt idx="11">
                  <c:v>-0.0081240194705393</c:v>
                </c:pt>
                <c:pt idx="12">
                  <c:v>-0.00855841046009333</c:v>
                </c:pt>
                <c:pt idx="13">
                  <c:v>-0.00215840572815269</c:v>
                </c:pt>
                <c:pt idx="14">
                  <c:v>0.0100496047540305</c:v>
                </c:pt>
                <c:pt idx="15">
                  <c:v>0.0107507084608893</c:v>
                </c:pt>
                <c:pt idx="16">
                  <c:v>-0.00434383088582242</c:v>
                </c:pt>
                <c:pt idx="17">
                  <c:v>-0.0100094956215638</c:v>
                </c:pt>
                <c:pt idx="18">
                  <c:v>-0.0061165145189869</c:v>
                </c:pt>
                <c:pt idx="19">
                  <c:v>0.0089919474709043</c:v>
                </c:pt>
                <c:pt idx="20">
                  <c:v>0.0115964938623647</c:v>
                </c:pt>
                <c:pt idx="21">
                  <c:v>4.9960036108132E-016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Sheet2!$E$4</c:f>
              <c:strCache>
                <c:ptCount val="1"/>
                <c:pt idx="0">
                  <c:v>0.1 = 5.73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custDash>
                <a:ds d="151429" sp="151429"/>
              </a:custDash>
              <a:round/>
            </a:ln>
          </c:spPr>
          <c:marker>
            <c:symbol val="square"/>
            <c:size val="7"/>
            <c:spPr>
              <a:solidFill>
                <a:srgbClr val="99336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151429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Sheet2!$E$7:$E$28</c:f>
              <c:numCache>
                <c:formatCode>General</c:formatCode>
                <c:ptCount val="22"/>
                <c:pt idx="0">
                  <c:v>0</c:v>
                </c:pt>
                <c:pt idx="1">
                  <c:v>0.299199300341885</c:v>
                </c:pt>
                <c:pt idx="2">
                  <c:v>0.59839860068377</c:v>
                </c:pt>
                <c:pt idx="3">
                  <c:v>0.897597901025655</c:v>
                </c:pt>
                <c:pt idx="4">
                  <c:v>1.19679720136754</c:v>
                </c:pt>
                <c:pt idx="5">
                  <c:v>1.49599650170943</c:v>
                </c:pt>
                <c:pt idx="6">
                  <c:v>1.79519580205131</c:v>
                </c:pt>
                <c:pt idx="7">
                  <c:v>2.0943951023932</c:v>
                </c:pt>
                <c:pt idx="8">
                  <c:v>2.39359440273508</c:v>
                </c:pt>
                <c:pt idx="9">
                  <c:v>2.69279370307697</c:v>
                </c:pt>
                <c:pt idx="10">
                  <c:v>2.99199300341885</c:v>
                </c:pt>
                <c:pt idx="11">
                  <c:v>3.29119230376074</c:v>
                </c:pt>
                <c:pt idx="12">
                  <c:v>3.59039160410262</c:v>
                </c:pt>
                <c:pt idx="13">
                  <c:v>3.88959090444451</c:v>
                </c:pt>
                <c:pt idx="14">
                  <c:v>4.18879020478639</c:v>
                </c:pt>
                <c:pt idx="15">
                  <c:v>4.48798950512828</c:v>
                </c:pt>
                <c:pt idx="16">
                  <c:v>4.78718880547016</c:v>
                </c:pt>
                <c:pt idx="17">
                  <c:v>5.08638810581205</c:v>
                </c:pt>
                <c:pt idx="18">
                  <c:v>5.38558740615393</c:v>
                </c:pt>
                <c:pt idx="19">
                  <c:v>5.68478670649582</c:v>
                </c:pt>
                <c:pt idx="20">
                  <c:v>5.9839860068377</c:v>
                </c:pt>
                <c:pt idx="21">
                  <c:v>6.28318530717959</c:v>
                </c:pt>
              </c:numCache>
            </c:numRef>
          </c:xVal>
          <c:yVal>
            <c:numRef>
              <c:f>Sheet2!$F$7:$F$28</c:f>
              <c:numCache>
                <c:formatCode>General</c:formatCode>
                <c:ptCount val="22"/>
                <c:pt idx="0">
                  <c:v>-2.77555756156289E-017</c:v>
                </c:pt>
                <c:pt idx="1">
                  <c:v>-0.00537573642395929</c:v>
                </c:pt>
                <c:pt idx="2">
                  <c:v>-0.00374951126650125</c:v>
                </c:pt>
                <c:pt idx="3">
                  <c:v>0.0028935332330982</c:v>
                </c:pt>
                <c:pt idx="4">
                  <c:v>0.00303078890596822</c:v>
                </c:pt>
                <c:pt idx="5">
                  <c:v>0.00254560634162772</c:v>
                </c:pt>
                <c:pt idx="6">
                  <c:v>-0.00573209925801613</c:v>
                </c:pt>
                <c:pt idx="7">
                  <c:v>-0.00300363449902163</c:v>
                </c:pt>
                <c:pt idx="8">
                  <c:v>0.00107189006007545</c:v>
                </c:pt>
                <c:pt idx="9">
                  <c:v>4.45234765516084E-005</c:v>
                </c:pt>
                <c:pt idx="10">
                  <c:v>0.00461897303227346</c:v>
                </c:pt>
                <c:pt idx="11">
                  <c:v>-0.00461897303227278</c:v>
                </c:pt>
                <c:pt idx="12">
                  <c:v>-4.45234765602265E-005</c:v>
                </c:pt>
                <c:pt idx="13">
                  <c:v>-0.00107189006007495</c:v>
                </c:pt>
                <c:pt idx="14">
                  <c:v>0.00300363449901925</c:v>
                </c:pt>
                <c:pt idx="15">
                  <c:v>0.00573209925801575</c:v>
                </c:pt>
                <c:pt idx="16">
                  <c:v>-0.00254560634162823</c:v>
                </c:pt>
                <c:pt idx="17">
                  <c:v>-0.00303078890596598</c:v>
                </c:pt>
                <c:pt idx="18">
                  <c:v>-0.00289353323309864</c:v>
                </c:pt>
                <c:pt idx="19">
                  <c:v>0.00374951126650175</c:v>
                </c:pt>
                <c:pt idx="20">
                  <c:v>0.00537573642395772</c:v>
                </c:pt>
                <c:pt idx="21">
                  <c:v>2.77555756156289E-016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Sheet2!$I$4</c:f>
              <c:strCache>
                <c:ptCount val="1"/>
                <c:pt idx="0">
                  <c:v>0.09 = 5.16</c:v>
                </c:pt>
              </c:strCache>
            </c:strRef>
          </c:tx>
          <c:spPr>
            <a:solidFill>
              <a:srgbClr val="333399"/>
            </a:solidFill>
            <a:ln w="25200">
              <a:solidFill>
                <a:srgbClr val="333399"/>
              </a:solidFill>
              <a:custDash>
                <a:ds d="151429" sp="151429"/>
                <a:ds d="605714" sp="151429"/>
              </a:custDash>
              <a:round/>
            </a:ln>
          </c:spPr>
          <c:marker>
            <c:symbol val="circle"/>
            <c:size val="8"/>
            <c:spPr>
              <a:solidFill>
                <a:srgbClr val="333399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151429" sp="151429"/>
                    <a:ds d="605714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Sheet2!$I$7:$I$28</c:f>
              <c:numCache>
                <c:formatCode>General</c:formatCode>
                <c:ptCount val="22"/>
                <c:pt idx="0">
                  <c:v>0</c:v>
                </c:pt>
                <c:pt idx="1">
                  <c:v>0.299199300341885</c:v>
                </c:pt>
                <c:pt idx="2">
                  <c:v>0.59839860068377</c:v>
                </c:pt>
                <c:pt idx="3">
                  <c:v>0.897597901025655</c:v>
                </c:pt>
                <c:pt idx="4">
                  <c:v>1.19679720136754</c:v>
                </c:pt>
                <c:pt idx="5">
                  <c:v>1.49599650170943</c:v>
                </c:pt>
                <c:pt idx="6">
                  <c:v>1.79519580205131</c:v>
                </c:pt>
                <c:pt idx="7">
                  <c:v>2.0943951023932</c:v>
                </c:pt>
                <c:pt idx="8">
                  <c:v>2.39359440273508</c:v>
                </c:pt>
                <c:pt idx="9">
                  <c:v>2.69279370307697</c:v>
                </c:pt>
                <c:pt idx="10">
                  <c:v>2.99199300341885</c:v>
                </c:pt>
                <c:pt idx="11">
                  <c:v>3.29119230376074</c:v>
                </c:pt>
                <c:pt idx="12">
                  <c:v>3.59039160410262</c:v>
                </c:pt>
                <c:pt idx="13">
                  <c:v>3.88959090444451</c:v>
                </c:pt>
                <c:pt idx="14">
                  <c:v>4.18879020478639</c:v>
                </c:pt>
                <c:pt idx="15">
                  <c:v>4.48798950512828</c:v>
                </c:pt>
                <c:pt idx="16">
                  <c:v>4.78718880547016</c:v>
                </c:pt>
                <c:pt idx="17">
                  <c:v>5.08638810581205</c:v>
                </c:pt>
                <c:pt idx="18">
                  <c:v>5.38558740615393</c:v>
                </c:pt>
                <c:pt idx="19">
                  <c:v>5.68478670649582</c:v>
                </c:pt>
                <c:pt idx="20">
                  <c:v>5.9839860068377</c:v>
                </c:pt>
                <c:pt idx="21">
                  <c:v>6.28318530717959</c:v>
                </c:pt>
              </c:numCache>
            </c:numRef>
          </c:xVal>
          <c:yVal>
            <c:numRef>
              <c:f>Sheet2!$J$7:$J$28</c:f>
              <c:numCache>
                <c:formatCode>General</c:formatCode>
                <c:ptCount val="22"/>
                <c:pt idx="0">
                  <c:v>6.93889390390723E-017</c:v>
                </c:pt>
                <c:pt idx="1">
                  <c:v>-0.00152120920477307</c:v>
                </c:pt>
                <c:pt idx="2">
                  <c:v>-5.06619058616362E-005</c:v>
                </c:pt>
                <c:pt idx="3">
                  <c:v>0.000596463816777942</c:v>
                </c:pt>
                <c:pt idx="4">
                  <c:v>-0.00110372642911133</c:v>
                </c:pt>
                <c:pt idx="5">
                  <c:v>0.00136406363396758</c:v>
                </c:pt>
                <c:pt idx="6">
                  <c:v>-0.00253042603122731</c:v>
                </c:pt>
                <c:pt idx="7">
                  <c:v>0.00189107083459535</c:v>
                </c:pt>
                <c:pt idx="8">
                  <c:v>0.00029361092334379</c:v>
                </c:pt>
                <c:pt idx="9">
                  <c:v>-0.00573927116194406</c:v>
                </c:pt>
                <c:pt idx="10">
                  <c:v>0.00234043775717746</c:v>
                </c:pt>
                <c:pt idx="11">
                  <c:v>-0.0023404377571765</c:v>
                </c:pt>
                <c:pt idx="12">
                  <c:v>0.00573927116071908</c:v>
                </c:pt>
                <c:pt idx="13">
                  <c:v>-0.000293610923343172</c:v>
                </c:pt>
                <c:pt idx="14">
                  <c:v>-0.00189107083459728</c:v>
                </c:pt>
                <c:pt idx="15">
                  <c:v>0.0025304260312271</c:v>
                </c:pt>
                <c:pt idx="16">
                  <c:v>-0.00136406363396827</c:v>
                </c:pt>
                <c:pt idx="17">
                  <c:v>0.00110372642911207</c:v>
                </c:pt>
                <c:pt idx="18">
                  <c:v>-0.000596463816777935</c:v>
                </c:pt>
                <c:pt idx="19">
                  <c:v>5.06619058630378E-005</c:v>
                </c:pt>
                <c:pt idx="20">
                  <c:v>0.00152120920477219</c:v>
                </c:pt>
                <c:pt idx="21">
                  <c:v>-1.11022302462516E-016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Sheet2!$M$4</c:f>
              <c:strCache>
                <c:ptCount val="1"/>
                <c:pt idx="0">
                  <c:v>0.08 = 4.58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custDash>
                <a:ds d="605714" sp="151429"/>
              </a:custDash>
              <a:round/>
            </a:ln>
          </c:spPr>
          <c:marker>
            <c:symbol val="x"/>
            <c:size val="7"/>
            <c:spPr>
              <a:solidFill>
                <a:srgbClr val="666699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605714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Sheet2!$M$7:$M$28</c:f>
              <c:numCache>
                <c:formatCode>General</c:formatCode>
                <c:ptCount val="22"/>
                <c:pt idx="0">
                  <c:v>0</c:v>
                </c:pt>
                <c:pt idx="1">
                  <c:v>0.299199300341885</c:v>
                </c:pt>
                <c:pt idx="2">
                  <c:v>0.59839860068377</c:v>
                </c:pt>
                <c:pt idx="3">
                  <c:v>0.897597901025655</c:v>
                </c:pt>
                <c:pt idx="4">
                  <c:v>1.19679720136754</c:v>
                </c:pt>
                <c:pt idx="5">
                  <c:v>1.49599650170943</c:v>
                </c:pt>
                <c:pt idx="6">
                  <c:v>1.79519580205131</c:v>
                </c:pt>
                <c:pt idx="7">
                  <c:v>2.0943951023932</c:v>
                </c:pt>
                <c:pt idx="8">
                  <c:v>2.39359440273508</c:v>
                </c:pt>
                <c:pt idx="9">
                  <c:v>2.69279370307697</c:v>
                </c:pt>
                <c:pt idx="10">
                  <c:v>2.99199300341885</c:v>
                </c:pt>
                <c:pt idx="11">
                  <c:v>3.29119230376074</c:v>
                </c:pt>
                <c:pt idx="12">
                  <c:v>3.59039160410262</c:v>
                </c:pt>
                <c:pt idx="13">
                  <c:v>3.88959090444451</c:v>
                </c:pt>
                <c:pt idx="14">
                  <c:v>4.18879020478639</c:v>
                </c:pt>
                <c:pt idx="15">
                  <c:v>4.48798950512828</c:v>
                </c:pt>
                <c:pt idx="16">
                  <c:v>4.78718880547016</c:v>
                </c:pt>
                <c:pt idx="17">
                  <c:v>5.08638810581205</c:v>
                </c:pt>
                <c:pt idx="18">
                  <c:v>5.38558740615393</c:v>
                </c:pt>
                <c:pt idx="19">
                  <c:v>5.68478670649582</c:v>
                </c:pt>
                <c:pt idx="20">
                  <c:v>5.9839860068377</c:v>
                </c:pt>
                <c:pt idx="21">
                  <c:v>6.28318530717959</c:v>
                </c:pt>
              </c:numCache>
            </c:numRef>
          </c:xVal>
          <c:yVal>
            <c:numRef>
              <c:f>Sheet2!$N$7:$N$28</c:f>
              <c:numCache>
                <c:formatCode>General</c:formatCode>
                <c:ptCount val="22"/>
                <c:pt idx="0">
                  <c:v>1.38777878078145E-017</c:v>
                </c:pt>
                <c:pt idx="1">
                  <c:v>0.000604750876426023</c:v>
                </c:pt>
                <c:pt idx="2">
                  <c:v>0.00235781802669423</c:v>
                </c:pt>
                <c:pt idx="3">
                  <c:v>-0.000921600757839945</c:v>
                </c:pt>
                <c:pt idx="4">
                  <c:v>-0.00317266809884825</c:v>
                </c:pt>
                <c:pt idx="5">
                  <c:v>0.000638318590552016</c:v>
                </c:pt>
                <c:pt idx="6">
                  <c:v>-0.000662520205423546</c:v>
                </c:pt>
                <c:pt idx="7">
                  <c:v>0.00500196892226824</c:v>
                </c:pt>
                <c:pt idx="8">
                  <c:v>-0.00022441536120299</c:v>
                </c:pt>
                <c:pt idx="9">
                  <c:v>-0.00735910024299412</c:v>
                </c:pt>
                <c:pt idx="10">
                  <c:v>0.000965906570444444</c:v>
                </c:pt>
                <c:pt idx="11">
                  <c:v>-0.000965906570444625</c:v>
                </c:pt>
                <c:pt idx="12">
                  <c:v>0.00735910024299979</c:v>
                </c:pt>
                <c:pt idx="13">
                  <c:v>0.000224415361202671</c:v>
                </c:pt>
                <c:pt idx="14">
                  <c:v>-0.00500196892226907</c:v>
                </c:pt>
                <c:pt idx="15">
                  <c:v>0.000662520205423962</c:v>
                </c:pt>
                <c:pt idx="16">
                  <c:v>-0.000638318590551856</c:v>
                </c:pt>
                <c:pt idx="17">
                  <c:v>0.00317266809884962</c:v>
                </c:pt>
                <c:pt idx="18">
                  <c:v>0.000921600757840722</c:v>
                </c:pt>
                <c:pt idx="19">
                  <c:v>-0.00235781802669406</c:v>
                </c:pt>
                <c:pt idx="20">
                  <c:v>-0.000604750876426342</c:v>
                </c:pt>
                <c:pt idx="21">
                  <c:v>-2.77555756156289E-017</c:v>
                </c:pt>
              </c:numCache>
            </c:numRef>
          </c:yVal>
          <c:smooth val="1"/>
        </c:ser>
        <c:axId val="44110347"/>
        <c:axId val="81787181"/>
      </c:scatterChart>
      <c:valAx>
        <c:axId val="44110347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Phi, rad</a:t>
                </a:r>
              </a:p>
            </c:rich>
          </c:tx>
          <c:layout>
            <c:manualLayout>
              <c:xMode val="edge"/>
              <c:yMode val="edge"/>
              <c:x val="0.494340615951566"/>
              <c:y val="0.912147853430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4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787181"/>
        <c:crossesAt val="0"/>
        <c:crossBetween val="midCat"/>
      </c:valAx>
      <c:valAx>
        <c:axId val="81787181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4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110347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87237242883466"/>
          <c:y val="0.66886992235128"/>
          <c:w val="0.177753544165758"/>
          <c:h val="0.246743245844831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sz="1285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79" b="1" u="none" strike="noStrike">
                <a:solidFill>
                  <a:srgbClr val="000000"/>
                </a:solidFill>
                <a:uFillTx/>
                <a:latin typeface="Calibri"/>
              </a:rPr>
              <a:t>CLi eq.28 at dif AOA</a:t>
            </a:r>
          </a:p>
        </c:rich>
      </c:tx>
      <c:layout>
        <c:manualLayout>
          <c:xMode val="edge"/>
          <c:yMode val="edge"/>
          <c:x val="0.402647213657216"/>
          <c:y val="0.021174205967276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0646762427615255"/>
          <c:y val="0.0811036252807186"/>
          <c:w val="0.993532375723847"/>
          <c:h val="0.8750721847930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Sheet2!$Q$4</c:f>
              <c:strCache>
                <c:ptCount val="1"/>
                <c:pt idx="0">
                  <c:v>0.04 = 2.29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custDash>
                <a:ds d="151429" sp="151429"/>
              </a:custDash>
              <a:round/>
            </a:ln>
          </c:spPr>
          <c:marker>
            <c:symbol val="diamond"/>
            <c:size val="9"/>
            <c:spPr>
              <a:solidFill>
                <a:srgbClr val="666699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151429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Sheet2!$Q$7:$Q$28</c:f>
              <c:numCache>
                <c:formatCode>General</c:formatCode>
                <c:ptCount val="22"/>
                <c:pt idx="0">
                  <c:v>0</c:v>
                </c:pt>
                <c:pt idx="1">
                  <c:v>0.299199300341885</c:v>
                </c:pt>
                <c:pt idx="2">
                  <c:v>0.59839860068377</c:v>
                </c:pt>
                <c:pt idx="3">
                  <c:v>0.897597901025655</c:v>
                </c:pt>
                <c:pt idx="4">
                  <c:v>1.19679720136754</c:v>
                </c:pt>
                <c:pt idx="5">
                  <c:v>1.49599650170943</c:v>
                </c:pt>
                <c:pt idx="6">
                  <c:v>1.79519580205131</c:v>
                </c:pt>
                <c:pt idx="7">
                  <c:v>2.0943951023932</c:v>
                </c:pt>
                <c:pt idx="8">
                  <c:v>2.39359440273508</c:v>
                </c:pt>
                <c:pt idx="9">
                  <c:v>2.69279370307697</c:v>
                </c:pt>
                <c:pt idx="10">
                  <c:v>2.99199300341885</c:v>
                </c:pt>
                <c:pt idx="11">
                  <c:v>3.29119230376074</c:v>
                </c:pt>
                <c:pt idx="12">
                  <c:v>3.59039160410262</c:v>
                </c:pt>
                <c:pt idx="13">
                  <c:v>3.88959090444451</c:v>
                </c:pt>
                <c:pt idx="14">
                  <c:v>4.18879020478639</c:v>
                </c:pt>
                <c:pt idx="15">
                  <c:v>4.48798950512828</c:v>
                </c:pt>
                <c:pt idx="16">
                  <c:v>4.78718880547016</c:v>
                </c:pt>
                <c:pt idx="17">
                  <c:v>5.08638810581205</c:v>
                </c:pt>
                <c:pt idx="18">
                  <c:v>5.38558740615393</c:v>
                </c:pt>
                <c:pt idx="19">
                  <c:v>5.68478670649582</c:v>
                </c:pt>
                <c:pt idx="20">
                  <c:v>5.9839860068377</c:v>
                </c:pt>
                <c:pt idx="21">
                  <c:v>6.28318530717959</c:v>
                </c:pt>
              </c:numCache>
            </c:numRef>
          </c:xVal>
          <c:yVal>
            <c:numRef>
              <c:f>Sheet2!$R$7:$R$28</c:f>
              <c:numCache>
                <c:formatCode>General</c:formatCode>
                <c:ptCount val="22"/>
                <c:pt idx="0">
                  <c:v>-3.46944695195361E-018</c:v>
                </c:pt>
                <c:pt idx="1">
                  <c:v>0.00112145302856767</c:v>
                </c:pt>
                <c:pt idx="2">
                  <c:v>0.00386361734441307</c:v>
                </c:pt>
                <c:pt idx="3">
                  <c:v>-0.00205724185601379</c:v>
                </c:pt>
                <c:pt idx="4">
                  <c:v>-0.00214409216056584</c:v>
                </c:pt>
                <c:pt idx="5">
                  <c:v>-5.40202647024875E-005</c:v>
                </c:pt>
                <c:pt idx="6">
                  <c:v>0.000514113760287163</c:v>
                </c:pt>
                <c:pt idx="7">
                  <c:v>0.00600971092643351</c:v>
                </c:pt>
                <c:pt idx="8">
                  <c:v>-0.000641866449620446</c:v>
                </c:pt>
                <c:pt idx="9">
                  <c:v>-0.00372730989024352</c:v>
                </c:pt>
                <c:pt idx="10">
                  <c:v>-0.000194249311927405</c:v>
                </c:pt>
                <c:pt idx="11">
                  <c:v>0.000194249311927106</c:v>
                </c:pt>
                <c:pt idx="12">
                  <c:v>0.00372730989024369</c:v>
                </c:pt>
                <c:pt idx="13">
                  <c:v>0.000641866449620377</c:v>
                </c:pt>
                <c:pt idx="14">
                  <c:v>-0.00600971092642671</c:v>
                </c:pt>
                <c:pt idx="15">
                  <c:v>-0.000514113760287246</c:v>
                </c:pt>
                <c:pt idx="16">
                  <c:v>5.40202647024632E-005</c:v>
                </c:pt>
                <c:pt idx="17">
                  <c:v>0.00214409216056575</c:v>
                </c:pt>
                <c:pt idx="18">
                  <c:v>0.00205724185601369</c:v>
                </c:pt>
                <c:pt idx="19">
                  <c:v>-0.00386361734441363</c:v>
                </c:pt>
                <c:pt idx="20">
                  <c:v>-0.00112145302856756</c:v>
                </c:pt>
                <c:pt idx="21">
                  <c:v>-6.59194920871187E-017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Sheet2!$U$4</c:f>
              <c:strCache>
                <c:ptCount val="1"/>
                <c:pt idx="0">
                  <c:v>0.03 = 1.72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custDash>
                <a:ds d="151429" sp="151429"/>
              </a:custDash>
              <a:round/>
            </a:ln>
          </c:spPr>
          <c:marker>
            <c:symbol val="square"/>
            <c:size val="7"/>
            <c:spPr>
              <a:solidFill>
                <a:srgbClr val="99336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151429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Sheet2!$U$7:$U$28</c:f>
              <c:numCache>
                <c:formatCode>General</c:formatCode>
                <c:ptCount val="22"/>
                <c:pt idx="0">
                  <c:v>0</c:v>
                </c:pt>
                <c:pt idx="1">
                  <c:v>0.299199300341885</c:v>
                </c:pt>
                <c:pt idx="2">
                  <c:v>0.59839860068377</c:v>
                </c:pt>
                <c:pt idx="3">
                  <c:v>0.897597901025655</c:v>
                </c:pt>
                <c:pt idx="4">
                  <c:v>1.19679720136754</c:v>
                </c:pt>
                <c:pt idx="5">
                  <c:v>1.49599650170943</c:v>
                </c:pt>
                <c:pt idx="6">
                  <c:v>1.79519580205131</c:v>
                </c:pt>
                <c:pt idx="7">
                  <c:v>2.0943951023932</c:v>
                </c:pt>
                <c:pt idx="8">
                  <c:v>2.39359440273508</c:v>
                </c:pt>
                <c:pt idx="9">
                  <c:v>2.69279370307697</c:v>
                </c:pt>
                <c:pt idx="10">
                  <c:v>2.99199300341885</c:v>
                </c:pt>
                <c:pt idx="11">
                  <c:v>3.29119230376074</c:v>
                </c:pt>
                <c:pt idx="12">
                  <c:v>3.59039160410262</c:v>
                </c:pt>
                <c:pt idx="13">
                  <c:v>3.88959090444451</c:v>
                </c:pt>
                <c:pt idx="14">
                  <c:v>4.18879020478639</c:v>
                </c:pt>
                <c:pt idx="15">
                  <c:v>4.48798950512828</c:v>
                </c:pt>
                <c:pt idx="16">
                  <c:v>4.78718880547016</c:v>
                </c:pt>
                <c:pt idx="17">
                  <c:v>5.08638810581205</c:v>
                </c:pt>
                <c:pt idx="18">
                  <c:v>5.38558740615393</c:v>
                </c:pt>
                <c:pt idx="19">
                  <c:v>5.68478670649582</c:v>
                </c:pt>
                <c:pt idx="20">
                  <c:v>5.9839860068377</c:v>
                </c:pt>
                <c:pt idx="21">
                  <c:v>6.28318530717959</c:v>
                </c:pt>
              </c:numCache>
            </c:numRef>
          </c:xVal>
          <c:yVal>
            <c:numRef>
              <c:f>Sheet2!$V$7:$V$28</c:f>
              <c:numCache>
                <c:formatCode>General</c:formatCode>
                <c:ptCount val="22"/>
                <c:pt idx="0">
                  <c:v>8.67361737988404E-018</c:v>
                </c:pt>
                <c:pt idx="1">
                  <c:v>0.000728428151565741</c:v>
                </c:pt>
                <c:pt idx="2">
                  <c:v>0.00318179707773833</c:v>
                </c:pt>
                <c:pt idx="3">
                  <c:v>-0.00170145277530028</c:v>
                </c:pt>
                <c:pt idx="4">
                  <c:v>-0.00138259268799268</c:v>
                </c:pt>
                <c:pt idx="5">
                  <c:v>-4.09469890641657E-005</c:v>
                </c:pt>
                <c:pt idx="6">
                  <c:v>0.000341323369843131</c:v>
                </c:pt>
                <c:pt idx="7">
                  <c:v>0.00392336991664443</c:v>
                </c:pt>
                <c:pt idx="8">
                  <c:v>-0.00053220338013606</c:v>
                </c:pt>
                <c:pt idx="9">
                  <c:v>-0.0024097011304365</c:v>
                </c:pt>
                <c:pt idx="10">
                  <c:v>-0.000135236892647108</c:v>
                </c:pt>
                <c:pt idx="11">
                  <c:v>0.000135236892647071</c:v>
                </c:pt>
                <c:pt idx="12">
                  <c:v>0.00240970113043642</c:v>
                </c:pt>
                <c:pt idx="13">
                  <c:v>0.000532203380135829</c:v>
                </c:pt>
                <c:pt idx="14">
                  <c:v>-0.00392336991664447</c:v>
                </c:pt>
                <c:pt idx="15">
                  <c:v>-0.000341323369843069</c:v>
                </c:pt>
                <c:pt idx="16">
                  <c:v>4.09469890641553E-005</c:v>
                </c:pt>
                <c:pt idx="17">
                  <c:v>0.00138259268799249</c:v>
                </c:pt>
                <c:pt idx="18">
                  <c:v>0.00170145277529989</c:v>
                </c:pt>
                <c:pt idx="19">
                  <c:v>-0.00318179707773852</c:v>
                </c:pt>
                <c:pt idx="20">
                  <c:v>-0.000728428151565697</c:v>
                </c:pt>
                <c:pt idx="21">
                  <c:v>1.90819582357449E-017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Sheet2!$Y$4</c:f>
              <c:strCache>
                <c:ptCount val="1"/>
                <c:pt idx="0">
                  <c:v>0.02 = 1.15</c:v>
                </c:pt>
              </c:strCache>
            </c:strRef>
          </c:tx>
          <c:spPr>
            <a:solidFill>
              <a:srgbClr val="333399"/>
            </a:solidFill>
            <a:ln w="25200">
              <a:solidFill>
                <a:srgbClr val="333399"/>
              </a:solidFill>
              <a:custDash>
                <a:ds d="151429" sp="151429"/>
                <a:ds d="605714" sp="151429"/>
              </a:custDash>
              <a:round/>
            </a:ln>
          </c:spPr>
          <c:marker>
            <c:symbol val="circle"/>
            <c:size val="8"/>
            <c:spPr>
              <a:solidFill>
                <a:srgbClr val="333399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151429" sp="151429"/>
                    <a:ds d="605714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Sheet2!$Y$7:$Y$28</c:f>
              <c:numCache>
                <c:formatCode>General</c:formatCode>
                <c:ptCount val="22"/>
                <c:pt idx="0">
                  <c:v>0</c:v>
                </c:pt>
                <c:pt idx="1">
                  <c:v>0.299199300341885</c:v>
                </c:pt>
                <c:pt idx="2">
                  <c:v>0.59839860068377</c:v>
                </c:pt>
                <c:pt idx="3">
                  <c:v>0.897597901025655</c:v>
                </c:pt>
                <c:pt idx="4">
                  <c:v>1.19679720136754</c:v>
                </c:pt>
                <c:pt idx="5">
                  <c:v>1.49599650170943</c:v>
                </c:pt>
                <c:pt idx="6">
                  <c:v>1.79519580205131</c:v>
                </c:pt>
                <c:pt idx="7">
                  <c:v>2.0943951023932</c:v>
                </c:pt>
                <c:pt idx="8">
                  <c:v>2.39359440273508</c:v>
                </c:pt>
                <c:pt idx="9">
                  <c:v>2.69279370307697</c:v>
                </c:pt>
                <c:pt idx="10">
                  <c:v>2.99199300341885</c:v>
                </c:pt>
                <c:pt idx="11">
                  <c:v>3.29119230376074</c:v>
                </c:pt>
                <c:pt idx="12">
                  <c:v>3.59039160410262</c:v>
                </c:pt>
                <c:pt idx="13">
                  <c:v>3.88959090444451</c:v>
                </c:pt>
                <c:pt idx="14">
                  <c:v>4.18879020478639</c:v>
                </c:pt>
                <c:pt idx="15">
                  <c:v>4.48798950512828</c:v>
                </c:pt>
                <c:pt idx="16">
                  <c:v>4.78718880547016</c:v>
                </c:pt>
                <c:pt idx="17">
                  <c:v>5.08638810581205</c:v>
                </c:pt>
                <c:pt idx="18">
                  <c:v>5.38558740615393</c:v>
                </c:pt>
                <c:pt idx="19">
                  <c:v>5.68478670649582</c:v>
                </c:pt>
                <c:pt idx="20">
                  <c:v>5.9839860068377</c:v>
                </c:pt>
                <c:pt idx="21">
                  <c:v>6.28318530717959</c:v>
                </c:pt>
              </c:numCache>
            </c:numRef>
          </c:xVal>
          <c:yVal>
            <c:numRef>
              <c:f>Sheet2!$Z$7:$Z$28</c:f>
              <c:numCache>
                <c:formatCode>General</c:formatCode>
                <c:ptCount val="22"/>
                <c:pt idx="0">
                  <c:v>6.93889390390723E-018</c:v>
                </c:pt>
                <c:pt idx="1">
                  <c:v>0.000401563708506403</c:v>
                </c:pt>
                <c:pt idx="2">
                  <c:v>0.0023151261373032</c:v>
                </c:pt>
                <c:pt idx="3">
                  <c:v>-0.00124045371325241</c:v>
                </c:pt>
                <c:pt idx="4">
                  <c:v>-0.000764868854532414</c:v>
                </c:pt>
                <c:pt idx="5">
                  <c:v>-2.28231389496486E-005</c:v>
                </c:pt>
                <c:pt idx="6">
                  <c:v>0.000188143530229407</c:v>
                </c:pt>
                <c:pt idx="7">
                  <c:v>0.00221563405729977</c:v>
                </c:pt>
                <c:pt idx="8">
                  <c:v>-0.000388334148216322</c:v>
                </c:pt>
                <c:pt idx="9">
                  <c:v>-0.00134338724414806</c:v>
                </c:pt>
                <c:pt idx="10">
                  <c:v>-7.48112632776334E-005</c:v>
                </c:pt>
                <c:pt idx="11">
                  <c:v>7.48112632775536E-005</c:v>
                </c:pt>
                <c:pt idx="12">
                  <c:v>0.00134338724414788</c:v>
                </c:pt>
                <c:pt idx="13">
                  <c:v>0.000388334148216468</c:v>
                </c:pt>
                <c:pt idx="14">
                  <c:v>-0.00221563405729987</c:v>
                </c:pt>
                <c:pt idx="15">
                  <c:v>-0.000188143530229367</c:v>
                </c:pt>
                <c:pt idx="16">
                  <c:v>2.28231389496607E-005</c:v>
                </c:pt>
                <c:pt idx="17">
                  <c:v>0.000764868854532322</c:v>
                </c:pt>
                <c:pt idx="18">
                  <c:v>0.00124045371325226</c:v>
                </c:pt>
                <c:pt idx="19">
                  <c:v>-0.00231512613730392</c:v>
                </c:pt>
                <c:pt idx="20">
                  <c:v>-0.000401563708506322</c:v>
                </c:pt>
                <c:pt idx="21">
                  <c:v>1.21430643318377E-017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Sheet2!$AC$4</c:f>
              <c:strCache>
                <c:ptCount val="1"/>
                <c:pt idx="0">
                  <c:v>0.01 = 0.57</c:v>
                </c:pt>
              </c:strCache>
            </c:strRef>
          </c:tx>
          <c:spPr>
            <a:solidFill>
              <a:srgbClr val="000000"/>
            </a:solidFill>
            <a:ln w="25200">
              <a:solidFill>
                <a:srgbClr val="000000"/>
              </a:solidFill>
              <a:custDash>
                <a:ds d="151429" sp="151429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151429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Sheet2!$AC$7:$AC$28</c:f>
              <c:numCache>
                <c:formatCode>General</c:formatCode>
                <c:ptCount val="22"/>
                <c:pt idx="0">
                  <c:v>0</c:v>
                </c:pt>
                <c:pt idx="1">
                  <c:v>0.299199300341885</c:v>
                </c:pt>
                <c:pt idx="2">
                  <c:v>0.59839860068377</c:v>
                </c:pt>
                <c:pt idx="3">
                  <c:v>0.897597901025655</c:v>
                </c:pt>
                <c:pt idx="4">
                  <c:v>1.19679720136754</c:v>
                </c:pt>
                <c:pt idx="5">
                  <c:v>1.49599650170943</c:v>
                </c:pt>
                <c:pt idx="6">
                  <c:v>1.79519580205131</c:v>
                </c:pt>
                <c:pt idx="7">
                  <c:v>2.0943951023932</c:v>
                </c:pt>
                <c:pt idx="8">
                  <c:v>2.39359440273508</c:v>
                </c:pt>
                <c:pt idx="9">
                  <c:v>2.69279370307697</c:v>
                </c:pt>
                <c:pt idx="10">
                  <c:v>2.99199300341885</c:v>
                </c:pt>
                <c:pt idx="11">
                  <c:v>3.29119230376074</c:v>
                </c:pt>
                <c:pt idx="12">
                  <c:v>3.59039160410262</c:v>
                </c:pt>
                <c:pt idx="13">
                  <c:v>3.88959090444451</c:v>
                </c:pt>
                <c:pt idx="14">
                  <c:v>4.18879020478639</c:v>
                </c:pt>
                <c:pt idx="15">
                  <c:v>4.48798950512828</c:v>
                </c:pt>
                <c:pt idx="16">
                  <c:v>4.78718880547016</c:v>
                </c:pt>
                <c:pt idx="17">
                  <c:v>5.08638810581205</c:v>
                </c:pt>
                <c:pt idx="18">
                  <c:v>5.38558740615393</c:v>
                </c:pt>
                <c:pt idx="19">
                  <c:v>5.68478670649582</c:v>
                </c:pt>
                <c:pt idx="20">
                  <c:v>5.9839860068377</c:v>
                </c:pt>
                <c:pt idx="21">
                  <c:v>6.28318530717959</c:v>
                </c:pt>
              </c:numCache>
            </c:numRef>
          </c:xVal>
          <c:yVal>
            <c:numRef>
              <c:f>Sheet2!$AD$7:$AD$28</c:f>
              <c:numCache>
                <c:formatCode>General</c:formatCode>
                <c:ptCount val="22"/>
                <c:pt idx="0">
                  <c:v>-8.67361737988404E-019</c:v>
                </c:pt>
                <c:pt idx="1">
                  <c:v>0.00016154766960349</c:v>
                </c:pt>
                <c:pt idx="2">
                  <c:v>0.00127504506961042</c:v>
                </c:pt>
                <c:pt idx="3">
                  <c:v>-0.000685265376399871</c:v>
                </c:pt>
                <c:pt idx="4">
                  <c:v>-0.000311218649754931</c:v>
                </c:pt>
                <c:pt idx="5">
                  <c:v>-8.34603179024687E-006</c:v>
                </c:pt>
                <c:pt idx="6">
                  <c:v>7.44056999850244E-005</c:v>
                </c:pt>
                <c:pt idx="7">
                  <c:v>0.00092200870038847</c:v>
                </c:pt>
                <c:pt idx="8">
                  <c:v>-0.000214727502133358</c:v>
                </c:pt>
                <c:pt idx="9">
                  <c:v>-0.000552164550680741</c:v>
                </c:pt>
                <c:pt idx="10">
                  <c:v>-2.87144340233407E-005</c:v>
                </c:pt>
                <c:pt idx="11">
                  <c:v>2.87144340233728E-005</c:v>
                </c:pt>
                <c:pt idx="12">
                  <c:v>0.000552164550680735</c:v>
                </c:pt>
                <c:pt idx="13">
                  <c:v>0.000214727502133344</c:v>
                </c:pt>
                <c:pt idx="14">
                  <c:v>-0.000922008700388432</c:v>
                </c:pt>
                <c:pt idx="15">
                  <c:v>-7.44056999850305E-005</c:v>
                </c:pt>
                <c:pt idx="16">
                  <c:v>8.34603179025728E-006</c:v>
                </c:pt>
                <c:pt idx="17">
                  <c:v>0.000311218649754943</c:v>
                </c:pt>
                <c:pt idx="18">
                  <c:v>0.000685265376399949</c:v>
                </c:pt>
                <c:pt idx="19">
                  <c:v>-0.00127504506961064</c:v>
                </c:pt>
                <c:pt idx="20">
                  <c:v>-0.000161547669603484</c:v>
                </c:pt>
                <c:pt idx="21">
                  <c:v>-6.93889390390723E-018</c:v>
                </c:pt>
              </c:numCache>
            </c:numRef>
          </c:yVal>
          <c:smooth val="1"/>
        </c:ser>
        <c:axId val="79280655"/>
        <c:axId val="94473173"/>
      </c:scatterChart>
      <c:valAx>
        <c:axId val="79280655"/>
        <c:scaling>
          <c:orientation val="minMax"/>
          <c:max val="3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Phi, rad</a:t>
                </a:r>
              </a:p>
            </c:rich>
          </c:tx>
          <c:layout>
            <c:manualLayout>
              <c:xMode val="edge"/>
              <c:yMode val="edge"/>
              <c:x val="0.494359629991727"/>
              <c:y val="0.91215912736605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4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473173"/>
        <c:crossesAt val="0"/>
        <c:crossBetween val="midCat"/>
      </c:valAx>
      <c:valAx>
        <c:axId val="94473173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4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280655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84049033616605"/>
          <c:y val="0.0694898941289702"/>
          <c:w val="0.177746860194029"/>
          <c:h val="0.246711581649022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sz="1285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90720</xdr:colOff>
      <xdr:row>10</xdr:row>
      <xdr:rowOff>56880</xdr:rowOff>
    </xdr:from>
    <xdr:to>
      <xdr:col>18</xdr:col>
      <xdr:colOff>71280</xdr:colOff>
      <xdr:row>33</xdr:row>
      <xdr:rowOff>28440</xdr:rowOff>
    </xdr:to>
    <xdr:graphicFrame>
      <xdr:nvGraphicFramePr>
        <xdr:cNvPr id="1" name="Chart 5"/>
        <xdr:cNvGraphicFramePr/>
      </xdr:nvGraphicFramePr>
      <xdr:xfrm>
        <a:off x="8028720" y="2047680"/>
        <a:ext cx="6973200" cy="629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291600</xdr:colOff>
      <xdr:row>32</xdr:row>
      <xdr:rowOff>75960</xdr:rowOff>
    </xdr:from>
    <xdr:to>
      <xdr:col>6</xdr:col>
      <xdr:colOff>584280</xdr:colOff>
      <xdr:row>35</xdr:row>
      <xdr:rowOff>56880</xdr:rowOff>
    </xdr:to>
    <xdr:sp>
      <xdr:nvSpPr>
        <xdr:cNvPr id="2" name="Rectangle 6"/>
        <xdr:cNvSpPr/>
      </xdr:nvSpPr>
      <xdr:spPr>
        <a:xfrm>
          <a:off x="1992240" y="8229240"/>
          <a:ext cx="3572280" cy="466920"/>
        </a:xfrm>
        <a:prstGeom prst="rect">
          <a:avLst/>
        </a:prstGeom>
        <a:solidFill>
          <a:srgbClr val="4f81bd"/>
        </a:solidFill>
        <a:ln w="25560">
          <a:solidFill>
            <a:srgbClr val="385d8a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6800" bIns="46800" anchor="ctr">
          <a:noAutofit/>
        </a:bodyPr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CLin vs Alpha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50040</xdr:colOff>
      <xdr:row>40</xdr:row>
      <xdr:rowOff>47160</xdr:rowOff>
    </xdr:from>
    <xdr:to>
      <xdr:col>12</xdr:col>
      <xdr:colOff>514080</xdr:colOff>
      <xdr:row>60</xdr:row>
      <xdr:rowOff>47520</xdr:rowOff>
    </xdr:to>
    <xdr:graphicFrame>
      <xdr:nvGraphicFramePr>
        <xdr:cNvPr id="3" name="Chart 3"/>
        <xdr:cNvGraphicFramePr/>
      </xdr:nvGraphicFramePr>
      <xdr:xfrm>
        <a:off x="5030280" y="9515160"/>
        <a:ext cx="4850640" cy="356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31</xdr:col>
      <xdr:colOff>119520</xdr:colOff>
      <xdr:row>5</xdr:row>
      <xdr:rowOff>66600</xdr:rowOff>
    </xdr:from>
    <xdr:to>
      <xdr:col>38</xdr:col>
      <xdr:colOff>439200</xdr:colOff>
      <xdr:row>22</xdr:row>
      <xdr:rowOff>56880</xdr:rowOff>
    </xdr:to>
    <xdr:graphicFrame>
      <xdr:nvGraphicFramePr>
        <xdr:cNvPr id="4" name="Chart 1"/>
        <xdr:cNvGraphicFramePr/>
      </xdr:nvGraphicFramePr>
      <xdr:xfrm>
        <a:off x="19902960" y="1523880"/>
        <a:ext cx="4786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109800</xdr:colOff>
      <xdr:row>23</xdr:row>
      <xdr:rowOff>19080</xdr:rowOff>
    </xdr:from>
    <xdr:to>
      <xdr:col>38</xdr:col>
      <xdr:colOff>429480</xdr:colOff>
      <xdr:row>40</xdr:row>
      <xdr:rowOff>9360</xdr:rowOff>
    </xdr:to>
    <xdr:graphicFrame>
      <xdr:nvGraphicFramePr>
        <xdr:cNvPr id="5" name="Chart 2"/>
        <xdr:cNvGraphicFramePr/>
      </xdr:nvGraphicFramePr>
      <xdr:xfrm>
        <a:off x="19893240" y="4390920"/>
        <a:ext cx="4786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31</xdr:col>
      <xdr:colOff>139680</xdr:colOff>
      <xdr:row>40</xdr:row>
      <xdr:rowOff>114480</xdr:rowOff>
    </xdr:from>
    <xdr:to>
      <xdr:col>38</xdr:col>
      <xdr:colOff>459360</xdr:colOff>
      <xdr:row>57</xdr:row>
      <xdr:rowOff>105120</xdr:rowOff>
    </xdr:to>
    <xdr:graphicFrame>
      <xdr:nvGraphicFramePr>
        <xdr:cNvPr id="6" name="Chart 3"/>
        <xdr:cNvGraphicFramePr/>
      </xdr:nvGraphicFramePr>
      <xdr:xfrm>
        <a:off x="19923120" y="7239240"/>
        <a:ext cx="4786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38</xdr:col>
      <xdr:colOff>578160</xdr:colOff>
      <xdr:row>5</xdr:row>
      <xdr:rowOff>75960</xdr:rowOff>
    </xdr:from>
    <xdr:to>
      <xdr:col>46</xdr:col>
      <xdr:colOff>259560</xdr:colOff>
      <xdr:row>22</xdr:row>
      <xdr:rowOff>66240</xdr:rowOff>
    </xdr:to>
    <xdr:graphicFrame>
      <xdr:nvGraphicFramePr>
        <xdr:cNvPr id="7" name="Chart 4"/>
        <xdr:cNvGraphicFramePr/>
      </xdr:nvGraphicFramePr>
      <xdr:xfrm>
        <a:off x="24828840" y="1533240"/>
        <a:ext cx="4786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38</xdr:col>
      <xdr:colOff>588240</xdr:colOff>
      <xdr:row>23</xdr:row>
      <xdr:rowOff>9720</xdr:rowOff>
    </xdr:from>
    <xdr:to>
      <xdr:col>46</xdr:col>
      <xdr:colOff>269640</xdr:colOff>
      <xdr:row>39</xdr:row>
      <xdr:rowOff>162000</xdr:rowOff>
    </xdr:to>
    <xdr:graphicFrame>
      <xdr:nvGraphicFramePr>
        <xdr:cNvPr id="8" name="Chart 5"/>
        <xdr:cNvGraphicFramePr/>
      </xdr:nvGraphicFramePr>
      <xdr:xfrm>
        <a:off x="24838920" y="4381560"/>
        <a:ext cx="4786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38</xdr:col>
      <xdr:colOff>598320</xdr:colOff>
      <xdr:row>40</xdr:row>
      <xdr:rowOff>104760</xdr:rowOff>
    </xdr:from>
    <xdr:to>
      <xdr:col>46</xdr:col>
      <xdr:colOff>279720</xdr:colOff>
      <xdr:row>57</xdr:row>
      <xdr:rowOff>95760</xdr:rowOff>
    </xdr:to>
    <xdr:graphicFrame>
      <xdr:nvGraphicFramePr>
        <xdr:cNvPr id="9" name="Chart 6"/>
        <xdr:cNvGraphicFramePr/>
      </xdr:nvGraphicFramePr>
      <xdr:xfrm>
        <a:off x="24849000" y="7229520"/>
        <a:ext cx="4786920" cy="274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239400</xdr:colOff>
      <xdr:row>30</xdr:row>
      <xdr:rowOff>133560</xdr:rowOff>
    </xdr:from>
    <xdr:to>
      <xdr:col>15</xdr:col>
      <xdr:colOff>239760</xdr:colOff>
      <xdr:row>65</xdr:row>
      <xdr:rowOff>75600</xdr:rowOff>
    </xdr:to>
    <xdr:graphicFrame>
      <xdr:nvGraphicFramePr>
        <xdr:cNvPr id="10" name="Chart 1"/>
        <xdr:cNvGraphicFramePr/>
      </xdr:nvGraphicFramePr>
      <xdr:xfrm>
        <a:off x="239400" y="5639040"/>
        <a:ext cx="9573120" cy="560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31</xdr:row>
      <xdr:rowOff>0</xdr:rowOff>
    </xdr:from>
    <xdr:to>
      <xdr:col>31</xdr:col>
      <xdr:colOff>720</xdr:colOff>
      <xdr:row>65</xdr:row>
      <xdr:rowOff>104760</xdr:rowOff>
    </xdr:to>
    <xdr:graphicFrame>
      <xdr:nvGraphicFramePr>
        <xdr:cNvPr id="11" name="Chart 1"/>
        <xdr:cNvGraphicFramePr/>
      </xdr:nvGraphicFramePr>
      <xdr:xfrm>
        <a:off x="10210680" y="5667480"/>
        <a:ext cx="9573480" cy="561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8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2.28"/>
    <col collapsed="false" customWidth="true" hidden="false" outlineLevel="0" max="2" min="2" style="0" width="11.85"/>
    <col collapsed="false" customWidth="true" hidden="false" outlineLevel="0" max="3" min="3" style="0" width="12.28"/>
    <col collapsed="false" customWidth="true" hidden="false" outlineLevel="0" max="4" min="4" style="0" width="11.7"/>
    <col collapsed="false" customWidth="true" hidden="false" outlineLevel="0" max="5" min="5" style="0" width="12.42"/>
    <col collapsed="false" customWidth="true" hidden="false" outlineLevel="0" max="6" min="6" style="0" width="10.13"/>
    <col collapsed="false" customWidth="true" hidden="false" outlineLevel="0" max="7" min="7" style="0" width="10.71"/>
    <col collapsed="false" customWidth="true" hidden="false" outlineLevel="0" max="9" min="8" style="0" width="10.13"/>
    <col collapsed="false" customWidth="true" hidden="false" outlineLevel="0" max="10" min="10" style="0" width="10.99"/>
    <col collapsed="false" customWidth="true" hidden="false" outlineLevel="0" max="12" min="11" style="0" width="10.13"/>
    <col collapsed="false" customWidth="true" hidden="false" outlineLevel="0" max="13" min="13" style="0" width="14.85"/>
    <col collapsed="false" customWidth="true" hidden="false" outlineLevel="0" max="14" min="14" style="0" width="15.56"/>
    <col collapsed="false" customWidth="true" hidden="false" outlineLevel="0" max="15" min="15" style="0" width="10.56"/>
    <col collapsed="false" customWidth="true" hidden="false" outlineLevel="0" max="16" min="16" style="0" width="11.13"/>
    <col collapsed="false" customWidth="true" hidden="false" outlineLevel="0" max="17" min="17" style="0" width="13.14"/>
    <col collapsed="false" customWidth="true" hidden="false" outlineLevel="0" max="18" min="18" style="0" width="13.7"/>
    <col collapsed="false" customWidth="true" hidden="false" outlineLevel="0" max="19" min="19" style="0" width="10.56"/>
    <col collapsed="false" customWidth="true" hidden="false" outlineLevel="0" max="21" min="20" style="0" width="9.56"/>
    <col collapsed="false" customWidth="true" hidden="false" outlineLevel="0" max="22" min="22" style="0" width="18.99"/>
    <col collapsed="false" customWidth="true" hidden="false" outlineLevel="0" max="23" min="23" style="0" width="15.99"/>
    <col collapsed="false" customWidth="true" hidden="false" outlineLevel="0" max="24" min="24" style="0" width="8.99"/>
    <col collapsed="false" customWidth="true" hidden="false" outlineLevel="0" max="25" min="25" style="0" width="9.99"/>
    <col collapsed="false" customWidth="true" hidden="false" outlineLevel="0" max="26" min="26" style="0" width="9.56"/>
    <col collapsed="false" customWidth="true" hidden="false" outlineLevel="0" max="29" min="29" style="0" width="17.14"/>
    <col collapsed="false" customWidth="true" hidden="false" outlineLevel="0" max="32" min="30" style="0" width="15.85"/>
    <col collapsed="false" customWidth="true" hidden="false" outlineLevel="0" max="34" min="34" style="0" width="11.99"/>
    <col collapsed="false" customWidth="true" hidden="false" outlineLevel="0" max="35" min="35" style="0" width="9.99"/>
    <col collapsed="false" customWidth="true" hidden="false" outlineLevel="0" max="37" min="36" style="0" width="11.56"/>
    <col collapsed="false" customWidth="true" hidden="false" outlineLevel="0" max="39" min="38" style="0" width="10.56"/>
    <col collapsed="false" customWidth="true" hidden="false" outlineLevel="0" max="40" min="40" style="0" width="11.56"/>
    <col collapsed="false" customWidth="true" hidden="false" outlineLevel="0" max="42" min="41" style="0" width="10.56"/>
    <col collapsed="false" customWidth="true" hidden="false" outlineLevel="0" max="43" min="43" style="0" width="11.99"/>
    <col collapsed="false" customWidth="true" hidden="false" outlineLevel="0" max="44" min="44" style="0" width="9.41"/>
    <col collapsed="false" customWidth="true" hidden="false" outlineLevel="0" max="47" min="45" style="0" width="9.7"/>
    <col collapsed="false" customWidth="true" hidden="false" outlineLevel="0" max="48" min="48" style="0" width="10.71"/>
    <col collapsed="false" customWidth="true" hidden="false" outlineLevel="0" max="68" min="68" style="0" width="10.56"/>
    <col collapsed="false" customWidth="true" hidden="false" outlineLevel="0" max="69" min="69" style="0" width="11.56"/>
  </cols>
  <sheetData>
    <row r="1" customFormat="false" ht="12.75" hidden="false" customHeight="false" outlineLevel="0" collapsed="false">
      <c r="A1" s="0" t="n">
        <v>1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0" t="n">
        <v>8</v>
      </c>
      <c r="I1" s="0" t="n">
        <v>9</v>
      </c>
      <c r="J1" s="0" t="n">
        <v>10</v>
      </c>
      <c r="K1" s="0" t="n">
        <v>11</v>
      </c>
      <c r="L1" s="0" t="n">
        <v>12</v>
      </c>
      <c r="M1" s="0" t="n">
        <v>13</v>
      </c>
      <c r="N1" s="0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  <c r="X1" s="0" t="n">
        <v>24</v>
      </c>
      <c r="Y1" s="0" t="n">
        <v>25</v>
      </c>
      <c r="Z1" s="0" t="n">
        <v>26</v>
      </c>
      <c r="AA1" s="0" t="n">
        <v>27</v>
      </c>
      <c r="AB1" s="0" t="n">
        <v>28</v>
      </c>
      <c r="AC1" s="0" t="n">
        <v>29</v>
      </c>
      <c r="AD1" s="0" t="n">
        <v>30</v>
      </c>
      <c r="AE1" s="0" t="n">
        <v>31</v>
      </c>
      <c r="AF1" s="0" t="n">
        <v>32</v>
      </c>
      <c r="AG1" s="0" t="n">
        <v>33</v>
      </c>
      <c r="AH1" s="0" t="n">
        <v>34</v>
      </c>
      <c r="AI1" s="0" t="n">
        <v>35</v>
      </c>
      <c r="AJ1" s="0" t="n">
        <v>36</v>
      </c>
      <c r="AK1" s="0" t="n">
        <v>37</v>
      </c>
      <c r="AL1" s="0" t="n">
        <v>38</v>
      </c>
      <c r="AM1" s="0" t="n">
        <v>39</v>
      </c>
      <c r="AN1" s="0" t="n">
        <v>40</v>
      </c>
      <c r="AO1" s="0" t="n">
        <v>41</v>
      </c>
      <c r="AP1" s="0" t="n">
        <v>42</v>
      </c>
      <c r="AQ1" s="0" t="n">
        <v>43</v>
      </c>
      <c r="AR1" s="0" t="n">
        <v>44</v>
      </c>
      <c r="AS1" s="0" t="n">
        <v>45</v>
      </c>
      <c r="AT1" s="0" t="n">
        <v>46</v>
      </c>
      <c r="AU1" s="0" t="n">
        <v>47</v>
      </c>
      <c r="AV1" s="0" t="n">
        <v>48</v>
      </c>
      <c r="AW1" s="0" t="n">
        <v>49</v>
      </c>
      <c r="AX1" s="0" t="n">
        <v>50</v>
      </c>
      <c r="AY1" s="0" t="n">
        <v>51</v>
      </c>
      <c r="AZ1" s="0" t="n">
        <v>52</v>
      </c>
      <c r="BA1" s="0" t="n">
        <v>53</v>
      </c>
      <c r="BB1" s="0" t="n">
        <v>54</v>
      </c>
      <c r="BC1" s="0" t="n">
        <v>55</v>
      </c>
      <c r="BD1" s="0" t="n">
        <v>56</v>
      </c>
      <c r="BE1" s="0" t="n">
        <v>57</v>
      </c>
      <c r="BF1" s="0" t="n">
        <v>58</v>
      </c>
      <c r="BG1" s="0" t="n">
        <v>59</v>
      </c>
      <c r="BH1" s="0" t="n">
        <v>60</v>
      </c>
      <c r="BI1" s="0" t="n">
        <v>61</v>
      </c>
      <c r="BJ1" s="0" t="n">
        <v>62</v>
      </c>
      <c r="BK1" s="0" t="n">
        <v>63</v>
      </c>
      <c r="BL1" s="0" t="n">
        <v>64</v>
      </c>
      <c r="BM1" s="0" t="n">
        <v>65</v>
      </c>
      <c r="BN1" s="0" t="n">
        <v>66</v>
      </c>
    </row>
    <row r="5" customFormat="false" ht="38.25" hidden="false" customHeight="true" outlineLevel="0" collapsed="false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2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3"/>
      <c r="AM5" s="1" t="s">
        <v>36</v>
      </c>
      <c r="AN5" s="1" t="s">
        <v>37</v>
      </c>
      <c r="AO5" s="1" t="s">
        <v>38</v>
      </c>
      <c r="AP5" s="1" t="s">
        <v>39</v>
      </c>
      <c r="AQ5" s="1" t="s">
        <v>40</v>
      </c>
      <c r="AR5" s="1" t="s">
        <v>41</v>
      </c>
      <c r="AS5" s="4" t="s">
        <v>42</v>
      </c>
      <c r="AT5" s="4" t="s">
        <v>13</v>
      </c>
      <c r="AU5" s="1" t="s">
        <v>19</v>
      </c>
      <c r="AV5" s="1" t="s">
        <v>43</v>
      </c>
      <c r="AX5" s="1" t="s">
        <v>13</v>
      </c>
      <c r="AY5" s="1" t="s">
        <v>44</v>
      </c>
      <c r="AZ5" s="1" t="s">
        <v>45</v>
      </c>
      <c r="BG5" s="4" t="s">
        <v>46</v>
      </c>
      <c r="BH5" s="1" t="s">
        <v>43</v>
      </c>
      <c r="BI5" s="4" t="s">
        <v>42</v>
      </c>
      <c r="BJ5" s="4"/>
    </row>
    <row r="6" customFormat="false" ht="15.75" hidden="false" customHeight="false" outlineLevel="0" collapsed="false">
      <c r="B6" s="5" t="s">
        <v>47</v>
      </c>
      <c r="C6" s="6" t="s">
        <v>48</v>
      </c>
      <c r="D6" s="6" t="s">
        <v>49</v>
      </c>
      <c r="E6" s="6" t="s">
        <v>50</v>
      </c>
      <c r="F6" s="6" t="s">
        <v>51</v>
      </c>
      <c r="G6" s="6" t="s">
        <v>52</v>
      </c>
      <c r="H6" s="6" t="s">
        <v>53</v>
      </c>
      <c r="I6" s="6" t="s">
        <v>54</v>
      </c>
      <c r="J6" s="6" t="s">
        <v>55</v>
      </c>
      <c r="K6" s="6" t="s">
        <v>56</v>
      </c>
      <c r="L6" s="6" t="s">
        <v>57</v>
      </c>
      <c r="M6" s="6" t="s">
        <v>58</v>
      </c>
      <c r="N6" s="6" t="s">
        <v>59</v>
      </c>
      <c r="O6" s="6" t="s">
        <v>60</v>
      </c>
      <c r="P6" s="6" t="s">
        <v>61</v>
      </c>
      <c r="Q6" s="6" t="s">
        <v>62</v>
      </c>
      <c r="R6" s="6" t="s">
        <v>63</v>
      </c>
      <c r="S6" s="6" t="s">
        <v>64</v>
      </c>
      <c r="T6" s="6" t="s">
        <v>65</v>
      </c>
      <c r="U6" s="6" t="s">
        <v>66</v>
      </c>
      <c r="V6" s="6" t="s">
        <v>67</v>
      </c>
      <c r="W6" s="6" t="s">
        <v>68</v>
      </c>
      <c r="X6" s="7" t="s">
        <v>69</v>
      </c>
      <c r="Y6" s="7" t="s">
        <v>70</v>
      </c>
      <c r="Z6" s="7" t="s">
        <v>71</v>
      </c>
      <c r="AA6" s="6" t="s">
        <v>72</v>
      </c>
      <c r="AB6" s="6" t="s">
        <v>73</v>
      </c>
      <c r="AC6" s="8" t="s">
        <v>74</v>
      </c>
      <c r="AD6" s="8" t="s">
        <v>75</v>
      </c>
      <c r="AE6" s="6" t="s">
        <v>76</v>
      </c>
      <c r="AF6" s="6" t="s">
        <v>77</v>
      </c>
      <c r="AG6" s="9" t="s">
        <v>78</v>
      </c>
      <c r="AH6" s="10" t="s">
        <v>79</v>
      </c>
      <c r="AI6" s="6" t="s">
        <v>80</v>
      </c>
      <c r="AJ6" s="6" t="s">
        <v>81</v>
      </c>
      <c r="AK6" s="6" t="s">
        <v>82</v>
      </c>
      <c r="AL6" s="11"/>
      <c r="AM6" s="6"/>
      <c r="AN6" s="6"/>
      <c r="AO6" s="6"/>
      <c r="AP6" s="6"/>
      <c r="AQ6" s="6"/>
      <c r="AR6" s="6"/>
      <c r="AS6" s="6" t="s">
        <v>83</v>
      </c>
      <c r="AT6" s="6" t="s">
        <v>60</v>
      </c>
      <c r="AU6" s="6" t="s">
        <v>66</v>
      </c>
      <c r="AV6" s="6" t="s">
        <v>84</v>
      </c>
      <c r="AX6" s="6" t="s">
        <v>60</v>
      </c>
      <c r="AZ6" s="12" t="s">
        <v>85</v>
      </c>
      <c r="BG6" s="6" t="s">
        <v>60</v>
      </c>
      <c r="BH6" s="6" t="s">
        <v>84</v>
      </c>
      <c r="BI6" s="6" t="s">
        <v>83</v>
      </c>
      <c r="BJ6" s="6" t="s">
        <v>77</v>
      </c>
    </row>
    <row r="7" customFormat="false" ht="12.75" hidden="false" customHeight="false" outlineLevel="0" collapsed="false">
      <c r="C7" s="13" t="n">
        <f aca="false">C16</f>
        <v>10000</v>
      </c>
      <c r="D7" s="14" t="n">
        <f aca="false">H27*C22</f>
        <v>6</v>
      </c>
      <c r="E7" s="13" t="n">
        <f aca="false">C22</f>
        <v>3</v>
      </c>
      <c r="F7" s="13" t="n">
        <f aca="false">D27</f>
        <v>108</v>
      </c>
      <c r="G7" s="13" t="n">
        <f aca="false">F16</f>
        <v>39</v>
      </c>
      <c r="H7" s="13" t="n">
        <f aca="false">D22</f>
        <v>122</v>
      </c>
      <c r="I7" s="13" t="n">
        <f aca="false">E22</f>
        <v>60</v>
      </c>
      <c r="J7" s="13" t="n">
        <f aca="false">G22</f>
        <v>27734.1614906832</v>
      </c>
      <c r="K7" s="13" t="n">
        <f aca="false">F22</f>
        <v>83</v>
      </c>
      <c r="L7" s="13" t="n">
        <f aca="false">G27*(2*Rad)</f>
        <v>24</v>
      </c>
      <c r="M7" s="13" t="n">
        <f aca="false">G16</f>
        <v>2</v>
      </c>
      <c r="N7" s="13" t="n">
        <f aca="false">H16</f>
        <v>36</v>
      </c>
      <c r="O7" s="15" t="n">
        <f aca="false">AX7</f>
        <v>0.15707963267949</v>
      </c>
      <c r="P7" s="16" t="n">
        <f aca="false">2*PI()*Rad*U*Alpha*(0.6+0.08*((Xcpf-XS)*Alpha/Rad)^1.52)</f>
        <v>35569.9726364264</v>
      </c>
      <c r="Q7" s="17" t="n">
        <f aca="false">Rad*SQRT(((1+0.21*((Xcpf-XS)*Alpha/Rad)^2+0.49)))</f>
        <v>6.34595267379176</v>
      </c>
      <c r="R7" s="18" t="n">
        <f aca="false">Rad^2/rV</f>
        <v>1.41822677581086</v>
      </c>
      <c r="S7" s="19" t="n">
        <f aca="false">ATAN(0.7*Rad/(Rad+0.21*(Xcpf-XS)*Alpha))</f>
        <v>0.372458720768089</v>
      </c>
      <c r="T7" s="13" t="n">
        <f aca="false">E27</f>
        <v>4</v>
      </c>
      <c r="U7" s="13" t="n">
        <v>1.19833881308294</v>
      </c>
      <c r="V7" s="20" t="n">
        <f aca="false">CNan*(-SM+Xcpn-Xcg)/(SM-Xcpf+Xcg)</f>
        <v>136</v>
      </c>
      <c r="W7" s="13" t="n">
        <f aca="false">C32</f>
        <v>4</v>
      </c>
      <c r="X7" s="13" t="n">
        <f aca="false">F27</f>
        <v>0.3</v>
      </c>
      <c r="Y7" s="21" t="n">
        <f aca="false">1+(Rad/b)*(1-lambda)</f>
        <v>1.35</v>
      </c>
      <c r="Z7" s="18" t="n">
        <f aca="false">(lambda-1)/b</f>
        <v>-0.116666666666667</v>
      </c>
      <c r="AA7" s="19" t="n">
        <f aca="false">2*PI()*CNaf*Rad^2/(CNaa*N*(Chrd1*b+Chrd2*(b^2+2*b*Rad)/2+Chrd1*b*Rad^2/(Rad*(b+Rad))+Chrd2*Rad^2*LOG((b+Rad)/Rad)))</f>
        <v>78.8099505474733</v>
      </c>
      <c r="AB7" s="19" t="n">
        <f aca="false">lambda*Cr</f>
        <v>23.642985164242</v>
      </c>
      <c r="AC7" s="22" t="n">
        <f aca="false">(Xcg*(CNan+CNaf)-Xcpn*CNan-Xcpf*CNaf)/(2*Rad)</f>
        <v>-552</v>
      </c>
      <c r="AD7" s="22" t="n">
        <f aca="false">-1*((Xcpn-Xcg)^2*CNan+(Xcpf-Xcg)^2*CNaf)/(2*Rad^2)</f>
        <v>-4937.33333333333</v>
      </c>
      <c r="AE7" s="22" t="n">
        <f aca="false">-N*(CNaa-CDaa*(SIN(Caplam*PI()/180)^2)*Cr*(Chrd1*((b+Rad)^3-Rad^3)/3+Chrd2*((b+Rad)^4-Rad^4)/4+Rad^2*(Chrd1*b+(Chrd2/2)*((b+Rad)^2-Rad^2)))/(2*PI()*Rad^4))</f>
        <v>-0.948408166650163</v>
      </c>
      <c r="AF7" s="22" t="n">
        <f aca="false">-(N*CNaa*Cr)*(Chrd1*((b+Rad)^3-Rad^3)/3+Chrd2*((b+Rad)^4-Rad^4)/4)/(2*PI()*Rad^4)</f>
        <v>-314.411029407752</v>
      </c>
      <c r="AG7" s="13" t="n">
        <f aca="false">D16</f>
        <v>4</v>
      </c>
      <c r="AH7" s="21" t="n">
        <f aca="false">SQRT(-2*PI()*Rad^3*q*CMa/Ip)</f>
        <v>3.67505489635242</v>
      </c>
      <c r="AI7" s="19" t="n">
        <f aca="false">2*PI()*Rad^4*q*(CNr-CNpa)/(U*Ip)</f>
        <v>-0.0362342149145928</v>
      </c>
      <c r="AJ7" s="22" t="n">
        <f aca="false">PI()*Rad^2</f>
        <v>28.2743338823081</v>
      </c>
      <c r="AK7" s="22" t="n">
        <f aca="false">2*Rad</f>
        <v>6</v>
      </c>
      <c r="AL7" s="23" t="s">
        <v>86</v>
      </c>
      <c r="AM7" s="15" t="n">
        <f aca="false">Phi</f>
        <v>1.19833881308294</v>
      </c>
      <c r="AN7" s="0" t="e">
        <f aca="false">(CNaa*Gamma/(Sref*lref*2*PI()*U)*G(Cr^1*Chrd1,Cr^1*Chrd2,rV,PhiV,AM7,Rad,b))</f>
        <v>#VALUE!</v>
      </c>
      <c r="AO7" s="0" t="e">
        <f aca="false">(CNaa*-Gamma/(Sref*lref*2*PI()*U)*G(Cr^1*Chrd1,Cr^1*Chrd2,rV,-PhiV,AM7,Rad,b))</f>
        <v>#VALUE!</v>
      </c>
      <c r="AP7" s="0" t="e">
        <f aca="false">(CNaa*-Gamma/(Sref*lref*2*PI()*U)*G(Cr^1*Chrd1,Cr^1*Chrd2,sI,PhiV,AM7,Rad,b))</f>
        <v>#VALUE!</v>
      </c>
      <c r="AQ7" s="0" t="e">
        <f aca="false">(CNaa*Gamma/(Sref*lref*2*PI()*U)*G(Cr^1*Chrd1,Cr^1*Chrd2,sI,-PhiV,AM7,Rad,b))</f>
        <v>#VALUE!</v>
      </c>
      <c r="AR7" s="0" t="e">
        <f aca="false">SUM(AN7:AQ7)</f>
        <v>#VALUE!</v>
      </c>
      <c r="AS7" s="22" t="e">
        <f aca="false">IF(N=3,SUM(AR7:AR9),IF(N=4,SUM(AR7:AR10),IF(N=5,SUM(AR7:AR11),IF(N=6,SUM(AR7:AR12),IF(N=7,SUM(AR7:AR13),IF(N=8,SUM(AR7:AR14),0))))))</f>
        <v>#VALUE!</v>
      </c>
      <c r="AT7" s="21" t="n">
        <f aca="false">O7</f>
        <v>0.15707963267949</v>
      </c>
      <c r="AU7" s="19" t="n">
        <f aca="false">U7</f>
        <v>1.19833881308294</v>
      </c>
      <c r="AV7" s="22" t="e">
        <f aca="false">(CLp/U)*(Rad*Omega-SQRT(-2*PI()*q*Rad^5*CMa/Ip))+CLin</f>
        <v>#VALUE!</v>
      </c>
      <c r="AX7" s="13" t="n">
        <v>0.15707963267949</v>
      </c>
      <c r="AY7" s="0" t="n">
        <f aca="false">PI()</f>
        <v>3.14159265358979</v>
      </c>
      <c r="AZ7" s="13" t="n">
        <v>121</v>
      </c>
      <c r="BG7" s="0" t="n">
        <v>0</v>
      </c>
      <c r="BH7" s="0" t="n">
        <v>0.350035154419515</v>
      </c>
      <c r="BI7" s="0" t="n">
        <v>2.59145514578616E-005</v>
      </c>
      <c r="BJ7" s="0" t="n">
        <v>0.350061068970973</v>
      </c>
    </row>
    <row r="8" customFormat="false" ht="12.75" hidden="false" customHeight="false" outlineLevel="0" collapsed="false">
      <c r="AC8" s="24"/>
      <c r="AD8" s="24"/>
      <c r="AE8" s="24"/>
      <c r="AF8" s="25"/>
      <c r="AL8" s="23" t="s">
        <v>87</v>
      </c>
      <c r="AM8" s="0" t="n">
        <f aca="false">AM7+2*PI()/N</f>
        <v>2.76913513987783</v>
      </c>
      <c r="AN8" s="0" t="e">
        <f aca="false">(CNaa*Gamma/(Sref*lref*2*PI()*U)*G(Cr^1*Chrd1,Cr^1*Chrd2,rV,PhiV,AM8,Rad,b))</f>
        <v>#VALUE!</v>
      </c>
      <c r="AO8" s="0" t="e">
        <f aca="false">(CNaa*-Gamma/(Sref*lref*2*PI()*U)*G(Cr^1*Chrd1,Cr^1*Chrd2,rV,-PhiV,AM8,Rad,b))</f>
        <v>#VALUE!</v>
      </c>
      <c r="AP8" s="0" t="e">
        <f aca="false">(CNaa*-Gamma/(Sref*lref*2*PI()*U)*G(Cr^1*Chrd1,Cr^1*Chrd2,sI,PhiV,AM8,Rad,b))</f>
        <v>#VALUE!</v>
      </c>
      <c r="AQ8" s="0" t="e">
        <f aca="false">(CNaa*Gamma/(Sref*lref*2*PI()*U)*G(Cr^1*Chrd1,Cr^1*Chrd2,sI,-PhiV,AM8,Rad,b))</f>
        <v>#VALUE!</v>
      </c>
      <c r="AR8" s="0" t="e">
        <f aca="false">SUM(AN8:AQ8)</f>
        <v>#VALUE!</v>
      </c>
      <c r="AX8" s="0" t="s">
        <v>88</v>
      </c>
      <c r="BG8" s="0" t="n">
        <v>0.0508474576271187</v>
      </c>
      <c r="BH8" s="0" t="n">
        <v>0.352661034514404</v>
      </c>
      <c r="BI8" s="0" t="n">
        <v>0.00259996554343069</v>
      </c>
      <c r="BJ8" s="0" t="n">
        <v>0.350061068970973</v>
      </c>
    </row>
    <row r="9" customFormat="false" ht="12.75" hidden="false" customHeight="false" outlineLevel="0" collapsed="false">
      <c r="C9" s="0" t="n">
        <f aca="false">U</f>
        <v>10000</v>
      </c>
      <c r="D9" s="0" t="n">
        <f aca="false">b</f>
        <v>6</v>
      </c>
      <c r="E9" s="0" t="n">
        <f aca="false">Rad</f>
        <v>3</v>
      </c>
      <c r="F9" s="0" t="n">
        <f aca="false">Xcpf</f>
        <v>108</v>
      </c>
      <c r="G9" s="0" t="n">
        <f aca="false">Xcpn</f>
        <v>39</v>
      </c>
      <c r="H9" s="0" t="n">
        <f aca="false">L</f>
        <v>122</v>
      </c>
      <c r="I9" s="0" t="n">
        <f aca="false">W</f>
        <v>60</v>
      </c>
      <c r="J9" s="0" t="n">
        <f aca="false">Ip</f>
        <v>27734.1614906832</v>
      </c>
      <c r="K9" s="0" t="n">
        <f aca="false">Xcg</f>
        <v>83</v>
      </c>
      <c r="L9" s="0" t="n">
        <f aca="false">SM</f>
        <v>24</v>
      </c>
      <c r="M9" s="0" t="n">
        <f aca="false">CNan</f>
        <v>2</v>
      </c>
      <c r="N9" s="0" t="n">
        <f aca="false">XS</f>
        <v>36</v>
      </c>
      <c r="O9" s="0" t="n">
        <f aca="false">Alpha</f>
        <v>0.15707963267949</v>
      </c>
      <c r="P9" s="0" t="n">
        <f aca="false">Gamma</f>
        <v>35569.9726364264</v>
      </c>
      <c r="Q9" s="0" t="n">
        <f aca="false">rV</f>
        <v>6.34595267379176</v>
      </c>
      <c r="R9" s="0" t="n">
        <f aca="false">sI</f>
        <v>1.41822677581086</v>
      </c>
      <c r="S9" s="0" t="n">
        <f aca="false">PhiV</f>
        <v>0.372458720768089</v>
      </c>
      <c r="T9" s="0" t="n">
        <f aca="false">N</f>
        <v>4</v>
      </c>
      <c r="U9" s="0" t="n">
        <f aca="false">Phi</f>
        <v>1.19833881308294</v>
      </c>
      <c r="V9" s="0" t="n">
        <f aca="false">CNaf</f>
        <v>136</v>
      </c>
      <c r="W9" s="0" t="n">
        <f aca="false">CNaa</f>
        <v>4</v>
      </c>
      <c r="X9" s="0" t="n">
        <f aca="false">lambda</f>
        <v>0.3</v>
      </c>
      <c r="Y9" s="0" t="n">
        <f aca="false">Chrd1</f>
        <v>1.35</v>
      </c>
      <c r="Z9" s="0" t="n">
        <f aca="false">Chrd2</f>
        <v>-0.116666666666667</v>
      </c>
      <c r="AA9" s="0" t="n">
        <f aca="false">Cr</f>
        <v>78.8099505474733</v>
      </c>
      <c r="AB9" s="0" t="n">
        <f aca="false">Ct</f>
        <v>23.642985164242</v>
      </c>
      <c r="AC9" s="0" t="n">
        <f aca="false">CMa</f>
        <v>-552</v>
      </c>
      <c r="AD9" s="0" t="n">
        <f aca="false">CNr</f>
        <v>-4937.33333333333</v>
      </c>
      <c r="AE9" s="0" t="n">
        <f aca="false">CNpa</f>
        <v>-0.948408166650163</v>
      </c>
      <c r="AF9" s="0" t="n">
        <f aca="false">CLp</f>
        <v>-314.411029407752</v>
      </c>
      <c r="AG9" s="0" t="n">
        <f aca="false">q</f>
        <v>4</v>
      </c>
      <c r="AH9" s="0" t="n">
        <f aca="false">OmegaN</f>
        <v>3.67505489635242</v>
      </c>
      <c r="AI9" s="0" t="n">
        <f aca="false">Omega</f>
        <v>-0.0362342149145928</v>
      </c>
      <c r="AJ9" s="0" t="n">
        <f aca="false">Sref</f>
        <v>28.2743338823081</v>
      </c>
      <c r="AK9" s="0" t="n">
        <f aca="false">lref</f>
        <v>6</v>
      </c>
      <c r="AL9" s="23" t="s">
        <v>89</v>
      </c>
      <c r="AM9" s="0" t="n">
        <f aca="false">AM8+2*PI()/N</f>
        <v>4.33993146667273</v>
      </c>
      <c r="AN9" s="0" t="e">
        <f aca="false">(CNaa*Gamma/(Sref*lref*2*PI()*U)*G(Cr^1*Chrd1,Cr^1*Chrd2,rV,PhiV,AM9,Rad,b))</f>
        <v>#VALUE!</v>
      </c>
      <c r="AO9" s="0" t="e">
        <f aca="false">(CNaa*-Gamma/(Sref*lref*2*PI()*U)*G(Cr^1*Chrd1,Cr^1*Chrd2,rV,-PhiV,AM9,Rad,b))</f>
        <v>#VALUE!</v>
      </c>
      <c r="AP9" s="0" t="e">
        <f aca="false">(CNaa*-Gamma/(Sref*lref*2*PI()*U)*G(Cr^1*Chrd1,Cr^1*Chrd2,sI,PhiV,AM9,Rad,b))</f>
        <v>#VALUE!</v>
      </c>
      <c r="AQ9" s="0" t="e">
        <f aca="false">(CNaa*Gamma/(Sref*lref*2*PI()*U)*G(Cr^1*Chrd1,Cr^1*Chrd2,sI,-PhiV,AM9,Rad,b))</f>
        <v>#VALUE!</v>
      </c>
      <c r="AR9" s="0" t="e">
        <f aca="false">SUM(AN9:AQ9)</f>
        <v>#VALUE!</v>
      </c>
      <c r="AX9" s="0" t="n">
        <f aca="false">AX7/PI()*180</f>
        <v>9</v>
      </c>
      <c r="BG9" s="0" t="n">
        <v>0.101694915254237</v>
      </c>
      <c r="BH9" s="0" t="n">
        <v>0.344842652441018</v>
      </c>
      <c r="BI9" s="0" t="n">
        <v>0.00521841652995504</v>
      </c>
      <c r="BJ9" s="0" t="n">
        <v>0.350061068970973</v>
      </c>
    </row>
    <row r="10" customFormat="false" ht="13.5" hidden="false" customHeight="false" outlineLevel="0" collapsed="false">
      <c r="AL10" s="23" t="s">
        <v>90</v>
      </c>
      <c r="AM10" s="0" t="n">
        <f aca="false">AM9+2*PI()/N</f>
        <v>5.91072779346763</v>
      </c>
      <c r="AN10" s="0" t="e">
        <f aca="false">(CNaa*Gamma/(Sref*lref*2*PI()*U)*G(Cr^1*Chrd1,Cr^1*Chrd2,rV,PhiV,AM10,Rad,b))</f>
        <v>#VALUE!</v>
      </c>
      <c r="AO10" s="0" t="e">
        <f aca="false">(CNaa*-Gamma/(Sref*lref*2*PI()*U)*G(Cr^1*Chrd1,Cr^1*Chrd2,rV,-PhiV,AM10,Rad,b))</f>
        <v>#VALUE!</v>
      </c>
      <c r="AP10" s="0" t="e">
        <f aca="false">(CNaa*-Gamma/(Sref*lref*2*PI()*U)*G(Cr^1*Chrd1,Cr^1*Chrd2,sI,PhiV,AM10,Rad,b))</f>
        <v>#VALUE!</v>
      </c>
      <c r="AQ10" s="0" t="e">
        <f aca="false">(CNaa*Gamma/(Sref*lref*2*PI()*U)*G(Cr^1*Chrd1,Cr^1*Chrd2,sI,-PhiV,AM10,Rad,b))</f>
        <v>#VALUE!</v>
      </c>
      <c r="AR10" s="0" t="e">
        <f aca="false">SUM(AN10:AQ10)</f>
        <v>#VALUE!</v>
      </c>
      <c r="BG10" s="0" t="n">
        <v>0.152542372881356</v>
      </c>
      <c r="BH10" s="0" t="n">
        <v>0.342204584532165</v>
      </c>
      <c r="BI10" s="0" t="n">
        <v>0.00785648443880795</v>
      </c>
      <c r="BJ10" s="0" t="n">
        <v>0.350061068970973</v>
      </c>
    </row>
    <row r="11" customFormat="false" ht="13.5" hidden="false" customHeight="false" outlineLevel="0" collapsed="false">
      <c r="A11" s="26" t="s">
        <v>91</v>
      </c>
      <c r="B11" s="26"/>
      <c r="C11" s="26"/>
      <c r="D11" s="26"/>
      <c r="E11" s="26"/>
      <c r="F11" s="26"/>
      <c r="G11" s="26"/>
      <c r="H11" s="26"/>
      <c r="I11" s="26"/>
      <c r="AL11" s="23" t="s">
        <v>92</v>
      </c>
      <c r="AM11" s="0" t="n">
        <f aca="false">AM10+2*PI()/N</f>
        <v>7.48152412026252</v>
      </c>
      <c r="AN11" s="0" t="e">
        <f aca="false">(CNaa*Gamma/(Sref*lref*2*PI()*U)*G(Cr^1*Chrd1,Cr^1*Chrd2,rV,PhiV,AM11,Rad,b))</f>
        <v>#VALUE!</v>
      </c>
      <c r="AO11" s="0" t="e">
        <f aca="false">(CNaa*-Gamma/(Sref*lref*2*PI()*U)*G(Cr^1*Chrd1,Cr^1*Chrd2,rV,-PhiV,AM11,Rad,b))</f>
        <v>#VALUE!</v>
      </c>
      <c r="AP11" s="0" t="e">
        <f aca="false">(CNaa*-Gamma/(Sref*lref*2*PI()*U)*G(Cr^1*Chrd1,Cr^1*Chrd2,sI,PhiV,AM11,Rad,b))</f>
        <v>#VALUE!</v>
      </c>
      <c r="AQ11" s="0" t="e">
        <f aca="false">(CNaa*Gamma/(Sref*lref*2*PI()*U)*G(Cr^1*Chrd1,Cr^1*Chrd2,sI,-PhiV,AM11,Rad,b))</f>
        <v>#VALUE!</v>
      </c>
      <c r="AR11" s="0" t="e">
        <f aca="false">SUM(AN11:AQ11)</f>
        <v>#VALUE!</v>
      </c>
      <c r="BG11" s="0" t="n">
        <v>0.203389830508475</v>
      </c>
      <c r="BH11" s="0" t="n">
        <v>0.339546131597031</v>
      </c>
      <c r="BI11" s="0" t="n">
        <v>0.0105149373739427</v>
      </c>
      <c r="BJ11" s="0" t="n">
        <v>0.350061068970973</v>
      </c>
    </row>
    <row r="12" customFormat="false" ht="12.75" hidden="false" customHeight="false" outlineLevel="0" collapsed="false">
      <c r="A12" s="27"/>
      <c r="B12" s="28"/>
      <c r="C12" s="28"/>
      <c r="D12" s="28"/>
      <c r="E12" s="28"/>
      <c r="F12" s="28"/>
      <c r="G12" s="28"/>
      <c r="H12" s="28"/>
      <c r="I12" s="29"/>
      <c r="AL12" s="23" t="s">
        <v>93</v>
      </c>
      <c r="AM12" s="0" t="n">
        <f aca="false">AM11+2*PI()/N</f>
        <v>9.05232044705742</v>
      </c>
      <c r="AN12" s="0" t="e">
        <f aca="false">(CNaa*Gamma/(Sref*lref*2*PI()*U)*G(Cr^1*Chrd1,Cr^1*Chrd2,rV,PhiV,AM12,Rad,b))</f>
        <v>#VALUE!</v>
      </c>
      <c r="AO12" s="0" t="e">
        <f aca="false">(CNaa*-Gamma/(Sref*lref*2*PI()*U)*G(Cr^1*Chrd1,Cr^1*Chrd2,rV,-PhiV,AM12,Rad,b))</f>
        <v>#VALUE!</v>
      </c>
      <c r="AP12" s="0" t="e">
        <f aca="false">(CNaa*-Gamma/(Sref*lref*2*PI()*U)*G(Cr^1*Chrd1,Cr^1*Chrd2,sI,PhiV,AM12,Rad,b))</f>
        <v>#VALUE!</v>
      </c>
      <c r="AQ12" s="0" t="e">
        <f aca="false">(CNaa*Gamma/(Sref*lref*2*PI()*U)*G(Cr^1*Chrd1,Cr^1*Chrd2,sI,-PhiV,AM12,Rad,b))</f>
        <v>#VALUE!</v>
      </c>
      <c r="AR12" s="0" t="e">
        <f aca="false">SUM(AN12:AQ12)</f>
        <v>#VALUE!</v>
      </c>
      <c r="BG12" s="0" t="n">
        <v>0.254237288135593</v>
      </c>
      <c r="BH12" s="0" t="n">
        <v>0.33686668295368</v>
      </c>
      <c r="BI12" s="0" t="n">
        <v>0.0131943860172932</v>
      </c>
      <c r="BJ12" s="0" t="n">
        <v>0.350061068970973</v>
      </c>
    </row>
    <row r="13" customFormat="false" ht="12.75" hidden="false" customHeight="false" outlineLevel="0" collapsed="false">
      <c r="A13" s="30"/>
      <c r="B13" s="31" t="s">
        <v>94</v>
      </c>
      <c r="C13" s="31"/>
      <c r="D13" s="31"/>
      <c r="E13" s="32"/>
      <c r="F13" s="31" t="s">
        <v>95</v>
      </c>
      <c r="G13" s="31"/>
      <c r="H13" s="31"/>
      <c r="I13" s="33"/>
      <c r="AL13" s="23" t="s">
        <v>96</v>
      </c>
      <c r="AM13" s="0" t="n">
        <f aca="false">AM12+2*PI()/N</f>
        <v>10.6231167738523</v>
      </c>
      <c r="AN13" s="0" t="e">
        <f aca="false">(CNaa*Gamma/(Sref*lref*2*PI()*U)*G(Cr^1*Chrd1,Cr^1*Chrd2,rV,PhiV,AM13,Rad,b))</f>
        <v>#VALUE!</v>
      </c>
      <c r="AO13" s="0" t="e">
        <f aca="false">(CNaa*-Gamma/(Sref*lref*2*PI()*U)*G(Cr^1*Chrd1,Cr^1*Chrd2,rV,-PhiV,AM13,Rad,b))</f>
        <v>#VALUE!</v>
      </c>
      <c r="AP13" s="0" t="e">
        <f aca="false">(CNaa*-Gamma/(Sref*lref*2*PI()*U)*G(Cr^1*Chrd1,Cr^1*Chrd2,sI,PhiV,AM13,Rad,b))</f>
        <v>#VALUE!</v>
      </c>
      <c r="AQ13" s="0" t="e">
        <f aca="false">(CNaa*Gamma/(Sref*lref*2*PI()*U)*G(Cr^1*Chrd1,Cr^1*Chrd2,sI,-PhiV,AM13,Rad,b))</f>
        <v>#VALUE!</v>
      </c>
      <c r="AR13" s="0" t="e">
        <f aca="false">SUM(AN13:AQ13)</f>
        <v>#VALUE!</v>
      </c>
      <c r="BG13" s="0" t="n">
        <v>0.305084745762712</v>
      </c>
      <c r="BH13" s="0" t="n">
        <v>0.334165749424816</v>
      </c>
      <c r="BI13" s="0" t="n">
        <v>0.0158953195461578</v>
      </c>
      <c r="BJ13" s="0" t="n">
        <v>0.350061068970973</v>
      </c>
    </row>
    <row r="14" customFormat="false" ht="76.5" hidden="false" customHeight="false" outlineLevel="0" collapsed="false">
      <c r="A14" s="30"/>
      <c r="B14" s="1" t="s">
        <v>0</v>
      </c>
      <c r="C14" s="1" t="s">
        <v>1</v>
      </c>
      <c r="D14" s="1" t="s">
        <v>31</v>
      </c>
      <c r="E14" s="32"/>
      <c r="F14" s="1" t="s">
        <v>5</v>
      </c>
      <c r="G14" s="1" t="s">
        <v>11</v>
      </c>
      <c r="H14" s="1" t="s">
        <v>12</v>
      </c>
      <c r="I14" s="33"/>
      <c r="AL14" s="23" t="s">
        <v>97</v>
      </c>
      <c r="AM14" s="0" t="n">
        <f aca="false">AM13+2*PI()/N</f>
        <v>12.1939131006472</v>
      </c>
      <c r="AN14" s="0" t="e">
        <f aca="false">(CNaa*Gamma/(Sref*lref*2*PI()*U)*G(Cr^1*Chrd1,Cr^1*Chrd2,rV,PhiV,AM14,Rad,b))</f>
        <v>#VALUE!</v>
      </c>
      <c r="AO14" s="0" t="e">
        <f aca="false">(CNaa*-Gamma/(Sref*lref*2*PI()*U)*G(Cr^1*Chrd1,Cr^1*Chrd2,rV,-PhiV,AM14,Rad,b))</f>
        <v>#VALUE!</v>
      </c>
      <c r="AP14" s="0" t="e">
        <f aca="false">(CNaa*-Gamma/(Sref*lref*2*PI()*U)*G(Cr^1*Chrd1,Cr^1*Chrd2,sI,PhiV,AM14,Rad,b))</f>
        <v>#VALUE!</v>
      </c>
      <c r="AQ14" s="0" t="e">
        <f aca="false">(CNaa*Gamma/(Sref*lref*2*PI()*U)*G(Cr^1*Chrd1,Cr^1*Chrd2,sI,-PhiV,AM14,Rad,b))</f>
        <v>#VALUE!</v>
      </c>
      <c r="AR14" s="0" t="e">
        <f aca="false">SUM(AN14:AQ14)</f>
        <v>#VALUE!</v>
      </c>
      <c r="BG14" s="0" t="n">
        <v>0.355932203389831</v>
      </c>
      <c r="BH14" s="0" t="n">
        <v>0.331442873684103</v>
      </c>
      <c r="BI14" s="0" t="n">
        <v>0.0186181952868706</v>
      </c>
      <c r="BJ14" s="0" t="n">
        <v>0.350061068970973</v>
      </c>
    </row>
    <row r="15" customFormat="false" ht="12.75" hidden="false" customHeight="false" outlineLevel="0" collapsed="false">
      <c r="A15" s="30"/>
      <c r="B15" s="5" t="s">
        <v>47</v>
      </c>
      <c r="C15" s="6" t="s">
        <v>48</v>
      </c>
      <c r="D15" s="9" t="s">
        <v>78</v>
      </c>
      <c r="E15" s="32"/>
      <c r="F15" s="6" t="s">
        <v>52</v>
      </c>
      <c r="G15" s="6" t="s">
        <v>58</v>
      </c>
      <c r="H15" s="6" t="s">
        <v>59</v>
      </c>
      <c r="I15" s="33"/>
      <c r="AL15" s="23"/>
      <c r="BG15" s="0" t="n">
        <v>0.406779661016949</v>
      </c>
      <c r="BH15" s="0" t="n">
        <v>0.371424470120815</v>
      </c>
      <c r="BI15" s="0" t="n">
        <v>0.021363401149842</v>
      </c>
      <c r="BJ15" s="0" t="n">
        <v>0.350061068970973</v>
      </c>
    </row>
    <row r="16" customFormat="false" ht="12.75" hidden="false" customHeight="false" outlineLevel="0" collapsed="false">
      <c r="A16" s="30"/>
      <c r="B16" s="32"/>
      <c r="C16" s="34" t="n">
        <v>10000</v>
      </c>
      <c r="D16" s="34" t="n">
        <v>4</v>
      </c>
      <c r="E16" s="32"/>
      <c r="F16" s="34" t="n">
        <v>39</v>
      </c>
      <c r="G16" s="34" t="n">
        <v>2</v>
      </c>
      <c r="H16" s="34" t="n">
        <v>36</v>
      </c>
      <c r="I16" s="33"/>
      <c r="AL16" s="23"/>
      <c r="BG16" s="0" t="n">
        <v>0.457627118644068</v>
      </c>
      <c r="BH16" s="0" t="n">
        <v>0.374192337439448</v>
      </c>
      <c r="BI16" s="0" t="n">
        <v>0.0241312684684749</v>
      </c>
      <c r="BJ16" s="0" t="n">
        <v>0.350061068970973</v>
      </c>
    </row>
    <row r="17" customFormat="false" ht="12.75" hidden="false" customHeight="false" outlineLevel="0" collapsed="false">
      <c r="A17" s="30"/>
      <c r="B17" s="32"/>
      <c r="C17" s="32"/>
      <c r="D17" s="32"/>
      <c r="E17" s="32"/>
      <c r="F17" s="32"/>
      <c r="G17" s="32"/>
      <c r="H17" s="32"/>
      <c r="I17" s="33"/>
      <c r="AL17" s="23"/>
      <c r="AV17" s="0" t="s">
        <v>98</v>
      </c>
      <c r="BG17" s="0" t="n">
        <v>0.508474576271186</v>
      </c>
      <c r="BH17" s="0" t="n">
        <v>0.323138961938388</v>
      </c>
      <c r="BI17" s="0" t="n">
        <v>0.0269221070325855</v>
      </c>
      <c r="BJ17" s="0" t="n">
        <v>0.350061068970973</v>
      </c>
    </row>
    <row r="18" customFormat="false" ht="14.25" hidden="false" customHeight="true" outlineLevel="0" collapsed="false">
      <c r="A18" s="30"/>
      <c r="B18" s="25"/>
      <c r="C18" s="32"/>
      <c r="D18" s="32"/>
      <c r="E18" s="32"/>
      <c r="F18" s="32"/>
      <c r="G18" s="32"/>
      <c r="H18" s="32"/>
      <c r="I18" s="33"/>
      <c r="AL18" s="23"/>
      <c r="BG18" s="0" t="n">
        <v>0.559322033898305</v>
      </c>
      <c r="BH18" s="0" t="n">
        <v>0.320324910159865</v>
      </c>
      <c r="BI18" s="0" t="n">
        <v>0.0297361588111079</v>
      </c>
      <c r="BJ18" s="0" t="n">
        <v>0.350061068970973</v>
      </c>
    </row>
    <row r="19" customFormat="false" ht="12.75" hidden="false" customHeight="false" outlineLevel="0" collapsed="false">
      <c r="A19" s="30"/>
      <c r="B19" s="31" t="s">
        <v>99</v>
      </c>
      <c r="C19" s="31"/>
      <c r="D19" s="31"/>
      <c r="E19" s="31"/>
      <c r="F19" s="31"/>
      <c r="G19" s="31"/>
      <c r="H19" s="32"/>
      <c r="I19" s="33"/>
      <c r="BG19" s="0" t="n">
        <v>0.610169491525424</v>
      </c>
      <c r="BH19" s="0" t="n">
        <v>0.382634719250529</v>
      </c>
      <c r="BI19" s="0" t="n">
        <v>0.0325736502795562</v>
      </c>
      <c r="BJ19" s="0" t="n">
        <v>0.350061068970973</v>
      </c>
    </row>
    <row r="20" customFormat="false" ht="52.5" hidden="false" customHeight="false" outlineLevel="0" collapsed="false">
      <c r="A20" s="30"/>
      <c r="B20" s="1" t="s">
        <v>0</v>
      </c>
      <c r="C20" s="1" t="s">
        <v>3</v>
      </c>
      <c r="D20" s="1" t="s">
        <v>6</v>
      </c>
      <c r="E20" s="1" t="s">
        <v>7</v>
      </c>
      <c r="F20" s="1" t="s">
        <v>9</v>
      </c>
      <c r="G20" s="1" t="s">
        <v>8</v>
      </c>
      <c r="H20" s="32"/>
      <c r="I20" s="33"/>
      <c r="BG20" s="0" t="n">
        <v>0.661016949152542</v>
      </c>
      <c r="BH20" s="0" t="n">
        <v>0.31462636310756</v>
      </c>
      <c r="BI20" s="0" t="n">
        <v>0.0354347058634138</v>
      </c>
      <c r="BJ20" s="0" t="n">
        <v>0.350061068970973</v>
      </c>
    </row>
    <row r="21" customFormat="false" ht="12.75" hidden="false" customHeight="false" outlineLevel="0" collapsed="false">
      <c r="A21" s="30"/>
      <c r="B21" s="5" t="s">
        <v>47</v>
      </c>
      <c r="C21" s="6" t="s">
        <v>50</v>
      </c>
      <c r="D21" s="6" t="s">
        <v>53</v>
      </c>
      <c r="E21" s="6" t="s">
        <v>54</v>
      </c>
      <c r="F21" s="6" t="s">
        <v>56</v>
      </c>
      <c r="G21" s="6" t="s">
        <v>55</v>
      </c>
      <c r="H21" s="32"/>
      <c r="I21" s="33"/>
      <c r="BG21" s="0" t="n">
        <v>0.711864406779661</v>
      </c>
      <c r="BH21" s="0" t="n">
        <v>0.311741605286873</v>
      </c>
      <c r="BI21" s="0" t="n">
        <v>0.0383194636840999</v>
      </c>
      <c r="BJ21" s="0" t="n">
        <v>0.350061068970973</v>
      </c>
    </row>
    <row r="22" customFormat="false" ht="12.75" hidden="false" customHeight="false" outlineLevel="0" collapsed="false">
      <c r="A22" s="30"/>
      <c r="B22" s="32"/>
      <c r="C22" s="34" t="n">
        <v>3</v>
      </c>
      <c r="D22" s="34" t="n">
        <v>122</v>
      </c>
      <c r="E22" s="34" t="n">
        <v>60</v>
      </c>
      <c r="F22" s="34" t="n">
        <v>83</v>
      </c>
      <c r="G22" s="15" t="n">
        <f aca="false">W*L^2/32.2</f>
        <v>27734.1614906832</v>
      </c>
      <c r="H22" s="32"/>
      <c r="I22" s="33"/>
      <c r="BG22" s="0" t="n">
        <v>0.76271186440678</v>
      </c>
      <c r="BH22" s="0" t="n">
        <v>0.391289037478536</v>
      </c>
      <c r="BI22" s="0" t="n">
        <v>0.0412279685075627</v>
      </c>
      <c r="BJ22" s="0" t="n">
        <v>0.350061068970973</v>
      </c>
    </row>
    <row r="23" customFormat="false" ht="12.75" hidden="false" customHeight="false" outlineLevel="0" collapsed="false">
      <c r="A23" s="30"/>
      <c r="B23" s="32"/>
      <c r="C23" s="32"/>
      <c r="D23" s="32"/>
      <c r="E23" s="32"/>
      <c r="F23" s="32"/>
      <c r="G23" s="32"/>
      <c r="H23" s="32"/>
      <c r="I23" s="33"/>
      <c r="BG23" s="0" t="n">
        <v>0.813559322033898</v>
      </c>
      <c r="BH23" s="0" t="n">
        <v>0.305900875214885</v>
      </c>
      <c r="BI23" s="0" t="n">
        <v>0.0441601937560882</v>
      </c>
      <c r="BJ23" s="0" t="n">
        <v>0.350061068970973</v>
      </c>
    </row>
    <row r="24" customFormat="false" ht="12.75" hidden="false" customHeight="false" outlineLevel="0" collapsed="false">
      <c r="A24" s="30"/>
      <c r="B24" s="31" t="s">
        <v>100</v>
      </c>
      <c r="C24" s="31"/>
      <c r="D24" s="31"/>
      <c r="E24" s="31"/>
      <c r="F24" s="31"/>
      <c r="G24" s="31"/>
      <c r="H24" s="31"/>
      <c r="I24" s="33"/>
      <c r="BG24" s="0" t="n">
        <v>0.864406779661017</v>
      </c>
      <c r="BH24" s="0" t="n">
        <v>0.397177196034495</v>
      </c>
      <c r="BI24" s="0" t="n">
        <v>0.0471161270635222</v>
      </c>
      <c r="BJ24" s="0" t="n">
        <v>0.350061068970973</v>
      </c>
    </row>
    <row r="25" customFormat="false" ht="51" hidden="false" customHeight="false" outlineLevel="0" collapsed="false">
      <c r="A25" s="30"/>
      <c r="B25" s="1" t="s">
        <v>0</v>
      </c>
      <c r="C25" s="1" t="s">
        <v>101</v>
      </c>
      <c r="D25" s="1" t="s">
        <v>4</v>
      </c>
      <c r="E25" s="1" t="s">
        <v>18</v>
      </c>
      <c r="F25" s="1" t="s">
        <v>22</v>
      </c>
      <c r="G25" s="1" t="s">
        <v>102</v>
      </c>
      <c r="H25" s="1" t="s">
        <v>103</v>
      </c>
      <c r="I25" s="33"/>
      <c r="BG25" s="0" t="n">
        <v>0.915254237288136</v>
      </c>
      <c r="BH25" s="0" t="n">
        <v>0.400156602728554</v>
      </c>
      <c r="BI25" s="0" t="n">
        <v>0.0500955337575806</v>
      </c>
      <c r="BJ25" s="0" t="n">
        <v>0.350061068970973</v>
      </c>
    </row>
    <row r="26" customFormat="false" ht="12.75" hidden="false" customHeight="false" outlineLevel="0" collapsed="false">
      <c r="A26" s="30"/>
      <c r="B26" s="5" t="s">
        <v>47</v>
      </c>
      <c r="C26" s="6" t="s">
        <v>104</v>
      </c>
      <c r="D26" s="6" t="s">
        <v>51</v>
      </c>
      <c r="E26" s="6" t="s">
        <v>65</v>
      </c>
      <c r="F26" s="7" t="s">
        <v>69</v>
      </c>
      <c r="G26" s="6" t="s">
        <v>105</v>
      </c>
      <c r="H26" s="6" t="s">
        <v>106</v>
      </c>
      <c r="I26" s="33"/>
      <c r="BG26" s="0" t="n">
        <v>0.966101694915254</v>
      </c>
      <c r="BH26" s="0" t="n">
        <v>0.403159377771038</v>
      </c>
      <c r="BI26" s="0" t="n">
        <v>0.0530983088000642</v>
      </c>
      <c r="BJ26" s="0" t="n">
        <v>0.350061068970973</v>
      </c>
    </row>
    <row r="27" customFormat="false" ht="11.25" hidden="false" customHeight="true" outlineLevel="0" collapsed="false">
      <c r="A27" s="30"/>
      <c r="B27" s="32"/>
      <c r="C27" s="34" t="n">
        <v>0.2</v>
      </c>
      <c r="D27" s="34" t="n">
        <v>108</v>
      </c>
      <c r="E27" s="34" t="n">
        <v>4</v>
      </c>
      <c r="F27" s="34" t="n">
        <v>0.3</v>
      </c>
      <c r="G27" s="34" t="n">
        <f aca="false">24/(2*Rad)</f>
        <v>4</v>
      </c>
      <c r="H27" s="35" t="n">
        <v>2</v>
      </c>
      <c r="I27" s="33"/>
      <c r="BG27" s="0" t="n">
        <v>1.01694915254237</v>
      </c>
      <c r="BH27" s="0" t="n">
        <v>0.406185185933358</v>
      </c>
      <c r="BI27" s="0" t="n">
        <v>0.0561241169623842</v>
      </c>
      <c r="BJ27" s="0" t="n">
        <v>0.350061068970973</v>
      </c>
    </row>
    <row r="28" customFormat="false" ht="11.25" hidden="false" customHeight="true" outlineLevel="0" collapsed="false">
      <c r="A28" s="30"/>
      <c r="B28" s="32"/>
      <c r="C28" s="32"/>
      <c r="D28" s="32"/>
      <c r="E28" s="32"/>
      <c r="F28" s="32"/>
      <c r="G28" s="25" t="s">
        <v>107</v>
      </c>
      <c r="H28" s="25"/>
      <c r="I28" s="33"/>
      <c r="BG28" s="0" t="n">
        <v>1.06779661016949</v>
      </c>
      <c r="BH28" s="0" t="n">
        <v>0.290888462539335</v>
      </c>
      <c r="BI28" s="0" t="n">
        <v>0.059172606431638</v>
      </c>
      <c r="BJ28" s="0" t="n">
        <v>0.350061068970973</v>
      </c>
    </row>
    <row r="29" customFormat="false" ht="12.75" hidden="false" customHeight="false" outlineLevel="0" collapsed="false">
      <c r="A29" s="30"/>
      <c r="B29" s="32"/>
      <c r="C29" s="32"/>
      <c r="D29" s="32"/>
      <c r="E29" s="32"/>
      <c r="F29" s="32"/>
      <c r="G29" s="25" t="n">
        <f aca="false">G27*(2*Rad)</f>
        <v>24</v>
      </c>
      <c r="H29" s="25" t="n">
        <f aca="false">H27*C22</f>
        <v>6</v>
      </c>
      <c r="I29" s="33"/>
      <c r="BG29" s="0" t="n">
        <v>1.11864406779661</v>
      </c>
      <c r="BH29" s="0" t="n">
        <v>0.287817720058303</v>
      </c>
      <c r="BI29" s="0" t="n">
        <v>0.0622433489126704</v>
      </c>
      <c r="BJ29" s="0" t="n">
        <v>0.350061068970973</v>
      </c>
    </row>
    <row r="30" customFormat="false" ht="76.5" hidden="false" customHeight="false" outlineLevel="0" collapsed="false">
      <c r="A30" s="30"/>
      <c r="B30" s="1" t="s">
        <v>0</v>
      </c>
      <c r="C30" s="1" t="s">
        <v>21</v>
      </c>
      <c r="D30" s="1" t="s">
        <v>108</v>
      </c>
      <c r="E30" s="1" t="s">
        <v>109</v>
      </c>
      <c r="F30" s="32"/>
      <c r="G30" s="32"/>
      <c r="H30" s="32"/>
      <c r="I30" s="33"/>
      <c r="BG30" s="0" t="n">
        <v>1.16949152542373</v>
      </c>
      <c r="BH30" s="0" t="n">
        <v>0.41539684340434</v>
      </c>
      <c r="BI30" s="0" t="n">
        <v>0.0653357744333671</v>
      </c>
      <c r="BJ30" s="0" t="n">
        <v>0.350061068970973</v>
      </c>
    </row>
    <row r="31" customFormat="false" ht="12.75" hidden="false" customHeight="false" outlineLevel="0" collapsed="false">
      <c r="A31" s="30"/>
      <c r="B31" s="5" t="s">
        <v>47</v>
      </c>
      <c r="C31" s="6" t="s">
        <v>68</v>
      </c>
      <c r="D31" s="6" t="s">
        <v>110</v>
      </c>
      <c r="E31" s="6" t="s">
        <v>60</v>
      </c>
      <c r="F31" s="32"/>
      <c r="G31" s="36"/>
      <c r="H31" s="32"/>
      <c r="I31" s="33"/>
      <c r="BG31" s="0" t="n">
        <v>1.22033898305085</v>
      </c>
      <c r="BH31" s="0" t="n">
        <v>0.418510399143551</v>
      </c>
      <c r="BI31" s="0" t="n">
        <v>0.0684493301725777</v>
      </c>
      <c r="BJ31" s="0" t="n">
        <v>0.350061068970973</v>
      </c>
    </row>
    <row r="32" customFormat="false" ht="12.75" hidden="false" customHeight="false" outlineLevel="0" collapsed="false">
      <c r="A32" s="30"/>
      <c r="B32" s="32"/>
      <c r="C32" s="34" t="n">
        <v>4</v>
      </c>
      <c r="D32" s="34" t="n">
        <v>60</v>
      </c>
      <c r="E32" s="34" t="n">
        <v>9</v>
      </c>
      <c r="F32" s="32"/>
      <c r="G32" s="32"/>
      <c r="H32" s="32"/>
      <c r="I32" s="33"/>
      <c r="BG32" s="0" t="n">
        <v>1.27118644067797</v>
      </c>
      <c r="BH32" s="0" t="n">
        <v>0.278477881852731</v>
      </c>
      <c r="BI32" s="0" t="n">
        <v>0.0715831871182425</v>
      </c>
      <c r="BJ32" s="0" t="n">
        <v>0.350061068970973</v>
      </c>
    </row>
    <row r="33" customFormat="false" ht="12.75" hidden="false" customHeight="false" outlineLevel="0" collapsed="false">
      <c r="A33" s="30"/>
      <c r="B33" s="32"/>
      <c r="C33" s="32"/>
      <c r="D33" s="32"/>
      <c r="E33" s="32"/>
      <c r="F33" s="32"/>
      <c r="G33" s="32"/>
      <c r="H33" s="32"/>
      <c r="I33" s="33"/>
      <c r="BG33" s="0" t="n">
        <v>1.32203389830508</v>
      </c>
      <c r="BH33" s="0" t="n">
        <v>0.275324392880946</v>
      </c>
      <c r="BI33" s="0" t="n">
        <v>0.0747366760900276</v>
      </c>
      <c r="BJ33" s="0" t="n">
        <v>0.350061068970973</v>
      </c>
    </row>
    <row r="34" customFormat="false" ht="12.75" hidden="false" customHeight="false" outlineLevel="0" collapsed="false">
      <c r="A34" s="30"/>
      <c r="B34" s="32"/>
      <c r="C34" s="32"/>
      <c r="D34" s="32"/>
      <c r="E34" s="32"/>
      <c r="F34" s="32"/>
      <c r="G34" s="32"/>
      <c r="H34" s="32"/>
      <c r="I34" s="33"/>
      <c r="BG34" s="0" t="n">
        <v>1.3728813559322</v>
      </c>
      <c r="BH34" s="0" t="n">
        <v>0.272152308708085</v>
      </c>
      <c r="BI34" s="0" t="n">
        <v>0.0779087602628888</v>
      </c>
      <c r="BJ34" s="0" t="n">
        <v>0.350061068970973</v>
      </c>
    </row>
    <row r="35" customFormat="false" ht="12.75" hidden="false" customHeight="false" outlineLevel="0" collapsed="false">
      <c r="A35" s="30"/>
      <c r="B35" s="32"/>
      <c r="C35" s="32"/>
      <c r="D35" s="32"/>
      <c r="E35" s="32"/>
      <c r="F35" s="32"/>
      <c r="G35" s="32"/>
      <c r="H35" s="32"/>
      <c r="I35" s="33"/>
      <c r="K35" s="25"/>
      <c r="BG35" s="0" t="n">
        <v>1.42372881355932</v>
      </c>
      <c r="BH35" s="0" t="n">
        <v>0.268962587798571</v>
      </c>
      <c r="BI35" s="0" t="n">
        <v>0.0810984811724022</v>
      </c>
      <c r="BJ35" s="0" t="n">
        <v>0.350061068970973</v>
      </c>
    </row>
    <row r="36" customFormat="false" ht="13.5" hidden="false" customHeight="false" outlineLevel="0" collapsed="false">
      <c r="A36" s="37"/>
      <c r="B36" s="38"/>
      <c r="C36" s="38"/>
      <c r="D36" s="38"/>
      <c r="E36" s="38"/>
      <c r="F36" s="38"/>
      <c r="G36" s="38"/>
      <c r="H36" s="38"/>
      <c r="I36" s="39"/>
      <c r="BG36" s="0" t="n">
        <v>1.47457627118644</v>
      </c>
      <c r="BH36" s="0" t="n">
        <v>0.265756316573931</v>
      </c>
      <c r="BI36" s="0" t="n">
        <v>0.084304752397042</v>
      </c>
      <c r="BJ36" s="0" t="n">
        <v>0.350061068970973</v>
      </c>
    </row>
    <row r="37" customFormat="false" ht="13.5" hidden="false" customHeight="false" outlineLevel="0" collapsed="false">
      <c r="A37" s="40" t="s">
        <v>111</v>
      </c>
      <c r="B37" s="40"/>
      <c r="C37" s="40"/>
      <c r="D37" s="40"/>
      <c r="E37" s="40"/>
      <c r="F37" s="40"/>
      <c r="G37" s="40"/>
      <c r="H37" s="40"/>
      <c r="I37" s="40"/>
      <c r="BG37" s="0" t="n">
        <v>1.52542372881356</v>
      </c>
      <c r="BH37" s="0" t="n">
        <v>0.262534789940493</v>
      </c>
      <c r="BI37" s="0" t="n">
        <v>0.0875262790304804</v>
      </c>
      <c r="BJ37" s="0" t="n">
        <v>0.350061068970973</v>
      </c>
    </row>
    <row r="38" customFormat="false" ht="12.75" hidden="false" customHeight="false" outlineLevel="0" collapsed="false">
      <c r="BG38" s="0" t="n">
        <v>1.57627118644068</v>
      </c>
      <c r="BH38" s="0" t="n">
        <v>0.25929937913436</v>
      </c>
      <c r="BI38" s="0" t="n">
        <v>0.0907616898366128</v>
      </c>
      <c r="BJ38" s="0" t="n">
        <v>0.350061068970973</v>
      </c>
    </row>
    <row r="39" customFormat="false" ht="12.75" hidden="false" customHeight="false" outlineLevel="0" collapsed="false">
      <c r="BG39" s="0" t="n">
        <v>1.6271186440678</v>
      </c>
      <c r="BH39" s="0" t="n">
        <v>0.256051446160979</v>
      </c>
      <c r="BI39" s="0" t="n">
        <v>0.0940096228099946</v>
      </c>
      <c r="BJ39" s="0" t="n">
        <v>0.350061068970973</v>
      </c>
    </row>
    <row r="40" customFormat="false" ht="12.75" hidden="false" customHeight="false" outlineLevel="0" collapsed="false">
      <c r="BG40" s="0" t="n">
        <v>1.67796610169492</v>
      </c>
      <c r="BH40" s="0" t="n">
        <v>0.447329443265821</v>
      </c>
      <c r="BI40" s="0" t="n">
        <v>0.0972683742948474</v>
      </c>
      <c r="BJ40" s="0" t="n">
        <v>0.350061068970973</v>
      </c>
    </row>
    <row r="41" customFormat="false" ht="38.25" hidden="false" customHeight="false" outlineLevel="0" collapsed="false">
      <c r="A41" s="1" t="s">
        <v>112</v>
      </c>
      <c r="B41" s="1" t="s">
        <v>113</v>
      </c>
      <c r="C41" s="1" t="s">
        <v>114</v>
      </c>
      <c r="E41" s="1" t="s">
        <v>115</v>
      </c>
      <c r="BG41" s="0" t="n">
        <v>1.72881355932203</v>
      </c>
      <c r="BH41" s="0" t="n">
        <v>0.249524709171468</v>
      </c>
      <c r="BI41" s="0" t="n">
        <v>0.100536359799505</v>
      </c>
      <c r="BJ41" s="0" t="n">
        <v>0.350061068970973</v>
      </c>
    </row>
    <row r="42" customFormat="false" ht="12.75" hidden="false" customHeight="false" outlineLevel="0" collapsed="false">
      <c r="A42" s="6" t="s">
        <v>116</v>
      </c>
      <c r="B42" s="6" t="s">
        <v>117</v>
      </c>
      <c r="C42" s="6"/>
      <c r="E42" s="6"/>
      <c r="BG42" s="0" t="n">
        <v>1.77966101694915</v>
      </c>
      <c r="BH42" s="0" t="n">
        <v>0.453872755850095</v>
      </c>
      <c r="BI42" s="0" t="n">
        <v>0.103811686879122</v>
      </c>
      <c r="BJ42" s="0" t="n">
        <v>0.350061068970973</v>
      </c>
    </row>
    <row r="43" customFormat="false" ht="12.75" hidden="false" customHeight="false" outlineLevel="0" collapsed="false">
      <c r="A43" s="0" t="n">
        <v>0</v>
      </c>
      <c r="B43" s="0" t="n">
        <v>0</v>
      </c>
      <c r="C43" s="0" t="n">
        <v>0</v>
      </c>
      <c r="E43" s="0" t="n">
        <v>0</v>
      </c>
      <c r="BG43" s="0" t="n">
        <v>1.83050847457627</v>
      </c>
      <c r="BH43" s="0" t="n">
        <v>0.457153498248783</v>
      </c>
      <c r="BI43" s="0" t="n">
        <v>0.107092429277809</v>
      </c>
      <c r="BJ43" s="0" t="n">
        <v>0.350061068970973</v>
      </c>
    </row>
    <row r="44" customFormat="false" ht="12.75" hidden="false" customHeight="false" outlineLevel="0" collapsed="false">
      <c r="A44" s="0" t="n">
        <v>0.05</v>
      </c>
      <c r="B44" s="0" t="n">
        <v>0.00136150656300507</v>
      </c>
      <c r="C44" s="0" t="n">
        <v>4.53835521001689E-005</v>
      </c>
      <c r="E44" s="0" t="n">
        <v>0.00017956280355548</v>
      </c>
      <c r="BG44" s="0" t="n">
        <v>1.88135593220339</v>
      </c>
      <c r="BH44" s="0" t="n">
        <v>0.460437571404911</v>
      </c>
      <c r="BI44" s="0" t="n">
        <v>0.110376502433938</v>
      </c>
      <c r="BJ44" s="0" t="n">
        <v>0.350061068970973</v>
      </c>
    </row>
    <row r="45" customFormat="false" ht="12.75" hidden="false" customHeight="false" outlineLevel="0" collapsed="false">
      <c r="A45" s="0" t="n">
        <v>0.075</v>
      </c>
      <c r="B45" s="0" t="n">
        <v>0.0020422598445076</v>
      </c>
      <c r="C45" s="0" t="n">
        <v>0.00010211299222538</v>
      </c>
      <c r="E45" s="0" t="n">
        <v>0.000270090319782403</v>
      </c>
      <c r="BG45" s="0" t="n">
        <v>1.93220338983051</v>
      </c>
      <c r="BH45" s="0" t="n">
        <v>0.236399349928666</v>
      </c>
      <c r="BI45" s="0" t="n">
        <v>0.113661719042308</v>
      </c>
      <c r="BJ45" s="0" t="n">
        <v>0.350061068970973</v>
      </c>
    </row>
    <row r="46" customFormat="false" ht="12.75" hidden="false" customHeight="false" outlineLevel="0" collapsed="false">
      <c r="A46" s="0" t="n">
        <v>0.1</v>
      </c>
      <c r="B46" s="0" t="n">
        <v>0.00272301312601014</v>
      </c>
      <c r="C46" s="0" t="n">
        <v>0.000181534208400676</v>
      </c>
      <c r="E46" s="0" t="n">
        <v>0.000361142915575652</v>
      </c>
      <c r="BG46" s="0" t="n">
        <v>1.98305084745763</v>
      </c>
      <c r="BH46" s="0" t="n">
        <v>0.233115223837104</v>
      </c>
      <c r="BI46" s="0" t="n">
        <v>0.116945845133869</v>
      </c>
      <c r="BJ46" s="0" t="n">
        <v>0.350061068970973</v>
      </c>
    </row>
    <row r="47" customFormat="false" ht="12.75" hidden="false" customHeight="false" outlineLevel="0" collapsed="false">
      <c r="A47" s="0" t="n">
        <v>0.15</v>
      </c>
      <c r="B47" s="0" t="n">
        <v>0.0040845196890152</v>
      </c>
      <c r="C47" s="0" t="n">
        <v>0.00040845196890152</v>
      </c>
      <c r="E47" s="0" t="n">
        <v>0.000544879152082506</v>
      </c>
      <c r="BG47" s="0" t="n">
        <v>2.03389830508475</v>
      </c>
      <c r="BH47" s="0" t="n">
        <v>0.229834826940399</v>
      </c>
      <c r="BI47" s="0" t="n">
        <v>0.120226242030575</v>
      </c>
      <c r="BJ47" s="0" t="n">
        <v>0.350061068970973</v>
      </c>
    </row>
    <row r="48" customFormat="false" ht="12.75" hidden="false" customHeight="false" outlineLevel="0" collapsed="false">
      <c r="A48" s="0" t="n">
        <v>0.2</v>
      </c>
      <c r="B48" s="0" t="n">
        <v>0.00544602625202027</v>
      </c>
      <c r="C48" s="0" t="n">
        <v>0.000726136833602703</v>
      </c>
      <c r="E48" s="0" t="n">
        <v>0.000730864833347534</v>
      </c>
      <c r="BG48" s="0" t="n">
        <v>2.08474576271186</v>
      </c>
      <c r="BH48" s="0" t="n">
        <v>0.473561544101489</v>
      </c>
      <c r="BI48" s="0" t="n">
        <v>0.123500475130515</v>
      </c>
      <c r="BJ48" s="0" t="n">
        <v>0.350061068970973</v>
      </c>
    </row>
    <row r="49" customFormat="false" ht="12.75" hidden="false" customHeight="false" outlineLevel="0" collapsed="false">
      <c r="A49" s="0" t="n">
        <v>0.3</v>
      </c>
      <c r="B49" s="0" t="n">
        <v>0.00816903937803041</v>
      </c>
      <c r="C49" s="0" t="n">
        <v>0.00163380787560608</v>
      </c>
      <c r="E49" s="0" t="n">
        <v>0.00110986398006234</v>
      </c>
      <c r="BG49" s="0" t="n">
        <v>2.13559322033898</v>
      </c>
      <c r="BH49" s="0" t="n">
        <v>0.476826865104581</v>
      </c>
      <c r="BI49" s="0" t="n">
        <v>0.126765796133608</v>
      </c>
      <c r="BJ49" s="0" t="n">
        <v>0.350061068970973</v>
      </c>
    </row>
    <row r="50" customFormat="false" ht="12.75" hidden="false" customHeight="false" outlineLevel="0" collapsed="false">
      <c r="A50" s="0" t="n">
        <v>0.4</v>
      </c>
      <c r="B50" s="0" t="n">
        <v>0.0108920525040405</v>
      </c>
      <c r="C50" s="0" t="n">
        <v>0.00290454733441081</v>
      </c>
      <c r="E50" s="0" t="n">
        <v>0.00149857666612312</v>
      </c>
      <c r="BG50" s="0" t="n">
        <v>2.1864406779661</v>
      </c>
      <c r="BH50" s="0" t="n">
        <v>0.220041718555193</v>
      </c>
      <c r="BI50" s="0" t="n">
        <v>0.13001935041578</v>
      </c>
      <c r="BJ50" s="0" t="n">
        <v>0.350061068970973</v>
      </c>
    </row>
    <row r="51" customFormat="false" ht="12.75" hidden="false" customHeight="false" outlineLevel="0" collapsed="false">
      <c r="BG51" s="0" t="n">
        <v>2.23728813559322</v>
      </c>
      <c r="BH51" s="0" t="n">
        <v>0.483319109589043</v>
      </c>
      <c r="BI51" s="0" t="n">
        <v>0.13325804061807</v>
      </c>
      <c r="BJ51" s="0" t="n">
        <v>0.350061068970973</v>
      </c>
    </row>
    <row r="52" customFormat="false" ht="12.75" hidden="false" customHeight="false" outlineLevel="0" collapsed="false">
      <c r="BG52" s="0" t="n">
        <v>2.28813559322034</v>
      </c>
      <c r="BH52" s="0" t="n">
        <v>0.486539955384017</v>
      </c>
      <c r="BI52" s="0" t="n">
        <v>0.136478886413044</v>
      </c>
      <c r="BJ52" s="0" t="n">
        <v>0.350061068970973</v>
      </c>
    </row>
    <row r="53" customFormat="false" ht="12.75" hidden="false" customHeight="false" outlineLevel="0" collapsed="false">
      <c r="BG53" s="0" t="n">
        <v>2.33898305084746</v>
      </c>
      <c r="BH53" s="0" t="n">
        <v>0.210382459710949</v>
      </c>
      <c r="BI53" s="0" t="n">
        <v>0.139678609260024</v>
      </c>
      <c r="BJ53" s="0" t="n">
        <v>0.350061068970973</v>
      </c>
    </row>
    <row r="54" customFormat="false" ht="12.75" hidden="false" customHeight="false" outlineLevel="0" collapsed="false">
      <c r="BG54" s="0" t="n">
        <v>2.38983050847458</v>
      </c>
      <c r="BH54" s="0" t="n">
        <v>0.492914822905769</v>
      </c>
      <c r="BI54" s="0" t="n">
        <v>0.142853753934796</v>
      </c>
      <c r="BJ54" s="0" t="n">
        <v>0.350061068970973</v>
      </c>
    </row>
    <row r="55" customFormat="false" ht="12.75" hidden="false" customHeight="false" outlineLevel="0" collapsed="false">
      <c r="BG55" s="0" t="n">
        <v>2.44067796610169</v>
      </c>
      <c r="BH55" s="0" t="n">
        <v>0.496061950625181</v>
      </c>
      <c r="BI55" s="0" t="n">
        <v>0.146000881654207</v>
      </c>
      <c r="BJ55" s="0" t="n">
        <v>0.350061068970973</v>
      </c>
    </row>
    <row r="56" customFormat="false" ht="12.75" hidden="false" customHeight="false" outlineLevel="0" collapsed="false">
      <c r="BG56" s="0" t="n">
        <v>2.49152542372881</v>
      </c>
      <c r="BH56" s="0" t="n">
        <v>0.200944830439133</v>
      </c>
      <c r="BI56" s="0" t="n">
        <v>0.14911623853184</v>
      </c>
      <c r="BJ56" s="0" t="n">
        <v>0.350061068970973</v>
      </c>
    </row>
    <row r="57" customFormat="false" ht="12.75" hidden="false" customHeight="false" outlineLevel="0" collapsed="false">
      <c r="BG57" s="0" t="n">
        <v>2.54237288135593</v>
      </c>
      <c r="BH57" s="0" t="n">
        <v>0.197864936673526</v>
      </c>
      <c r="BI57" s="0" t="n">
        <v>0.152196132297447</v>
      </c>
      <c r="BJ57" s="0" t="n">
        <v>0.350061068970973</v>
      </c>
    </row>
    <row r="58" customFormat="false" ht="12.75" hidden="false" customHeight="false" outlineLevel="0" collapsed="false">
      <c r="BG58" s="0" t="n">
        <v>2.59322033898305</v>
      </c>
      <c r="BH58" s="0" t="n">
        <v>0.194824566635392</v>
      </c>
      <c r="BI58" s="0" t="n">
        <v>0.155236502335581</v>
      </c>
      <c r="BJ58" s="0" t="n">
        <v>0.350061068970973</v>
      </c>
    </row>
    <row r="59" customFormat="false" ht="12.75" hidden="false" customHeight="false" outlineLevel="0" collapsed="false">
      <c r="BG59" s="0" t="n">
        <v>2.64406779661017</v>
      </c>
      <c r="BH59" s="0" t="n">
        <v>0.191827708590063</v>
      </c>
      <c r="BI59" s="0" t="n">
        <v>0.15823336038091</v>
      </c>
      <c r="BJ59" s="0" t="n">
        <v>0.350061068970973</v>
      </c>
    </row>
    <row r="60" customFormat="false" ht="12.75" hidden="false" customHeight="false" outlineLevel="0" collapsed="false">
      <c r="BG60" s="0" t="n">
        <v>2.69491525423729</v>
      </c>
      <c r="BH60" s="0" t="n">
        <v>0.18887865484059</v>
      </c>
      <c r="BI60" s="0" t="n">
        <v>0.161182414130383</v>
      </c>
      <c r="BJ60" s="0" t="n">
        <v>0.350061068970973</v>
      </c>
    </row>
    <row r="61" customFormat="false" ht="12.75" hidden="false" customHeight="false" outlineLevel="0" collapsed="false">
      <c r="BG61" s="0" t="n">
        <v>2.74576271186441</v>
      </c>
      <c r="BH61" s="0" t="n">
        <v>0.18598166684585</v>
      </c>
      <c r="BI61" s="0" t="n">
        <v>0.164079402125123</v>
      </c>
      <c r="BJ61" s="0" t="n">
        <v>0.350061068970973</v>
      </c>
    </row>
    <row r="62" customFormat="false" ht="12.75" hidden="false" customHeight="false" outlineLevel="0" collapsed="false">
      <c r="BG62" s="0" t="n">
        <v>2.79661016949153</v>
      </c>
      <c r="BH62" s="0" t="n">
        <v>0.183141213497021</v>
      </c>
      <c r="BI62" s="0" t="n">
        <v>0.166919855473952</v>
      </c>
      <c r="BJ62" s="0" t="n">
        <v>0.350061068970973</v>
      </c>
    </row>
    <row r="63" customFormat="false" ht="12.75" hidden="false" customHeight="false" outlineLevel="0" collapsed="false">
      <c r="BG63" s="0" t="n">
        <v>2.84745762711864</v>
      </c>
      <c r="BH63" s="0" t="n">
        <v>0.519759938621897</v>
      </c>
      <c r="BI63" s="0" t="n">
        <v>0.169698869650924</v>
      </c>
      <c r="BJ63" s="0" t="n">
        <v>0.350061068970973</v>
      </c>
    </row>
    <row r="64" customFormat="false" ht="12.75" hidden="false" customHeight="false" outlineLevel="0" collapsed="false">
      <c r="BG64" s="0" t="n">
        <v>2.89830508474576</v>
      </c>
      <c r="BH64" s="0" t="n">
        <v>0.522473207311256</v>
      </c>
      <c r="BI64" s="0" t="n">
        <v>0.172412138340283</v>
      </c>
      <c r="BJ64" s="0" t="n">
        <v>0.350061068970973</v>
      </c>
    </row>
    <row r="65" customFormat="false" ht="12.75" hidden="false" customHeight="false" outlineLevel="0" collapsed="false">
      <c r="BG65" s="0" t="n">
        <v>2.94915254237288</v>
      </c>
      <c r="BH65" s="0" t="n">
        <v>0.525115532607261</v>
      </c>
      <c r="BI65" s="0" t="n">
        <v>0.175054463636288</v>
      </c>
      <c r="BJ65" s="0" t="n">
        <v>0.350061068970973</v>
      </c>
    </row>
    <row r="66" customFormat="false" ht="12.75" hidden="false" customHeight="false" outlineLevel="0" collapsed="false">
      <c r="BG66" s="0" t="n">
        <v>3</v>
      </c>
      <c r="BH66" s="0" t="n">
        <v>0.527681891406751</v>
      </c>
      <c r="BI66" s="0" t="n">
        <v>0.177620822435777</v>
      </c>
      <c r="BJ66" s="0" t="n">
        <v>0.350061068970973</v>
      </c>
    </row>
    <row r="67" customFormat="false" ht="12.75" hidden="false" customHeight="false" outlineLevel="0" collapsed="false">
      <c r="BG67" s="0" t="n">
        <v>3.05084745762712</v>
      </c>
      <c r="BH67" s="0" t="n">
        <v>0.169954952960403</v>
      </c>
      <c r="BI67" s="0" t="n">
        <v>0.18010611601057</v>
      </c>
      <c r="BJ67" s="0" t="n">
        <v>0.350061068970973</v>
      </c>
    </row>
    <row r="68" customFormat="false" ht="12.75" hidden="false" customHeight="false" outlineLevel="0" collapsed="false">
      <c r="BG68" s="0" t="n">
        <v>3.10169491525424</v>
      </c>
      <c r="BH68" s="0" t="n">
        <v>0.167556096462289</v>
      </c>
      <c r="BI68" s="0" t="n">
        <v>0.182504972508684</v>
      </c>
      <c r="BJ68" s="0" t="n">
        <v>0.350061068970973</v>
      </c>
    </row>
    <row r="69" customFormat="false" ht="12.75" hidden="false" customHeight="false" outlineLevel="0" collapsed="false">
      <c r="BG69" s="0" t="n">
        <v>3.15254237288136</v>
      </c>
      <c r="BH69" s="0" t="n">
        <v>0.534873136717484</v>
      </c>
      <c r="BI69" s="0" t="n">
        <v>0.184812067746511</v>
      </c>
      <c r="BJ69" s="0" t="n">
        <v>0.350061068970973</v>
      </c>
    </row>
    <row r="70" customFormat="false" ht="12.75" hidden="false" customHeight="false" outlineLevel="0" collapsed="false">
      <c r="BG70" s="0" t="n">
        <v>3.20338983050847</v>
      </c>
      <c r="BH70" s="0" t="n">
        <v>0.163039533643763</v>
      </c>
      <c r="BI70" s="0" t="n">
        <v>0.18702153532721</v>
      </c>
      <c r="BJ70" s="0" t="n">
        <v>0.350061068970973</v>
      </c>
    </row>
    <row r="71" customFormat="false" ht="12.75" hidden="false" customHeight="false" outlineLevel="0" collapsed="false">
      <c r="BG71" s="0" t="n">
        <v>3.25423728813559</v>
      </c>
      <c r="BH71" s="0" t="n">
        <v>0.539189246140441</v>
      </c>
      <c r="BI71" s="0" t="n">
        <v>0.189128177169468</v>
      </c>
      <c r="BJ71" s="0" t="n">
        <v>0.350061068970973</v>
      </c>
    </row>
    <row r="72" customFormat="false" ht="12.75" hidden="false" customHeight="false" outlineLevel="0" collapsed="false">
      <c r="BG72" s="0" t="n">
        <v>3.30508474576271</v>
      </c>
      <c r="BH72" s="0" t="n">
        <v>0.541186692555422</v>
      </c>
      <c r="BI72" s="0" t="n">
        <v>0.191125623584449</v>
      </c>
      <c r="BJ72" s="0" t="n">
        <v>0.350061068970973</v>
      </c>
    </row>
    <row r="73" customFormat="false" ht="12.75" hidden="false" customHeight="false" outlineLevel="0" collapsed="false">
      <c r="BG73" s="0" t="n">
        <v>3.35593220338983</v>
      </c>
      <c r="BH73" s="0" t="n">
        <v>0.543069272781404</v>
      </c>
      <c r="BI73" s="0" t="n">
        <v>0.193008203810431</v>
      </c>
      <c r="BJ73" s="0" t="n">
        <v>0.350061068970973</v>
      </c>
    </row>
    <row r="74" customFormat="false" ht="12.75" hidden="false" customHeight="false" outlineLevel="0" collapsed="false">
      <c r="BG74" s="0" t="n">
        <v>3.40677966101695</v>
      </c>
      <c r="BH74" s="0" t="n">
        <v>0.544830791850825</v>
      </c>
      <c r="BI74" s="0" t="n">
        <v>0.194769722879851</v>
      </c>
      <c r="BJ74" s="0" t="n">
        <v>0.350061068970973</v>
      </c>
    </row>
    <row r="75" customFormat="false" ht="12.75" hidden="false" customHeight="false" outlineLevel="0" collapsed="false">
      <c r="BG75" s="0" t="n">
        <v>3.45762711864407</v>
      </c>
      <c r="BH75" s="0" t="n">
        <v>0.153657229417172</v>
      </c>
      <c r="BI75" s="0" t="n">
        <v>0.196403839553801</v>
      </c>
      <c r="BJ75" s="0" t="n">
        <v>0.350061068970973</v>
      </c>
    </row>
    <row r="76" customFormat="false" ht="12.75" hidden="false" customHeight="false" outlineLevel="0" collapsed="false">
      <c r="BG76" s="0" t="n">
        <v>3.50847457627119</v>
      </c>
      <c r="BH76" s="0" t="n">
        <v>0.152156714023846</v>
      </c>
      <c r="BI76" s="0" t="n">
        <v>0.197904354947128</v>
      </c>
      <c r="BJ76" s="0" t="n">
        <v>0.350061068970973</v>
      </c>
    </row>
    <row r="77" customFormat="false" ht="12.75" hidden="false" customHeight="false" outlineLevel="0" collapsed="false">
      <c r="BG77" s="0" t="n">
        <v>3.55932203389831</v>
      </c>
      <c r="BH77" s="0" t="n">
        <v>0.150796433080951</v>
      </c>
      <c r="BI77" s="0" t="n">
        <v>0.199264635890022</v>
      </c>
      <c r="BJ77" s="0" t="n">
        <v>0.350061068970973</v>
      </c>
    </row>
    <row r="78" customFormat="false" ht="12.75" hidden="false" customHeight="false" outlineLevel="0" collapsed="false">
      <c r="BG78" s="0" t="n">
        <v>3.61016949152542</v>
      </c>
      <c r="BH78" s="0" t="n">
        <v>0.149583094567175</v>
      </c>
      <c r="BI78" s="0" t="n">
        <v>0.200477974403799</v>
      </c>
      <c r="BJ78" s="0" t="n">
        <v>0.350061068970973</v>
      </c>
    </row>
    <row r="79" customFormat="false" ht="12.75" hidden="false" customHeight="false" outlineLevel="0" collapsed="false">
      <c r="BG79" s="0" t="n">
        <v>3.66101694915254</v>
      </c>
      <c r="BH79" s="0" t="n">
        <v>0.551598900096275</v>
      </c>
      <c r="BI79" s="0" t="n">
        <v>0.201537831125302</v>
      </c>
      <c r="BJ79" s="0" t="n">
        <v>0.350061068970973</v>
      </c>
    </row>
    <row r="80" customFormat="false" ht="12.75" hidden="false" customHeight="false" outlineLevel="0" collapsed="false">
      <c r="BG80" s="0" t="n">
        <v>3.71186440677966</v>
      </c>
      <c r="BH80" s="0" t="n">
        <v>0.552498430476816</v>
      </c>
      <c r="BI80" s="0" t="n">
        <v>0.202437361505842</v>
      </c>
      <c r="BJ80" s="0" t="n">
        <v>0.350061068970973</v>
      </c>
    </row>
    <row r="81" customFormat="false" ht="12.75" hidden="false" customHeight="false" outlineLevel="0" collapsed="false">
      <c r="BG81" s="0" t="n">
        <v>3.76271186440678</v>
      </c>
      <c r="BH81" s="0" t="n">
        <v>0.146891226361039</v>
      </c>
      <c r="BI81" s="0" t="n">
        <v>0.203169842609934</v>
      </c>
      <c r="BJ81" s="0" t="n">
        <v>0.350061068970973</v>
      </c>
    </row>
    <row r="82" customFormat="false" ht="12.75" hidden="false" customHeight="false" outlineLevel="0" collapsed="false">
      <c r="BG82" s="0" t="n">
        <v>3.8135593220339</v>
      </c>
      <c r="BH82" s="0" t="n">
        <v>0.146334719403541</v>
      </c>
      <c r="BI82" s="0" t="n">
        <v>0.203726349567432</v>
      </c>
      <c r="BJ82" s="0" t="n">
        <v>0.350061068970973</v>
      </c>
    </row>
    <row r="83" customFormat="false" ht="12.75" hidden="false" customHeight="false" outlineLevel="0" collapsed="false">
      <c r="BG83" s="0" t="n">
        <v>3.86440677966102</v>
      </c>
      <c r="BH83" s="0" t="n">
        <v>0.145959485254181</v>
      </c>
      <c r="BI83" s="0" t="n">
        <v>0.204101583716792</v>
      </c>
      <c r="BJ83" s="0" t="n">
        <v>0.350061068970973</v>
      </c>
    </row>
    <row r="84" customFormat="false" ht="12.75" hidden="false" customHeight="false" outlineLevel="0" collapsed="false">
      <c r="BG84" s="0" t="n">
        <v>3.91525423728814</v>
      </c>
      <c r="BH84" s="0" t="n">
        <v>0.14577363014852</v>
      </c>
      <c r="BI84" s="0" t="n">
        <v>0.204287438822453</v>
      </c>
      <c r="BJ84" s="0" t="n">
        <v>0.350061068970973</v>
      </c>
    </row>
    <row r="85" customFormat="false" ht="12.75" hidden="false" customHeight="false" outlineLevel="0" collapsed="false">
      <c r="BG85" s="0" t="n">
        <v>3.96610169491525</v>
      </c>
      <c r="BH85" s="0" t="n">
        <v>0.145784549736248</v>
      </c>
      <c r="BI85" s="0" t="n">
        <v>0.204276519234725</v>
      </c>
      <c r="BJ85" s="0" t="n">
        <v>0.350061068970973</v>
      </c>
    </row>
    <row r="86" customFormat="false" ht="12.75" hidden="false" customHeight="false" outlineLevel="0" collapsed="false">
      <c r="BG86" s="0" t="n">
        <v>4.01694915254237</v>
      </c>
      <c r="BH86" s="0" t="n">
        <v>0.146000251327099</v>
      </c>
      <c r="BI86" s="0" t="n">
        <v>0.204060817643874</v>
      </c>
      <c r="BJ86" s="0" t="n">
        <v>0.350061068970973</v>
      </c>
    </row>
    <row r="87" customFormat="false" ht="12.75" hidden="false" customHeight="false" outlineLevel="0" collapsed="false">
      <c r="BG87" s="0" t="n">
        <v>4.06779661016949</v>
      </c>
      <c r="BH87" s="0" t="n">
        <v>0.553694256351165</v>
      </c>
      <c r="BI87" s="0" t="n">
        <v>0.203633187380192</v>
      </c>
      <c r="BJ87" s="0" t="n">
        <v>0.350061068970973</v>
      </c>
    </row>
    <row r="88" customFormat="false" ht="12.75" hidden="false" customHeight="false" outlineLevel="0" collapsed="false">
      <c r="BG88" s="0" t="n">
        <v>4.11864406779661</v>
      </c>
      <c r="BH88" s="0" t="n">
        <v>0.147075887686907</v>
      </c>
      <c r="BI88" s="0" t="n">
        <v>0.202985181284066</v>
      </c>
      <c r="BJ88" s="0" t="n">
        <v>0.350061068970973</v>
      </c>
    </row>
    <row r="89" customFormat="false" ht="12.75" hidden="false" customHeight="false" outlineLevel="0" collapsed="false">
      <c r="BG89" s="0" t="n">
        <v>4.16949152542373</v>
      </c>
      <c r="BH89" s="0" t="n">
        <v>0.147952129009032</v>
      </c>
      <c r="BI89" s="0" t="n">
        <v>0.202108939961941</v>
      </c>
      <c r="BJ89" s="0" t="n">
        <v>0.350061068970973</v>
      </c>
    </row>
    <row r="90" customFormat="false" ht="12.75" hidden="false" customHeight="false" outlineLevel="0" collapsed="false">
      <c r="BG90" s="0" t="n">
        <v>4.22033898305085</v>
      </c>
      <c r="BH90" s="0" t="n">
        <v>0.14906465010265</v>
      </c>
      <c r="BI90" s="0" t="n">
        <v>0.200996418868323</v>
      </c>
      <c r="BJ90" s="0" t="n">
        <v>0.350061068970973</v>
      </c>
    </row>
    <row r="91" customFormat="false" ht="12.75" hidden="false" customHeight="false" outlineLevel="0" collapsed="false">
      <c r="BG91" s="0" t="n">
        <v>4.27118644067797</v>
      </c>
      <c r="BH91" s="0" t="n">
        <v>0.150421927239943</v>
      </c>
      <c r="BI91" s="0" t="n">
        <v>0.19963914173103</v>
      </c>
      <c r="BJ91" s="0" t="n">
        <v>0.350061068970973</v>
      </c>
    </row>
    <row r="92" customFormat="false" ht="12.75" hidden="false" customHeight="false" outlineLevel="0" collapsed="false">
      <c r="BG92" s="0" t="n">
        <v>4.32203389830509</v>
      </c>
      <c r="BH92" s="0" t="n">
        <v>0.152032016325667</v>
      </c>
      <c r="BI92" s="0" t="n">
        <v>0.198029052645306</v>
      </c>
      <c r="BJ92" s="0" t="n">
        <v>0.350061068970973</v>
      </c>
    </row>
    <row r="93" customFormat="false" ht="12.75" hidden="false" customHeight="false" outlineLevel="0" collapsed="false">
      <c r="BG93" s="0" t="n">
        <v>4.3728813559322</v>
      </c>
      <c r="BH93" s="0" t="n">
        <v>0.15390383408625</v>
      </c>
      <c r="BI93" s="0" t="n">
        <v>0.196157234884723</v>
      </c>
      <c r="BJ93" s="0" t="n">
        <v>0.350061068970973</v>
      </c>
    </row>
    <row r="94" customFormat="false" ht="12.75" hidden="false" customHeight="false" outlineLevel="0" collapsed="false">
      <c r="BG94" s="0" t="n">
        <v>4.42372881355932</v>
      </c>
      <c r="BH94" s="0" t="n">
        <v>0.544076594410947</v>
      </c>
      <c r="BI94" s="0" t="n">
        <v>0.194015525439974</v>
      </c>
      <c r="BJ94" s="0" t="n">
        <v>0.350061068970973</v>
      </c>
    </row>
    <row r="95" customFormat="false" ht="12.75" hidden="false" customHeight="false" outlineLevel="0" collapsed="false">
      <c r="BG95" s="0" t="n">
        <v>4.47457627118644</v>
      </c>
      <c r="BH95" s="0" t="n">
        <v>0.158466130994856</v>
      </c>
      <c r="BI95" s="0" t="n">
        <v>0.191594937976117</v>
      </c>
      <c r="BJ95" s="0" t="n">
        <v>0.350061068970973</v>
      </c>
    </row>
    <row r="96" customFormat="false" ht="12.75" hidden="false" customHeight="false" outlineLevel="0" collapsed="false">
      <c r="BG96" s="0" t="n">
        <v>4.52542372881356</v>
      </c>
      <c r="BH96" s="0" t="n">
        <v>0.538947711218359</v>
      </c>
      <c r="BI96" s="0" t="n">
        <v>0.188886642247385</v>
      </c>
      <c r="BJ96" s="0" t="n">
        <v>0.350061068970973</v>
      </c>
    </row>
    <row r="97" customFormat="false" ht="12.75" hidden="false" customHeight="false" outlineLevel="0" collapsed="false">
      <c r="BG97" s="0" t="n">
        <v>4.57627118644068</v>
      </c>
      <c r="BH97" s="0" t="n">
        <v>0.164179360260243</v>
      </c>
      <c r="BI97" s="0" t="n">
        <v>0.185881708710731</v>
      </c>
      <c r="BJ97" s="0" t="n">
        <v>0.350061068970973</v>
      </c>
    </row>
    <row r="98" customFormat="false" ht="12.75" hidden="false" customHeight="false" outlineLevel="0" collapsed="false">
      <c r="BG98" s="0" t="n">
        <v>4.6271186440678</v>
      </c>
      <c r="BH98" s="0" t="n">
        <v>0.532632108468661</v>
      </c>
      <c r="BI98" s="0" t="n">
        <v>0.182571039497688</v>
      </c>
      <c r="BJ98" s="0" t="n">
        <v>0.350061068970973</v>
      </c>
    </row>
    <row r="99" customFormat="false" ht="12.75" hidden="false" customHeight="false" outlineLevel="0" collapsed="false">
      <c r="BG99" s="0" t="n">
        <v>4.67796610169492</v>
      </c>
      <c r="BH99" s="0" t="n">
        <v>0.171115561707342</v>
      </c>
      <c r="BI99" s="0" t="n">
        <v>0.178945507263631</v>
      </c>
      <c r="BJ99" s="0" t="n">
        <v>0.350061068970973</v>
      </c>
    </row>
    <row r="100" customFormat="false" ht="12.75" hidden="false" customHeight="false" outlineLevel="0" collapsed="false">
      <c r="BG100" s="0" t="n">
        <v>4.72881355932203</v>
      </c>
      <c r="BH100" s="0" t="n">
        <v>0.175065299702572</v>
      </c>
      <c r="BI100" s="0" t="n">
        <v>0.174995769268401</v>
      </c>
      <c r="BJ100" s="0" t="n">
        <v>0.350061068970973</v>
      </c>
    </row>
    <row r="101" customFormat="false" ht="12.75" hidden="false" customHeight="false" outlineLevel="0" collapsed="false">
      <c r="BG101" s="0" t="n">
        <v>4.77966101694915</v>
      </c>
      <c r="BH101" s="0" t="n">
        <v>0.179349038420125</v>
      </c>
      <c r="BI101" s="0" t="n">
        <v>0.170712030550849</v>
      </c>
      <c r="BJ101" s="0" t="n">
        <v>0.350061068970973</v>
      </c>
    </row>
    <row r="102" customFormat="false" ht="12.75" hidden="false" customHeight="false" outlineLevel="0" collapsed="false">
      <c r="BG102" s="0" t="n">
        <v>4.83050847457627</v>
      </c>
      <c r="BH102" s="0" t="n">
        <v>0.183975493171915</v>
      </c>
      <c r="BI102" s="0" t="n">
        <v>0.166085575799058</v>
      </c>
      <c r="BJ102" s="0" t="n">
        <v>0.350061068970973</v>
      </c>
    </row>
    <row r="103" customFormat="false" ht="12.75" hidden="false" customHeight="false" outlineLevel="0" collapsed="false">
      <c r="BG103" s="0" t="n">
        <v>4.88135593220339</v>
      </c>
      <c r="BH103" s="0" t="n">
        <v>0.188954957110829</v>
      </c>
      <c r="BI103" s="0" t="n">
        <v>0.161106111860145</v>
      </c>
      <c r="BJ103" s="0" t="n">
        <v>0.350061068970973</v>
      </c>
    </row>
    <row r="104" customFormat="false" ht="12.75" hidden="false" customHeight="false" outlineLevel="0" collapsed="false">
      <c r="BG104" s="0" t="n">
        <v>4.93220338983051</v>
      </c>
      <c r="BH104" s="0" t="n">
        <v>0.194296828585654</v>
      </c>
      <c r="BI104" s="0" t="n">
        <v>0.155764240385319</v>
      </c>
      <c r="BJ104" s="0" t="n">
        <v>0.350061068970973</v>
      </c>
    </row>
    <row r="105" customFormat="false" ht="12.75" hidden="false" customHeight="false" outlineLevel="0" collapsed="false">
      <c r="BG105" s="0" t="n">
        <v>4.98305084745763</v>
      </c>
      <c r="BH105" s="0" t="n">
        <v>0.200011235596326</v>
      </c>
      <c r="BI105" s="0" t="n">
        <v>0.150049833374648</v>
      </c>
      <c r="BJ105" s="0" t="n">
        <v>0.350061068970973</v>
      </c>
    </row>
    <row r="106" customFormat="false" ht="12.75" hidden="false" customHeight="false" outlineLevel="0" collapsed="false">
      <c r="BG106" s="0" t="n">
        <v>5.03389830508475</v>
      </c>
      <c r="BH106" s="0" t="n">
        <v>0.494014197681911</v>
      </c>
      <c r="BI106" s="0" t="n">
        <v>0.143953128710938</v>
      </c>
      <c r="BJ106" s="0" t="n">
        <v>0.350061068970973</v>
      </c>
    </row>
    <row r="107" customFormat="false" ht="12.75" hidden="false" customHeight="false" outlineLevel="0" collapsed="false">
      <c r="BG107" s="0" t="n">
        <v>5.08474576271186</v>
      </c>
      <c r="BH107" s="0" t="n">
        <v>0.2125969475612</v>
      </c>
      <c r="BI107" s="0" t="n">
        <v>0.137464121409773</v>
      </c>
      <c r="BJ107" s="0" t="n">
        <v>0.350061068970973</v>
      </c>
    </row>
    <row r="108" customFormat="false" ht="12.75" hidden="false" customHeight="false" outlineLevel="0" collapsed="false">
      <c r="BG108" s="0" t="n">
        <v>5.13559322033898</v>
      </c>
      <c r="BH108" s="0" t="n">
        <v>0.480633395308822</v>
      </c>
      <c r="BI108" s="0" t="n">
        <v>0.130572326337848</v>
      </c>
      <c r="BJ108" s="0" t="n">
        <v>0.350061068970973</v>
      </c>
    </row>
    <row r="109" customFormat="false" ht="12.75" hidden="false" customHeight="false" outlineLevel="0" collapsed="false">
      <c r="BG109" s="0" t="n">
        <v>5.1864406779661</v>
      </c>
      <c r="BH109" s="0" t="n">
        <v>0.473328879673144</v>
      </c>
      <c r="BI109" s="0" t="n">
        <v>0.123267810702171</v>
      </c>
      <c r="BJ109" s="0" t="n">
        <v>0.350061068970973</v>
      </c>
    </row>
    <row r="110" customFormat="false" ht="12.75" hidden="false" customHeight="false" outlineLevel="0" collapsed="false">
      <c r="BG110" s="0" t="n">
        <v>5.23728813559322</v>
      </c>
      <c r="BH110" s="0" t="n">
        <v>0.234521382933577</v>
      </c>
      <c r="BI110" s="0" t="n">
        <v>0.115539686037396</v>
      </c>
      <c r="BJ110" s="0" t="n">
        <v>0.350061068970973</v>
      </c>
    </row>
    <row r="111" customFormat="false" ht="12.75" hidden="false" customHeight="false" outlineLevel="0" collapsed="false">
      <c r="BG111" s="0" t="n">
        <v>5.28813559322034</v>
      </c>
      <c r="BH111" s="0" t="n">
        <v>0.280104209806083</v>
      </c>
      <c r="BI111" s="0" t="n">
        <v>0.0699568591648907</v>
      </c>
      <c r="BJ111" s="0" t="n">
        <v>0.350061068970973</v>
      </c>
    </row>
    <row r="112" customFormat="false" ht="12.75" hidden="false" customHeight="false" outlineLevel="0" collapsed="false">
      <c r="BG112" s="0" t="n">
        <v>5.33898305084746</v>
      </c>
      <c r="BH112" s="0" t="n">
        <v>0.425435128730418</v>
      </c>
      <c r="BI112" s="0" t="n">
        <v>0.0753740597594443</v>
      </c>
      <c r="BJ112" s="0" t="n">
        <v>0.350061068970973</v>
      </c>
    </row>
    <row r="113" customFormat="false" ht="12.75" hidden="false" customHeight="false" outlineLevel="0" collapsed="false">
      <c r="BG113" s="0" t="n">
        <v>5.38983050847458</v>
      </c>
      <c r="BH113" s="0" t="n">
        <v>0.431179267604804</v>
      </c>
      <c r="BI113" s="0" t="n">
        <v>0.081118198633831</v>
      </c>
      <c r="BJ113" s="0" t="n">
        <v>0.350061068970973</v>
      </c>
    </row>
    <row r="114" customFormat="false" ht="12.75" hidden="false" customHeight="false" outlineLevel="0" collapsed="false">
      <c r="BG114" s="0" t="n">
        <v>5.4406779661017</v>
      </c>
      <c r="BH114" s="0" t="n">
        <v>0.437264842924651</v>
      </c>
      <c r="BI114" s="0" t="n">
        <v>0.0872037739536775</v>
      </c>
      <c r="BJ114" s="0" t="n">
        <v>0.350061068970973</v>
      </c>
    </row>
    <row r="115" customFormat="false" ht="12.75" hidden="false" customHeight="false" outlineLevel="0" collapsed="false">
      <c r="BG115" s="0" t="n">
        <v>5.49152542372881</v>
      </c>
      <c r="BH115" s="0" t="n">
        <v>0.443706746685731</v>
      </c>
      <c r="BI115" s="0" t="n">
        <v>0.0936456777147576</v>
      </c>
      <c r="BJ115" s="0" t="n">
        <v>0.350061068970973</v>
      </c>
    </row>
    <row r="116" customFormat="false" ht="12.75" hidden="false" customHeight="false" outlineLevel="0" collapsed="false">
      <c r="BG116" s="0" t="n">
        <v>5.54237288135593</v>
      </c>
      <c r="BH116" s="0" t="n">
        <v>0.450520265504476</v>
      </c>
      <c r="BI116" s="0" t="n">
        <v>0.100459196533503</v>
      </c>
      <c r="BJ116" s="0" t="n">
        <v>0.350061068970973</v>
      </c>
    </row>
    <row r="117" customFormat="false" ht="12.75" hidden="false" customHeight="false" outlineLevel="0" collapsed="false">
      <c r="BG117" s="0" t="n">
        <v>5.59322033898305</v>
      </c>
      <c r="BH117" s="0" t="n">
        <v>0.242401056837723</v>
      </c>
      <c r="BI117" s="0" t="n">
        <v>0.10766001213325</v>
      </c>
      <c r="BJ117" s="0" t="n">
        <v>0.350061068970973</v>
      </c>
    </row>
    <row r="118" customFormat="false" ht="12.75" hidden="false" customHeight="false" outlineLevel="0" collapsed="false">
      <c r="BG118" s="0" t="n">
        <v>5.64406779661017</v>
      </c>
      <c r="BH118" s="0" t="n">
        <v>0.23479686743792</v>
      </c>
      <c r="BI118" s="0" t="n">
        <v>0.115264201533054</v>
      </c>
      <c r="BJ118" s="0" t="n">
        <v>0.350061068970973</v>
      </c>
    </row>
    <row r="119" customFormat="false" ht="12.75" hidden="false" customHeight="false" outlineLevel="0" collapsed="false">
      <c r="BG119" s="0" t="n">
        <v>5.69491525423729</v>
      </c>
      <c r="BH119" s="0" t="n">
        <v>0.473349305919872</v>
      </c>
      <c r="BI119" s="0" t="n">
        <v>0.123288236948898</v>
      </c>
      <c r="BJ119" s="0" t="n">
        <v>0.350061068970973</v>
      </c>
    </row>
    <row r="120" customFormat="false" ht="12.75" hidden="false" customHeight="false" outlineLevel="0" collapsed="false">
      <c r="BG120" s="0" t="n">
        <v>5.74576271186441</v>
      </c>
      <c r="BH120" s="0" t="n">
        <v>0.481810054386966</v>
      </c>
      <c r="BI120" s="0" t="n">
        <v>0.131748985415993</v>
      </c>
      <c r="BJ120" s="0" t="n">
        <v>0.350061068970973</v>
      </c>
    </row>
    <row r="121" customFormat="false" ht="12.75" hidden="false" customHeight="false" outlineLevel="0" collapsed="false">
      <c r="BG121" s="0" t="n">
        <v>5.79661016949153</v>
      </c>
      <c r="BH121" s="0" t="n">
        <v>0.209397360826861</v>
      </c>
      <c r="BI121" s="0" t="n">
        <v>0.140663708144112</v>
      </c>
      <c r="BJ121" s="0" t="n">
        <v>0.350061068970973</v>
      </c>
    </row>
    <row r="122" customFormat="false" ht="12.75" hidden="false" customHeight="false" outlineLevel="0" collapsed="false">
      <c r="BG122" s="0" t="n">
        <v>5.84745762711864</v>
      </c>
      <c r="BH122" s="0" t="n">
        <v>0.200011009354355</v>
      </c>
      <c r="BI122" s="0" t="n">
        <v>0.150050059616618</v>
      </c>
      <c r="BJ122" s="0" t="n">
        <v>0.350061068970973</v>
      </c>
    </row>
    <row r="123" customFormat="false" ht="12.75" hidden="false" customHeight="false" outlineLevel="0" collapsed="false">
      <c r="BG123" s="0" t="n">
        <v>5.89830508474576</v>
      </c>
      <c r="BH123" s="0" t="n">
        <v>0.190134982523933</v>
      </c>
      <c r="BI123" s="0" t="n">
        <v>0.15992608644704</v>
      </c>
      <c r="BJ123" s="0" t="n">
        <v>0.350061068970973</v>
      </c>
    </row>
    <row r="124" customFormat="false" ht="12.75" hidden="false" customHeight="false" outlineLevel="0" collapsed="false">
      <c r="BG124" s="0" t="n">
        <v>5.94915254237288</v>
      </c>
      <c r="BH124" s="0" t="n">
        <v>0.179750842965558</v>
      </c>
      <c r="BI124" s="0" t="n">
        <v>0.170310226005415</v>
      </c>
      <c r="BJ124" s="0" t="n">
        <v>0.350061068970973</v>
      </c>
    </row>
    <row r="125" customFormat="false" ht="12.75" hidden="false" customHeight="false" outlineLevel="0" collapsed="false">
      <c r="BG125" s="0" t="n">
        <v>6</v>
      </c>
      <c r="BH125" s="0" t="n">
        <v>0.53128237379966</v>
      </c>
      <c r="BI125" s="0" t="n">
        <v>0.181221304828686</v>
      </c>
      <c r="BJ125" s="0" t="n">
        <v>0.350061068970973</v>
      </c>
    </row>
    <row r="126" customFormat="false" ht="12.75" hidden="false" customHeight="false" outlineLevel="0" collapsed="false">
      <c r="BG126" s="0" t="n">
        <v>6.05084745762712</v>
      </c>
      <c r="BH126" s="0" t="n">
        <v>0.157382532141663</v>
      </c>
      <c r="BI126" s="0" t="n">
        <v>0.192678536829311</v>
      </c>
      <c r="BJ126" s="0" t="n">
        <v>0.350061068970973</v>
      </c>
    </row>
    <row r="127" customFormat="false" ht="12.75" hidden="false" customHeight="false" outlineLevel="0" collapsed="false">
      <c r="BG127" s="0" t="n">
        <v>6.10169491525424</v>
      </c>
      <c r="BH127" s="0" t="n">
        <v>0.145359547654635</v>
      </c>
      <c r="BI127" s="0" t="n">
        <v>0.204701521316338</v>
      </c>
      <c r="BJ127" s="0" t="n">
        <v>0.350061068970973</v>
      </c>
    </row>
    <row r="128" customFormat="false" ht="12.75" hidden="false" customHeight="false" outlineLevel="0" collapsed="false">
      <c r="BG128" s="0" t="n">
        <v>6.15254237288136</v>
      </c>
      <c r="BH128" s="0" t="n">
        <v>0.13275082812776</v>
      </c>
      <c r="BI128" s="0" t="n">
        <v>0.217310240843213</v>
      </c>
      <c r="BJ128" s="0" t="n">
        <v>0.350061068970973</v>
      </c>
    </row>
    <row r="129" customFormat="false" ht="12.75" hidden="false" customHeight="false" outlineLevel="0" collapsed="false">
      <c r="BG129" s="0" t="n">
        <v>6.20338983050847</v>
      </c>
      <c r="BH129" s="0" t="n">
        <v>0.580586127868022</v>
      </c>
      <c r="BI129" s="0" t="n">
        <v>0.230525058897049</v>
      </c>
      <c r="BJ129" s="0" t="n">
        <v>0.350061068970973</v>
      </c>
    </row>
    <row r="130" customFormat="false" ht="12.75" hidden="false" customHeight="false" outlineLevel="0" collapsed="false">
      <c r="BG130" s="0" t="n">
        <v>6.25423728813559</v>
      </c>
      <c r="BH130" s="0" t="n">
        <v>0.594427786414301</v>
      </c>
      <c r="BI130" s="0" t="n">
        <v>0.244366717443328</v>
      </c>
      <c r="BJ130" s="0" t="n">
        <v>0.350061068970973</v>
      </c>
    </row>
    <row r="131" customFormat="false" ht="12.75" hidden="false" customHeight="false" outlineLevel="0" collapsed="false">
      <c r="BG131" s="0" t="n">
        <v>6.30508474576271</v>
      </c>
      <c r="BH131" s="0" t="n">
        <v>0.0912047346312727</v>
      </c>
      <c r="BI131" s="0" t="n">
        <v>0.258856334339701</v>
      </c>
      <c r="BJ131" s="0" t="n">
        <v>0.350061068970973</v>
      </c>
    </row>
    <row r="132" customFormat="false" ht="12.75" hidden="false" customHeight="false" outlineLevel="0" collapsed="false">
      <c r="BG132" s="0" t="n">
        <v>6.35593220338983</v>
      </c>
      <c r="BH132" s="0" t="n">
        <v>0.624076469603426</v>
      </c>
      <c r="BI132" s="0" t="n">
        <v>0.274015400632453</v>
      </c>
      <c r="BJ132" s="0" t="n">
        <v>0.350061068970973</v>
      </c>
    </row>
    <row r="133" customFormat="false" ht="12.75" hidden="false" customHeight="false" outlineLevel="0" collapsed="false">
      <c r="BG133" s="0" t="n">
        <v>6.40677966101695</v>
      </c>
      <c r="BH133" s="0" t="n">
        <v>0.639926846718915</v>
      </c>
      <c r="BI133" s="0" t="n">
        <v>0.289865777747941</v>
      </c>
      <c r="BJ133" s="0" t="n">
        <v>0.350061068970973</v>
      </c>
    </row>
    <row r="134" customFormat="false" ht="12.75" hidden="false" customHeight="false" outlineLevel="0" collapsed="false">
      <c r="BG134" s="0" t="n">
        <v>6.45762711864407</v>
      </c>
      <c r="BH134" s="0" t="n">
        <v>0.656490763562454</v>
      </c>
      <c r="BI134" s="0" t="n">
        <v>0.306429694591481</v>
      </c>
      <c r="BJ134" s="0" t="n">
        <v>0.350061068970973</v>
      </c>
    </row>
    <row r="135" customFormat="false" ht="12.75" hidden="false" customHeight="false" outlineLevel="0" collapsed="false">
      <c r="BG135" s="0" t="n">
        <v>6.50847457627119</v>
      </c>
      <c r="BH135" s="0" t="n">
        <v>0.0263313244068792</v>
      </c>
      <c r="BI135" s="0" t="n">
        <v>0.323729744564094</v>
      </c>
      <c r="BJ135" s="0" t="n">
        <v>0.350061068970973</v>
      </c>
    </row>
    <row r="136" customFormat="false" ht="12.75" hidden="false" customHeight="false" outlineLevel="0" collapsed="false">
      <c r="BG136" s="0" t="n">
        <v>6.55932203389831</v>
      </c>
      <c r="BH136" s="0" t="n">
        <v>0.0082721864624144</v>
      </c>
      <c r="BI136" s="0" t="n">
        <v>0.341788882508559</v>
      </c>
      <c r="BJ136" s="0" t="n">
        <v>0.350061068970973</v>
      </c>
    </row>
    <row r="137" customFormat="false" ht="12.75" hidden="false" customHeight="false" outlineLevel="0" collapsed="false">
      <c r="BG137" s="0" t="n">
        <v>6.61016949152542</v>
      </c>
      <c r="BH137" s="0" t="n">
        <v>0.710691490563395</v>
      </c>
      <c r="BI137" s="0" t="n">
        <v>0.360630421592422</v>
      </c>
      <c r="BJ137" s="0" t="n">
        <v>0.350061068970973</v>
      </c>
    </row>
    <row r="138" customFormat="false" ht="12.75" hidden="false" customHeight="false" outlineLevel="0" collapsed="false">
      <c r="BG138" s="0" t="n">
        <v>6.66101694915254</v>
      </c>
      <c r="BH138" s="0" t="n">
        <v>0.730339099108417</v>
      </c>
      <c r="BI138" s="0" t="n">
        <v>0.380278030137444</v>
      </c>
      <c r="BJ138" s="0" t="n">
        <v>0.350061068970973</v>
      </c>
    </row>
    <row r="139" customFormat="false" ht="12.75" hidden="false" customHeight="false" outlineLevel="0" collapsed="false">
      <c r="BG139" s="0" t="n">
        <v>6.71186440677966</v>
      </c>
      <c r="BH139" s="0" t="n">
        <v>-0.0506946594319347</v>
      </c>
      <c r="BI139" s="0" t="n">
        <v>0.400755728402908</v>
      </c>
      <c r="BJ139" s="0" t="n">
        <v>0.350061068970973</v>
      </c>
    </row>
    <row r="140" customFormat="false" ht="12.75" hidden="false" customHeight="false" outlineLevel="0" collapsed="false">
      <c r="BG140" s="0" t="n">
        <v>6.76271186440678</v>
      </c>
      <c r="BH140" s="0" t="n">
        <v>-0.07202681635585</v>
      </c>
      <c r="BI140" s="0" t="n">
        <v>0.422087885326823</v>
      </c>
      <c r="BJ140" s="0" t="n">
        <v>0.350061068970973</v>
      </c>
    </row>
    <row r="141" customFormat="false" ht="12.75" hidden="false" customHeight="false" outlineLevel="0" collapsed="false">
      <c r="BG141" s="0" t="n">
        <v>6.8135593220339</v>
      </c>
      <c r="BH141" s="0" t="n">
        <v>-0.0942381462620615</v>
      </c>
      <c r="BI141" s="0" t="n">
        <v>0.444299215233035</v>
      </c>
      <c r="BJ141" s="0" t="n">
        <v>0.350061068970973</v>
      </c>
    </row>
    <row r="142" customFormat="false" ht="12.75" hidden="false" customHeight="false" outlineLevel="0" collapsed="false">
      <c r="BG142" s="0" t="n">
        <v>6.86440677966102</v>
      </c>
      <c r="BH142" s="0" t="n">
        <v>-0.117353705535257</v>
      </c>
      <c r="BI142" s="0" t="n">
        <v>0.467414774506231</v>
      </c>
      <c r="BJ142" s="0" t="n">
        <v>0.350061068970973</v>
      </c>
    </row>
    <row r="143" customFormat="false" ht="12.75" hidden="false" customHeight="false" outlineLevel="0" collapsed="false">
      <c r="BG143" s="0" t="n">
        <v>6.91525423728814</v>
      </c>
      <c r="BH143" s="0" t="n">
        <v>0.841521027207926</v>
      </c>
      <c r="BI143" s="0" t="n">
        <v>0.491459958236953</v>
      </c>
      <c r="BJ143" s="0" t="n">
        <v>0.350061068970973</v>
      </c>
    </row>
    <row r="144" customFormat="false" ht="12.75" hidden="false" customHeight="false" outlineLevel="0" collapsed="false">
      <c r="BG144" s="0" t="n">
        <v>6.96610169491525</v>
      </c>
      <c r="BH144" s="0" t="n">
        <v>-0.166399427870831</v>
      </c>
      <c r="BI144" s="0" t="n">
        <v>0.516460496841804</v>
      </c>
      <c r="BJ144" s="0" t="n">
        <v>0.350061068970973</v>
      </c>
    </row>
    <row r="145" customFormat="false" ht="12.75" hidden="false" customHeight="false" outlineLevel="0" collapsed="false">
      <c r="BG145" s="0" t="n">
        <v>7.01694915254237</v>
      </c>
      <c r="BH145" s="0" t="n">
        <v>-0.192381383684048</v>
      </c>
      <c r="BI145" s="0" t="n">
        <v>0.542442452655021</v>
      </c>
      <c r="BJ145" s="0" t="n">
        <v>0.350061068970973</v>
      </c>
    </row>
    <row r="146" customFormat="false" ht="12.75" hidden="false" customHeight="false" outlineLevel="0" collapsed="false">
      <c r="BG146" s="0" t="n">
        <v>7.06779661016949</v>
      </c>
      <c r="BH146" s="0" t="n">
        <v>0.91949328546768</v>
      </c>
      <c r="BI146" s="0" t="n">
        <v>0.569432216496707</v>
      </c>
      <c r="BJ146" s="0" t="n">
        <v>0.350061068970973</v>
      </c>
    </row>
    <row r="147" customFormat="false" ht="12.75" hidden="false" customHeight="false" outlineLevel="0" collapsed="false">
      <c r="BG147" s="0" t="n">
        <v>7.11864406779661</v>
      </c>
      <c r="BH147" s="0" t="n">
        <v>0.947517573181582</v>
      </c>
      <c r="BI147" s="0" t="n">
        <v>0.597456504210609</v>
      </c>
      <c r="BJ147" s="0" t="n">
        <v>0.350061068970973</v>
      </c>
    </row>
    <row r="148" customFormat="false" ht="12.75" hidden="false" customHeight="false" outlineLevel="0" collapsed="false">
      <c r="BG148" s="0" t="n">
        <v>7.16949152542373</v>
      </c>
      <c r="BH148" s="0" t="n">
        <v>0.976603422147427</v>
      </c>
      <c r="BI148" s="0" t="n">
        <v>0.626542353176454</v>
      </c>
      <c r="BJ148" s="0" t="n">
        <v>0.350061068970973</v>
      </c>
    </row>
    <row r="149" customFormat="false" ht="12.75" hidden="false" customHeight="false" outlineLevel="0" collapsed="false">
      <c r="BG149" s="0" t="n">
        <v>7.22033898305085</v>
      </c>
      <c r="BH149" s="0" t="n">
        <v>1.0067781877605</v>
      </c>
      <c r="BI149" s="0" t="n">
        <v>0.65671711878953</v>
      </c>
      <c r="BJ149" s="0" t="n">
        <v>0.350061068970973</v>
      </c>
    </row>
    <row r="150" customFormat="false" ht="12.75" hidden="false" customHeight="false" outlineLevel="0" collapsed="false">
      <c r="BG150" s="0" t="n">
        <v>7.27118644067797</v>
      </c>
      <c r="BH150" s="0" t="n">
        <v>-0.337947401933962</v>
      </c>
      <c r="BI150" s="0" t="n">
        <v>0.688008470904935</v>
      </c>
      <c r="BJ150" s="0" t="n">
        <v>0.350061068970973</v>
      </c>
    </row>
    <row r="151" customFormat="false" ht="12.75" hidden="false" customHeight="false" outlineLevel="0" collapsed="false">
      <c r="BG151" s="0" t="n">
        <v>7.32203389830509</v>
      </c>
      <c r="BH151" s="0" t="n">
        <v>-0.370383321276214</v>
      </c>
      <c r="BI151" s="0" t="n">
        <v>0.720444390247187</v>
      </c>
      <c r="BJ151" s="0" t="n">
        <v>0.350061068970973</v>
      </c>
    </row>
    <row r="152" customFormat="false" ht="12.75" hidden="false" customHeight="false" outlineLevel="0" collapsed="false">
      <c r="BG152" s="0" t="n">
        <v>7.3728813559322</v>
      </c>
      <c r="BH152" s="0" t="n">
        <v>1.10411423374717</v>
      </c>
      <c r="BI152" s="0" t="n">
        <v>0.754053164776201</v>
      </c>
      <c r="BJ152" s="0" t="n">
        <v>0.350061068970973</v>
      </c>
    </row>
    <row r="153" customFormat="false" ht="12.75" hidden="false" customHeight="false" outlineLevel="0" collapsed="false">
      <c r="BG153" s="0" t="n">
        <v>7.42372881355932</v>
      </c>
      <c r="BH153" s="0" t="n">
        <v>-0.43880231703832</v>
      </c>
      <c r="BI153" s="0" t="n">
        <v>0.788863386009294</v>
      </c>
      <c r="BJ153" s="0" t="n">
        <v>0.350061068970973</v>
      </c>
    </row>
    <row r="154" customFormat="false" ht="12.75" hidden="false" customHeight="false" outlineLevel="0" collapsed="false">
      <c r="BG154" s="0" t="n">
        <v>7.47457627118644</v>
      </c>
      <c r="BH154" s="0" t="n">
        <v>1.17496501426189</v>
      </c>
      <c r="BI154" s="0" t="n">
        <v>0.824903945290915</v>
      </c>
      <c r="BJ154" s="0" t="n">
        <v>0.350061068970973</v>
      </c>
    </row>
    <row r="155" customFormat="false" ht="12.75" hidden="false" customHeight="false" outlineLevel="0" collapsed="false">
      <c r="BG155" s="0" t="n">
        <v>7.52542372881356</v>
      </c>
      <c r="BH155" s="0" t="n">
        <v>1.21226509898405</v>
      </c>
      <c r="BI155" s="0" t="n">
        <v>0.862204030013076</v>
      </c>
      <c r="BJ155" s="0" t="n">
        <v>0.350061068970973</v>
      </c>
    </row>
    <row r="156" customFormat="false" ht="12.75" hidden="false" customHeight="false" outlineLevel="0" collapsed="false">
      <c r="BG156" s="0" t="n">
        <v>7.57627118644068</v>
      </c>
      <c r="BH156" s="0" t="n">
        <v>-0.550732050801827</v>
      </c>
      <c r="BI156" s="0" t="n">
        <v>0.900793119772801</v>
      </c>
      <c r="BJ156" s="0" t="n">
        <v>0.350061068970973</v>
      </c>
    </row>
    <row r="157" customFormat="false" ht="12.75" hidden="false" customHeight="false" outlineLevel="0" collapsed="false">
      <c r="BG157" s="0" t="n">
        <v>7.6271186440678</v>
      </c>
      <c r="BH157" s="0" t="n">
        <v>1.29076205143884</v>
      </c>
      <c r="BI157" s="0" t="n">
        <v>0.940700982467862</v>
      </c>
      <c r="BJ157" s="0" t="n">
        <v>0.350061068970973</v>
      </c>
    </row>
    <row r="158" customFormat="false" ht="12.75" hidden="false" customHeight="false" outlineLevel="0" collapsed="false">
      <c r="BG158" s="0" t="n">
        <v>7.67796610169492</v>
      </c>
      <c r="BH158" s="0" t="n">
        <v>1.33201873930027</v>
      </c>
      <c r="BI158" s="0" t="n">
        <v>0.981957670329297</v>
      </c>
      <c r="BJ158" s="0" t="n">
        <v>0.350061068970973</v>
      </c>
    </row>
    <row r="159" customFormat="false" ht="12.75" hidden="false" customHeight="false" outlineLevel="0" collapsed="false">
      <c r="BG159" s="0" t="n">
        <v>7.72881355932203</v>
      </c>
      <c r="BH159" s="0" t="n">
        <v>1.37465458485585</v>
      </c>
      <c r="BI159" s="0" t="n">
        <v>1.02459351588488</v>
      </c>
      <c r="BJ159" s="0" t="n">
        <v>0.350061068970973</v>
      </c>
    </row>
    <row r="160" customFormat="false" ht="12.75" hidden="false" customHeight="false" outlineLevel="0" collapsed="false">
      <c r="BG160" s="0" t="n">
        <v>7.77966101694915</v>
      </c>
      <c r="BH160" s="0" t="n">
        <v>-0.718578058885804</v>
      </c>
      <c r="BI160" s="0" t="n">
        <v>1.06863912785678</v>
      </c>
      <c r="BJ160" s="0" t="n">
        <v>0.350061068970973</v>
      </c>
    </row>
    <row r="161" customFormat="false" ht="12.75" hidden="false" customHeight="false" outlineLevel="0" collapsed="false">
      <c r="BG161" s="0" t="n">
        <v>7.83050847457627</v>
      </c>
      <c r="BH161" s="0" t="n">
        <v>-0.763925483324113</v>
      </c>
      <c r="BI161" s="0" t="n">
        <v>1.11398655229509</v>
      </c>
      <c r="BJ161" s="0" t="n">
        <v>0.350061068970973</v>
      </c>
    </row>
    <row r="162" customFormat="false" ht="12.75" hidden="false" customHeight="false" outlineLevel="0" collapsed="false">
      <c r="BG162" s="0" t="n">
        <v>7.88135593220339</v>
      </c>
      <c r="BH162" s="0" t="n">
        <v>-0.810371681014828</v>
      </c>
      <c r="BI162" s="0" t="n">
        <v>1.1604327499858</v>
      </c>
      <c r="BJ162" s="0" t="n">
        <v>0.350061068970973</v>
      </c>
    </row>
    <row r="163" customFormat="false" ht="12.75" hidden="false" customHeight="false" outlineLevel="0" collapsed="false">
      <c r="BG163" s="0" t="n">
        <v>7.93220338983051</v>
      </c>
      <c r="BH163" s="0" t="n">
        <v>-0.857928366950459</v>
      </c>
      <c r="BI163" s="0" t="n">
        <v>1.20798943592143</v>
      </c>
      <c r="BJ163" s="0" t="n">
        <v>0.350061068970973</v>
      </c>
    </row>
    <row r="164" customFormat="false" ht="12.75" hidden="false" customHeight="false" outlineLevel="0" collapsed="false">
      <c r="BG164" s="0" t="n">
        <v>7.98305084745763</v>
      </c>
      <c r="BH164" s="0" t="n">
        <v>1.60673279673371</v>
      </c>
      <c r="BI164" s="0" t="n">
        <v>1.25667172776274</v>
      </c>
      <c r="BJ164" s="0" t="n">
        <v>0.350061068970973</v>
      </c>
    </row>
    <row r="165" customFormat="false" ht="12.75" hidden="false" customHeight="false" outlineLevel="0" collapsed="false">
      <c r="BG165" s="0" t="n">
        <v>8.03389830508475</v>
      </c>
      <c r="BH165" s="0" t="n">
        <v>1.6565568383293</v>
      </c>
      <c r="BI165" s="0" t="n">
        <v>1.30649576935832</v>
      </c>
      <c r="BJ165" s="0" t="n">
        <v>0.350061068970973</v>
      </c>
    </row>
    <row r="166" customFormat="false" ht="12.75" hidden="false" customHeight="false" outlineLevel="0" collapsed="false">
      <c r="BG166" s="0" t="n">
        <v>8.08474576271186</v>
      </c>
      <c r="BH166" s="0" t="n">
        <v>-1.0074174043288</v>
      </c>
      <c r="BI166" s="0" t="n">
        <v>1.35747847329977</v>
      </c>
      <c r="BJ166" s="0" t="n">
        <v>0.350061068970973</v>
      </c>
    </row>
    <row r="167" customFormat="false" ht="12.75" hidden="false" customHeight="false" outlineLevel="0" collapsed="false">
      <c r="BG167" s="0" t="n">
        <v>8.13559322033898</v>
      </c>
      <c r="BH167" s="0" t="n">
        <v>-1.05957306945598</v>
      </c>
      <c r="BI167" s="0" t="n">
        <v>1.40963413842696</v>
      </c>
      <c r="BJ167" s="0" t="n">
        <v>0.350061068970973</v>
      </c>
    </row>
    <row r="168" customFormat="false" ht="12.75" hidden="false" customHeight="false" outlineLevel="0" collapsed="false">
      <c r="BG168" s="0" t="n">
        <v>8.1864406779661</v>
      </c>
      <c r="BH168" s="0" t="n">
        <v>-1.11291911614415</v>
      </c>
      <c r="BI168" s="0" t="n">
        <v>1.46298018511513</v>
      </c>
      <c r="BJ168" s="0" t="n">
        <v>0.350061068970973</v>
      </c>
    </row>
    <row r="169" customFormat="false" ht="12.75" hidden="false" customHeight="false" outlineLevel="0" collapsed="false">
      <c r="BG169" s="0" t="n">
        <v>8.23728813559322</v>
      </c>
      <c r="BH169" s="0" t="n">
        <v>1.86759309908133</v>
      </c>
      <c r="BI169" s="0" t="n">
        <v>1.51753203011035</v>
      </c>
      <c r="BJ169" s="0" t="n">
        <v>0.350061068970973</v>
      </c>
    </row>
    <row r="170" customFormat="false" ht="12.75" hidden="false" customHeight="false" outlineLevel="0" collapsed="false">
      <c r="BG170" s="0" t="n">
        <v>8.28813559322034</v>
      </c>
      <c r="BH170" s="0" t="n">
        <v>1.92336732712067</v>
      </c>
      <c r="BI170" s="0" t="n">
        <v>1.57330625814969</v>
      </c>
      <c r="BJ170" s="0" t="n">
        <v>0.350061068970973</v>
      </c>
    </row>
    <row r="171" customFormat="false" ht="12.75" hidden="false" customHeight="false" outlineLevel="0" collapsed="false">
      <c r="BG171" s="0" t="n">
        <v>8.33898305084746</v>
      </c>
      <c r="BH171" s="0" t="n">
        <v>1.98038068886635</v>
      </c>
      <c r="BI171" s="0" t="n">
        <v>1.63031961989537</v>
      </c>
      <c r="BJ171" s="0" t="n">
        <v>0.350061068970973</v>
      </c>
    </row>
    <row r="172" customFormat="false" ht="12.75" hidden="false" customHeight="false" outlineLevel="0" collapsed="false">
      <c r="BG172" s="0" t="n">
        <v>8.38983050847458</v>
      </c>
      <c r="BH172" s="0" t="n">
        <v>-1.33852699190386</v>
      </c>
      <c r="BI172" s="0" t="n">
        <v>1.68858806087484</v>
      </c>
      <c r="BJ172" s="0" t="n">
        <v>0.350061068970973</v>
      </c>
    </row>
    <row r="173" customFormat="false" ht="12.75" hidden="false" customHeight="false" outlineLevel="0" collapsed="false">
      <c r="BG173" s="0" t="n">
        <v>8.4406779661017</v>
      </c>
      <c r="BH173" s="0" t="n">
        <v>-1.39806789729587</v>
      </c>
      <c r="BI173" s="0" t="n">
        <v>1.74812896626684</v>
      </c>
      <c r="BJ173" s="0" t="n">
        <v>0.350061068970973</v>
      </c>
    </row>
    <row r="174" customFormat="false" ht="12.75" hidden="false" customHeight="false" outlineLevel="0" collapsed="false">
      <c r="BG174" s="0" t="n">
        <v>8.49152542372881</v>
      </c>
      <c r="BH174" s="0" t="n">
        <v>-1.45889782865134</v>
      </c>
      <c r="BI174" s="0" t="n">
        <v>1.80895889762232</v>
      </c>
      <c r="BJ174" s="0" t="n">
        <v>0.350061068970973</v>
      </c>
    </row>
    <row r="175" customFormat="false" ht="12.75" hidden="false" customHeight="false" outlineLevel="0" collapsed="false">
      <c r="BG175" s="0" t="n">
        <v>8.54237288135593</v>
      </c>
      <c r="BH175" s="0" t="n">
        <v>-1.52103404603128</v>
      </c>
      <c r="BI175" s="0" t="n">
        <v>1.87109511500225</v>
      </c>
      <c r="BJ175" s="0" t="n">
        <v>0.350061068970973</v>
      </c>
    </row>
    <row r="176" customFormat="false" ht="12.75" hidden="false" customHeight="false" outlineLevel="0" collapsed="false">
      <c r="BG176" s="0" t="n">
        <v>8.59322033898305</v>
      </c>
      <c r="BH176" s="0" t="n">
        <v>-1.58449369269499</v>
      </c>
      <c r="BI176" s="0" t="n">
        <v>1.93455476166596</v>
      </c>
      <c r="BJ176" s="0" t="n">
        <v>0.350061068970973</v>
      </c>
    </row>
    <row r="177" customFormat="false" ht="12.75" hidden="false" customHeight="false" outlineLevel="0" collapsed="false">
      <c r="BG177" s="0" t="n">
        <v>8.64406779661017</v>
      </c>
      <c r="BH177" s="0" t="n">
        <v>-1.64929398056536</v>
      </c>
      <c r="BI177" s="0" t="n">
        <v>1.99935504953633</v>
      </c>
      <c r="BJ177" s="0" t="n">
        <v>0.350061068970973</v>
      </c>
    </row>
    <row r="178" customFormat="false" ht="12.75" hidden="false" customHeight="false" outlineLevel="0" collapsed="false">
      <c r="BG178" s="0" t="n">
        <v>8.69491525423729</v>
      </c>
      <c r="BH178" s="0" t="n">
        <v>2.41557441197044</v>
      </c>
      <c r="BI178" s="0" t="n">
        <v>2.06551334299947</v>
      </c>
      <c r="BJ178" s="0" t="n">
        <v>0.350061068970973</v>
      </c>
    </row>
    <row r="179" customFormat="false" ht="12.75" hidden="false" customHeight="false" outlineLevel="0" collapsed="false">
      <c r="BG179" s="0" t="n">
        <v>8.74576271186441</v>
      </c>
      <c r="BH179" s="0" t="n">
        <v>-1.78298667092121</v>
      </c>
      <c r="BI179" s="0" t="n">
        <v>2.13304773989218</v>
      </c>
      <c r="BJ179" s="0" t="n">
        <v>0.350061068970973</v>
      </c>
    </row>
    <row r="180" customFormat="false" ht="12.75" hidden="false" customHeight="false" outlineLevel="0" collapsed="false">
      <c r="BG180" s="0" t="n">
        <v>8.79661016949153</v>
      </c>
      <c r="BH180" s="0" t="n">
        <v>2.55203730549063</v>
      </c>
      <c r="BI180" s="0" t="n">
        <v>2.20197623651966</v>
      </c>
      <c r="BJ180" s="0" t="n">
        <v>0.350061068970973</v>
      </c>
    </row>
    <row r="181" customFormat="false" ht="12.75" hidden="false" customHeight="false" outlineLevel="0" collapsed="false">
      <c r="BG181" s="0" t="n">
        <v>8.84745762711865</v>
      </c>
      <c r="BH181" s="0" t="n">
        <v>2.62237764757544</v>
      </c>
      <c r="BI181" s="0" t="n">
        <v>2.27231657860447</v>
      </c>
      <c r="BJ181" s="0" t="n">
        <v>0.350061068970973</v>
      </c>
    </row>
    <row r="182" customFormat="false" ht="12.75" hidden="false" customHeight="false" outlineLevel="0" collapsed="false">
      <c r="BG182" s="0" t="n">
        <v>8.89830508474576</v>
      </c>
      <c r="BH182" s="0" t="n">
        <v>-1.99402589434849</v>
      </c>
      <c r="BI182" s="0" t="n">
        <v>2.34408696331946</v>
      </c>
      <c r="BJ182" s="0" t="n">
        <v>0.350061068970973</v>
      </c>
    </row>
    <row r="183" customFormat="false" ht="12.75" hidden="false" customHeight="false" outlineLevel="0" collapsed="false">
      <c r="BG183" s="0" t="n">
        <v>8.94915254237288</v>
      </c>
      <c r="BH183" s="0" t="n">
        <v>2.76736704165533</v>
      </c>
      <c r="BI183" s="0" t="n">
        <v>2.41730597268435</v>
      </c>
      <c r="BJ183" s="0" t="n">
        <v>0.350061068970973</v>
      </c>
    </row>
    <row r="184" customFormat="false" ht="12.75" hidden="false" customHeight="false" outlineLevel="0" collapsed="false">
      <c r="BG184" s="0" t="n">
        <v>9</v>
      </c>
      <c r="BH184" s="0" t="n">
        <v>2.84205399106668</v>
      </c>
      <c r="BI184" s="0" t="n">
        <v>2.49199292209571</v>
      </c>
      <c r="BJ184" s="0" t="n">
        <v>0.350061068970973</v>
      </c>
    </row>
  </sheetData>
  <mergeCells count="6">
    <mergeCell ref="A11:I11"/>
    <mergeCell ref="B13:D13"/>
    <mergeCell ref="F13:H13"/>
    <mergeCell ref="B19:G19"/>
    <mergeCell ref="B24:H24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3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R8" activeCellId="0" sqref="R8"/>
    </sheetView>
  </sheetViews>
  <sheetFormatPr defaultColWidth="9.0546875" defaultRowHeight="12.75" customHeight="false" zeroHeight="false" outlineLevelRow="0" outlineLevelCol="0"/>
  <sheetData>
    <row r="1" customFormat="false" ht="38.25" hidden="false" customHeight="false" outlineLevel="0" collapsed="false">
      <c r="A1" s="1" t="s">
        <v>18</v>
      </c>
      <c r="B1" s="1" t="s">
        <v>10</v>
      </c>
      <c r="E1" s="1" t="s">
        <v>18</v>
      </c>
      <c r="F1" s="1" t="s">
        <v>10</v>
      </c>
      <c r="I1" s="1" t="s">
        <v>18</v>
      </c>
      <c r="J1" s="1" t="s">
        <v>10</v>
      </c>
      <c r="M1" s="1" t="s">
        <v>18</v>
      </c>
      <c r="N1" s="1" t="s">
        <v>10</v>
      </c>
      <c r="Q1" s="1" t="s">
        <v>18</v>
      </c>
      <c r="R1" s="1" t="s">
        <v>10</v>
      </c>
      <c r="U1" s="1" t="s">
        <v>18</v>
      </c>
      <c r="V1" s="1" t="s">
        <v>10</v>
      </c>
      <c r="Y1" s="1" t="s">
        <v>18</v>
      </c>
      <c r="Z1" s="1" t="s">
        <v>10</v>
      </c>
      <c r="AC1" s="1" t="s">
        <v>18</v>
      </c>
      <c r="AD1" s="1" t="s">
        <v>10</v>
      </c>
    </row>
    <row r="2" customFormat="false" ht="12.75" hidden="false" customHeight="false" outlineLevel="0" collapsed="false">
      <c r="A2" s="6" t="s">
        <v>65</v>
      </c>
      <c r="B2" s="6" t="s">
        <v>57</v>
      </c>
      <c r="E2" s="6" t="s">
        <v>65</v>
      </c>
      <c r="F2" s="6" t="s">
        <v>57</v>
      </c>
      <c r="I2" s="6" t="s">
        <v>65</v>
      </c>
      <c r="J2" s="6" t="s">
        <v>57</v>
      </c>
      <c r="M2" s="6" t="s">
        <v>65</v>
      </c>
      <c r="N2" s="6" t="s">
        <v>57</v>
      </c>
      <c r="Q2" s="6" t="s">
        <v>65</v>
      </c>
      <c r="R2" s="6" t="s">
        <v>57</v>
      </c>
      <c r="U2" s="6" t="s">
        <v>65</v>
      </c>
      <c r="V2" s="6" t="s">
        <v>57</v>
      </c>
      <c r="Y2" s="6" t="s">
        <v>65</v>
      </c>
      <c r="Z2" s="6" t="s">
        <v>57</v>
      </c>
      <c r="AC2" s="6" t="s">
        <v>65</v>
      </c>
      <c r="AD2" s="6" t="s">
        <v>57</v>
      </c>
    </row>
    <row r="3" customFormat="false" ht="12.75" hidden="false" customHeight="false" outlineLevel="0" collapsed="false">
      <c r="A3" s="34" t="n">
        <v>3</v>
      </c>
      <c r="B3" s="13" t="n">
        <v>20</v>
      </c>
      <c r="E3" s="34" t="n">
        <v>4</v>
      </c>
      <c r="F3" s="13" t="n">
        <v>20</v>
      </c>
      <c r="I3" s="34" t="n">
        <v>6</v>
      </c>
      <c r="J3" s="13" t="n">
        <v>20</v>
      </c>
      <c r="M3" s="34" t="n">
        <v>8</v>
      </c>
      <c r="N3" s="13" t="n">
        <v>20</v>
      </c>
      <c r="Q3" s="34" t="n">
        <v>3</v>
      </c>
      <c r="R3" s="13" t="n">
        <v>24</v>
      </c>
      <c r="U3" s="34" t="n">
        <v>4</v>
      </c>
      <c r="V3" s="13" t="n">
        <v>24</v>
      </c>
      <c r="Y3" s="34" t="n">
        <v>6</v>
      </c>
      <c r="Z3" s="13" t="n">
        <v>24</v>
      </c>
      <c r="AC3" s="34" t="n">
        <v>8</v>
      </c>
      <c r="AD3" s="13" t="n">
        <v>24</v>
      </c>
    </row>
    <row r="4" customFormat="false" ht="38.25" hidden="false" customHeight="false" outlineLevel="0" collapsed="false">
      <c r="A4" s="1" t="s">
        <v>19</v>
      </c>
      <c r="B4" s="4" t="s">
        <v>42</v>
      </c>
      <c r="C4" s="4"/>
      <c r="E4" s="1" t="s">
        <v>19</v>
      </c>
      <c r="F4" s="4" t="s">
        <v>42</v>
      </c>
      <c r="G4" s="4"/>
      <c r="I4" s="1" t="s">
        <v>19</v>
      </c>
      <c r="J4" s="4" t="s">
        <v>42</v>
      </c>
      <c r="K4" s="4"/>
      <c r="M4" s="1" t="s">
        <v>19</v>
      </c>
      <c r="N4" s="4" t="s">
        <v>42</v>
      </c>
      <c r="O4" s="4"/>
      <c r="Q4" s="1" t="s">
        <v>19</v>
      </c>
      <c r="R4" s="4" t="s">
        <v>42</v>
      </c>
      <c r="S4" s="4"/>
      <c r="U4" s="1" t="s">
        <v>19</v>
      </c>
      <c r="V4" s="4" t="s">
        <v>42</v>
      </c>
      <c r="W4" s="4"/>
      <c r="Y4" s="1" t="s">
        <v>19</v>
      </c>
      <c r="Z4" s="4" t="s">
        <v>42</v>
      </c>
      <c r="AA4" s="4"/>
      <c r="AC4" s="1" t="s">
        <v>19</v>
      </c>
      <c r="AD4" s="4" t="s">
        <v>42</v>
      </c>
      <c r="AE4" s="4"/>
    </row>
    <row r="5" customFormat="false" ht="12.75" hidden="false" customHeight="false" outlineLevel="0" collapsed="false">
      <c r="A5" s="6" t="s">
        <v>66</v>
      </c>
      <c r="B5" s="6" t="s">
        <v>83</v>
      </c>
      <c r="C5" s="6" t="s">
        <v>77</v>
      </c>
      <c r="E5" s="6" t="s">
        <v>66</v>
      </c>
      <c r="F5" s="6" t="s">
        <v>83</v>
      </c>
      <c r="G5" s="6" t="s">
        <v>77</v>
      </c>
      <c r="I5" s="6" t="s">
        <v>66</v>
      </c>
      <c r="J5" s="6" t="s">
        <v>83</v>
      </c>
      <c r="K5" s="6" t="s">
        <v>77</v>
      </c>
      <c r="M5" s="6" t="s">
        <v>66</v>
      </c>
      <c r="N5" s="6" t="s">
        <v>83</v>
      </c>
      <c r="O5" s="6" t="s">
        <v>77</v>
      </c>
      <c r="Q5" s="6" t="s">
        <v>66</v>
      </c>
      <c r="R5" s="6" t="s">
        <v>83</v>
      </c>
      <c r="S5" s="6" t="s">
        <v>77</v>
      </c>
      <c r="U5" s="6" t="s">
        <v>66</v>
      </c>
      <c r="V5" s="6" t="s">
        <v>83</v>
      </c>
      <c r="W5" s="6" t="s">
        <v>77</v>
      </c>
      <c r="Y5" s="6" t="s">
        <v>66</v>
      </c>
      <c r="Z5" s="6" t="s">
        <v>83</v>
      </c>
      <c r="AA5" s="6" t="s">
        <v>77</v>
      </c>
      <c r="AC5" s="6" t="s">
        <v>66</v>
      </c>
      <c r="AD5" s="6" t="s">
        <v>83</v>
      </c>
      <c r="AE5" s="6" t="s">
        <v>77</v>
      </c>
    </row>
    <row r="6" customFormat="false" ht="12.75" hidden="false" customHeight="false" outlineLevel="0" collapsed="false">
      <c r="E6" s="0" t="n">
        <v>0</v>
      </c>
      <c r="F6" s="0" t="n">
        <v>8.72154211620184E-006</v>
      </c>
      <c r="G6" s="0" t="n">
        <v>0.0267805729910982</v>
      </c>
      <c r="I6" s="0" t="n">
        <v>0</v>
      </c>
      <c r="J6" s="0" t="n">
        <v>5.01880112254192E-006</v>
      </c>
      <c r="K6" s="0" t="n">
        <v>0.0267795303858429</v>
      </c>
      <c r="M6" s="0" t="n">
        <v>0</v>
      </c>
      <c r="N6" s="0" t="n">
        <v>6.08874867682258E-006</v>
      </c>
      <c r="O6" s="0" t="n">
        <v>0.0267784877805875</v>
      </c>
      <c r="U6" s="0" t="n">
        <v>0</v>
      </c>
      <c r="V6" s="0" t="n">
        <v>4.63331962351762E-005</v>
      </c>
      <c r="W6" s="0" t="n">
        <v>0.350061068970973</v>
      </c>
      <c r="Y6" s="0" t="n">
        <v>0</v>
      </c>
      <c r="Z6" s="0" t="n">
        <v>2.33304197255907E-005</v>
      </c>
      <c r="AA6" s="0" t="n">
        <v>0.350055530130554</v>
      </c>
      <c r="AC6" s="0" t="n">
        <v>0</v>
      </c>
      <c r="AD6" s="0" t="n">
        <v>2.91116934990204E-005</v>
      </c>
      <c r="AE6" s="0" t="n">
        <v>0.350049991290136</v>
      </c>
    </row>
    <row r="7" customFormat="false" ht="12.75" hidden="false" customHeight="false" outlineLevel="0" collapsed="false">
      <c r="E7" s="0" t="n">
        <v>0.0909090909090909</v>
      </c>
      <c r="F7" s="0" t="n">
        <v>0.000877436103431</v>
      </c>
      <c r="G7" s="0" t="n">
        <v>0.0267805729910982</v>
      </c>
      <c r="I7" s="0" t="n">
        <v>0.103896103896104</v>
      </c>
      <c r="J7" s="0" t="n">
        <v>0.000487696581091634</v>
      </c>
      <c r="K7" s="0" t="n">
        <v>0.0267795303858429</v>
      </c>
      <c r="M7" s="0" t="n">
        <v>0.12987012987013</v>
      </c>
      <c r="N7" s="0" t="n">
        <v>0.000612144577689771</v>
      </c>
      <c r="O7" s="0" t="n">
        <v>0.0267784877805875</v>
      </c>
      <c r="U7" s="0" t="n">
        <v>0.0909090909090909</v>
      </c>
      <c r="V7" s="0" t="n">
        <v>0.00466137879929772</v>
      </c>
      <c r="W7" s="0" t="n">
        <v>0.350061068970973</v>
      </c>
      <c r="Y7" s="0" t="n">
        <v>0.0909090909090909</v>
      </c>
      <c r="Z7" s="0" t="n">
        <v>0.00227535096168232</v>
      </c>
      <c r="AA7" s="0" t="n">
        <v>0.350055530130554</v>
      </c>
      <c r="AC7" s="0" t="n">
        <v>0.116883116883117</v>
      </c>
      <c r="AD7" s="0" t="n">
        <v>0.00292512466124339</v>
      </c>
      <c r="AE7" s="0" t="n">
        <v>0.350049991290136</v>
      </c>
    </row>
    <row r="8" customFormat="false" ht="12.75" hidden="false" customHeight="false" outlineLevel="0" collapsed="false">
      <c r="E8" s="0" t="n">
        <v>0.181818181818182</v>
      </c>
      <c r="F8" s="0" t="n">
        <v>0.00176650946451088</v>
      </c>
      <c r="G8" s="0" t="n">
        <v>0.0267805729910982</v>
      </c>
      <c r="I8" s="0" t="n">
        <v>0.207792207792208</v>
      </c>
      <c r="J8" s="0" t="n">
        <v>0.000946463607857851</v>
      </c>
      <c r="K8" s="0" t="n">
        <v>0.0267795303858429</v>
      </c>
      <c r="M8" s="0" t="n">
        <v>0.25974025974026</v>
      </c>
      <c r="N8" s="0" t="n">
        <v>0.00123160156601808</v>
      </c>
      <c r="O8" s="0" t="n">
        <v>0.0267784877805875</v>
      </c>
      <c r="U8" s="0" t="n">
        <v>0.181818181818182</v>
      </c>
      <c r="V8" s="0" t="n">
        <v>0.00938458038744827</v>
      </c>
      <c r="W8" s="0" t="n">
        <v>0.350061068970973</v>
      </c>
      <c r="Y8" s="0" t="n">
        <v>0.181818181818182</v>
      </c>
      <c r="Z8" s="0" t="n">
        <v>0.00443346094411633</v>
      </c>
      <c r="AA8" s="0" t="n">
        <v>0.350055530130554</v>
      </c>
      <c r="AC8" s="0" t="n">
        <v>0.233766233766234</v>
      </c>
      <c r="AD8" s="0" t="n">
        <v>0.0058814873246411</v>
      </c>
      <c r="AE8" s="0" t="n">
        <v>0.350049991290136</v>
      </c>
    </row>
    <row r="9" customFormat="false" ht="12.75" hidden="false" customHeight="false" outlineLevel="0" collapsed="false">
      <c r="E9" s="0" t="n">
        <v>0.272727272727273</v>
      </c>
      <c r="F9" s="0" t="n">
        <v>0.00266805240003497</v>
      </c>
      <c r="G9" s="0" t="n">
        <v>0.0267805729910982</v>
      </c>
      <c r="I9" s="0" t="n">
        <v>0.311688311688312</v>
      </c>
      <c r="J9" s="0" t="n">
        <v>0.00137521215333735</v>
      </c>
      <c r="K9" s="0" t="n">
        <v>0.0267795303858429</v>
      </c>
      <c r="M9" s="0" t="n">
        <v>0.38961038961039</v>
      </c>
      <c r="N9" s="0" t="n">
        <v>0.00185867702783185</v>
      </c>
      <c r="O9" s="0" t="n">
        <v>0.0267784877805875</v>
      </c>
      <c r="U9" s="0" t="n">
        <v>0.272727272727273</v>
      </c>
      <c r="V9" s="0" t="n">
        <v>0.0141740297667666</v>
      </c>
      <c r="W9" s="0" t="n">
        <v>0.350061068970973</v>
      </c>
      <c r="Y9" s="0" t="n">
        <v>0.272727272727273</v>
      </c>
      <c r="Z9" s="0" t="n">
        <v>0.00647083627243691</v>
      </c>
      <c r="AA9" s="0" t="n">
        <v>0.350055530130554</v>
      </c>
      <c r="AC9" s="0" t="n">
        <v>0.350649350649351</v>
      </c>
      <c r="AD9" s="0" t="n">
        <v>0.0088705727459282</v>
      </c>
      <c r="AE9" s="0" t="n">
        <v>0.350049991290136</v>
      </c>
    </row>
    <row r="10" customFormat="false" ht="12.75" hidden="false" customHeight="false" outlineLevel="0" collapsed="false">
      <c r="E10" s="0" t="n">
        <v>0.363636363636364</v>
      </c>
      <c r="F10" s="0" t="n">
        <v>0.0035826245917402</v>
      </c>
      <c r="G10" s="0" t="n">
        <v>0.0267805729910982</v>
      </c>
      <c r="I10" s="0" t="n">
        <v>0.415584415584416</v>
      </c>
      <c r="J10" s="0" t="n">
        <v>0.00177239803907218</v>
      </c>
      <c r="K10" s="0" t="n">
        <v>0.0267795303858429</v>
      </c>
      <c r="M10" s="0" t="n">
        <v>0.519480519480519</v>
      </c>
      <c r="N10" s="0" t="n">
        <v>0.00249330189439656</v>
      </c>
      <c r="O10" s="0" t="n">
        <v>0.0267784877805875</v>
      </c>
      <c r="U10" s="0" t="n">
        <v>0.363636363636364</v>
      </c>
      <c r="V10" s="0" t="n">
        <v>0.0190326942356131</v>
      </c>
      <c r="W10" s="0" t="n">
        <v>0.350061068970973</v>
      </c>
      <c r="Y10" s="0" t="n">
        <v>0.363636363636364</v>
      </c>
      <c r="Z10" s="0" t="n">
        <v>0.00838238338703602</v>
      </c>
      <c r="AA10" s="0" t="n">
        <v>0.350055530130554</v>
      </c>
      <c r="AC10" s="0" t="n">
        <v>0.467532467532468</v>
      </c>
      <c r="AD10" s="0" t="n">
        <v>0.011892366886236</v>
      </c>
      <c r="AE10" s="0" t="n">
        <v>0.350049991290136</v>
      </c>
    </row>
    <row r="11" customFormat="false" ht="12.75" hidden="false" customHeight="false" outlineLevel="0" collapsed="false">
      <c r="E11" s="0" t="n">
        <v>0.454545454545455</v>
      </c>
      <c r="F11" s="0" t="n">
        <v>0.0045106581050692</v>
      </c>
      <c r="G11" s="0" t="n">
        <v>0.0267805729910982</v>
      </c>
      <c r="I11" s="0" t="n">
        <v>0.519480519480519</v>
      </c>
      <c r="J11" s="0" t="n">
        <v>0.00213615742427174</v>
      </c>
      <c r="K11" s="0" t="n">
        <v>0.0267795303858429</v>
      </c>
      <c r="M11" s="0" t="n">
        <v>0.649350649350649</v>
      </c>
      <c r="N11" s="0" t="n">
        <v>0.0031351689914764</v>
      </c>
      <c r="O11" s="0" t="n">
        <v>0.0267784877805875</v>
      </c>
      <c r="U11" s="0" t="n">
        <v>0.454545454545455</v>
      </c>
      <c r="V11" s="0" t="n">
        <v>0.0239628683609218</v>
      </c>
      <c r="W11" s="0" t="n">
        <v>0.350061068970973</v>
      </c>
      <c r="Y11" s="0" t="n">
        <v>0.454545454545455</v>
      </c>
      <c r="Z11" s="0" t="n">
        <v>0.010161924389015</v>
      </c>
      <c r="AA11" s="0" t="n">
        <v>0.350055530130554</v>
      </c>
      <c r="AC11" s="0" t="n">
        <v>0.584415584415585</v>
      </c>
      <c r="AD11" s="0" t="n">
        <v>0.0149459817654454</v>
      </c>
      <c r="AE11" s="0" t="n">
        <v>0.350049991290136</v>
      </c>
    </row>
    <row r="12" customFormat="false" ht="12.75" hidden="false" customHeight="false" outlineLevel="0" collapsed="false">
      <c r="E12" s="0" t="n">
        <v>0.545454545454545</v>
      </c>
      <c r="F12" s="0" t="n">
        <v>0.00545249357588288</v>
      </c>
      <c r="G12" s="0" t="n">
        <v>0.0267805729910982</v>
      </c>
      <c r="I12" s="0" t="n">
        <v>0.623376623376623</v>
      </c>
      <c r="J12" s="0" t="n">
        <v>0.00246437920487587</v>
      </c>
      <c r="K12" s="0" t="n">
        <v>0.0267795303858429</v>
      </c>
      <c r="M12" s="0" t="n">
        <v>0.779220779220779</v>
      </c>
      <c r="N12" s="0" t="n">
        <v>0.00378374801285009</v>
      </c>
      <c r="O12" s="0" t="n">
        <v>0.0267784877805875</v>
      </c>
      <c r="U12" s="0" t="n">
        <v>0.545454545454545</v>
      </c>
      <c r="V12" s="0" t="n">
        <v>0.0289663685072493</v>
      </c>
      <c r="W12" s="0" t="n">
        <v>0.350061068970973</v>
      </c>
      <c r="Y12" s="0" t="n">
        <v>0.545454545454545</v>
      </c>
      <c r="Z12" s="0" t="n">
        <v>0.0118024156196351</v>
      </c>
      <c r="AA12" s="0" t="n">
        <v>0.350055530130554</v>
      </c>
      <c r="AC12" s="0" t="n">
        <v>0.701298701298701</v>
      </c>
      <c r="AD12" s="0" t="n">
        <v>0.0180297358522593</v>
      </c>
      <c r="AE12" s="0" t="n">
        <v>0.350049991290136</v>
      </c>
    </row>
    <row r="13" customFormat="false" ht="12.75" hidden="false" customHeight="false" outlineLevel="0" collapsed="false">
      <c r="E13" s="0" t="n">
        <v>0.636363636363636</v>
      </c>
      <c r="F13" s="0" t="n">
        <v>0.00640839172139374</v>
      </c>
      <c r="G13" s="0" t="n">
        <v>0.0267805729910982</v>
      </c>
      <c r="I13" s="0" t="n">
        <v>0.727272727272727</v>
      </c>
      <c r="J13" s="0" t="n">
        <v>0.00275474353161977</v>
      </c>
      <c r="K13" s="0" t="n">
        <v>0.0267795303858429</v>
      </c>
      <c r="M13" s="0" t="n">
        <v>0.909090909090909</v>
      </c>
      <c r="N13" s="0" t="n">
        <v>0.004438266930064</v>
      </c>
      <c r="O13" s="0" t="n">
        <v>0.0267784877805875</v>
      </c>
      <c r="U13" s="0" t="n">
        <v>0.636363636363636</v>
      </c>
      <c r="V13" s="0" t="n">
        <v>0.0340445749427072</v>
      </c>
      <c r="W13" s="0" t="n">
        <v>0.350061068970973</v>
      </c>
      <c r="Y13" s="0" t="n">
        <v>0.636363636363636</v>
      </c>
      <c r="Z13" s="0" t="n">
        <v>0.0132960976765023</v>
      </c>
      <c r="AA13" s="0" t="n">
        <v>0.350055530130554</v>
      </c>
      <c r="AC13" s="0" t="n">
        <v>0.818181818181818</v>
      </c>
      <c r="AD13" s="0" t="n">
        <v>0.0211412134902868</v>
      </c>
      <c r="AE13" s="0" t="n">
        <v>0.350049991290136</v>
      </c>
    </row>
    <row r="14" customFormat="false" ht="12.75" hidden="false" customHeight="false" outlineLevel="0" collapsed="false">
      <c r="E14" s="0" t="n">
        <v>0.727272727272727</v>
      </c>
      <c r="F14" s="0" t="n">
        <v>0.00737850690394341</v>
      </c>
      <c r="G14" s="0" t="n">
        <v>0.0267805729910982</v>
      </c>
      <c r="I14" s="0" t="n">
        <v>0.831168831168831</v>
      </c>
      <c r="J14" s="0" t="n">
        <v>0.00300475921032104</v>
      </c>
      <c r="K14" s="0" t="n">
        <v>0.0267795303858429</v>
      </c>
      <c r="M14" s="0" t="n">
        <v>1.03896103896104</v>
      </c>
      <c r="N14" s="0" t="n">
        <v>0.00509766862386667</v>
      </c>
      <c r="O14" s="0" t="n">
        <v>0.0267784877805875</v>
      </c>
      <c r="U14" s="0" t="n">
        <v>0.727272727272727</v>
      </c>
      <c r="V14" s="0" t="n">
        <v>0.0391983135666449</v>
      </c>
      <c r="W14" s="0" t="n">
        <v>0.350061068970973</v>
      </c>
      <c r="Y14" s="0" t="n">
        <v>0.727272727272727</v>
      </c>
      <c r="Z14" s="0" t="n">
        <v>0.0146345762145849</v>
      </c>
      <c r="AA14" s="0" t="n">
        <v>0.350055530130554</v>
      </c>
      <c r="AC14" s="0" t="n">
        <v>0.935064935064935</v>
      </c>
      <c r="AD14" s="0" t="n">
        <v>0.0242770220951456</v>
      </c>
      <c r="AE14" s="0" t="n">
        <v>0.350049991290136</v>
      </c>
    </row>
    <row r="15" customFormat="false" ht="12.75" hidden="false" customHeight="false" outlineLevel="0" collapsed="false">
      <c r="E15" s="0" t="n">
        <v>0.818181818181818</v>
      </c>
      <c r="F15" s="0" t="n">
        <v>0.00836290618943747</v>
      </c>
      <c r="G15" s="0" t="n">
        <v>0.0267805729910982</v>
      </c>
      <c r="I15" s="0" t="n">
        <v>0.935064935064935</v>
      </c>
      <c r="J15" s="0" t="n">
        <v>0.00321182053868964</v>
      </c>
      <c r="K15" s="0" t="n">
        <v>0.0267795303858429</v>
      </c>
      <c r="M15" s="0" t="n">
        <v>1.16883116883117</v>
      </c>
      <c r="N15" s="0" t="n">
        <v>0.0057606226203912</v>
      </c>
      <c r="O15" s="0" t="n">
        <v>0.0267784877805875</v>
      </c>
      <c r="U15" s="0" t="n">
        <v>0.818181818181818</v>
      </c>
      <c r="V15" s="0" t="n">
        <v>0.044427945451807</v>
      </c>
      <c r="W15" s="0" t="n">
        <v>0.350061068970973</v>
      </c>
      <c r="Y15" s="0" t="n">
        <v>0.818181818181818</v>
      </c>
      <c r="Z15" s="0" t="n">
        <v>0.0158089500633522</v>
      </c>
      <c r="AA15" s="0" t="n">
        <v>0.350055530130554</v>
      </c>
      <c r="AC15" s="0" t="n">
        <v>1.05194805194805</v>
      </c>
      <c r="AD15" s="0" t="n">
        <v>0.0274328410351924</v>
      </c>
      <c r="AE15" s="0" t="n">
        <v>0.350049991290136</v>
      </c>
    </row>
    <row r="16" customFormat="false" ht="12.75" hidden="false" customHeight="false" outlineLevel="0" collapsed="false">
      <c r="E16" s="0" t="n">
        <v>0.909090909090909</v>
      </c>
      <c r="F16" s="0" t="n">
        <v>0.00936153359274015</v>
      </c>
      <c r="G16" s="0" t="n">
        <v>0.0267805729910982</v>
      </c>
      <c r="I16" s="0" t="n">
        <v>1.03896103896104</v>
      </c>
      <c r="J16" s="0" t="n">
        <v>0.00337320283668265</v>
      </c>
      <c r="K16" s="0" t="n">
        <v>0.0267795303858429</v>
      </c>
      <c r="M16" s="0" t="n">
        <v>1.2987012987013</v>
      </c>
      <c r="N16" s="0" t="n">
        <v>0.00642547655019788</v>
      </c>
      <c r="O16" s="0" t="n">
        <v>0.0267784877805875</v>
      </c>
      <c r="U16" s="0" t="n">
        <v>0.909090909090909</v>
      </c>
      <c r="V16" s="0" t="n">
        <v>0.0497331461133689</v>
      </c>
      <c r="W16" s="0" t="n">
        <v>0.350061068970973</v>
      </c>
      <c r="Y16" s="0" t="n">
        <v>0.909090909090909</v>
      </c>
      <c r="Z16" s="0" t="n">
        <v>0.0168099461949824</v>
      </c>
      <c r="AA16" s="0" t="n">
        <v>0.350055530130554</v>
      </c>
      <c r="AC16" s="0" t="n">
        <v>1.16883116883117</v>
      </c>
      <c r="AD16" s="0" t="n">
        <v>0.0306033182687852</v>
      </c>
      <c r="AE16" s="0" t="n">
        <v>0.350049991290136</v>
      </c>
    </row>
    <row r="17" customFormat="false" ht="12.75" hidden="false" customHeight="false" outlineLevel="0" collapsed="false">
      <c r="E17" s="0" t="n">
        <v>1</v>
      </c>
      <c r="F17" s="0" t="n">
        <v>0.0103742043267032</v>
      </c>
      <c r="G17" s="0" t="n">
        <v>0.0267805729910982</v>
      </c>
      <c r="I17" s="0" t="n">
        <v>1.14285714285714</v>
      </c>
      <c r="J17" s="0" t="n">
        <v>0.00348618304598043</v>
      </c>
      <c r="K17" s="0" t="n">
        <v>0.0267795303858429</v>
      </c>
      <c r="M17" s="0" t="n">
        <v>1.42857142857143</v>
      </c>
      <c r="N17" s="0" t="n">
        <v>0.00709027031778646</v>
      </c>
      <c r="O17" s="0" t="n">
        <v>0.0267784877805875</v>
      </c>
      <c r="U17" s="0" t="n">
        <v>1</v>
      </c>
      <c r="V17" s="0" t="n">
        <v>0.0551129629212572</v>
      </c>
      <c r="W17" s="0" t="n">
        <v>0.350061068970973</v>
      </c>
      <c r="Y17" s="0" t="n">
        <v>1</v>
      </c>
      <c r="Z17" s="0" t="n">
        <v>0.0176279794523069</v>
      </c>
      <c r="AA17" s="0" t="n">
        <v>0.350055530130554</v>
      </c>
      <c r="AC17" s="0" t="n">
        <v>1.28571428571429</v>
      </c>
      <c r="AD17" s="0" t="n">
        <v>0.0337819928697854</v>
      </c>
      <c r="AE17" s="0" t="n">
        <v>0.350049991290136</v>
      </c>
    </row>
    <row r="18" customFormat="false" ht="12.75" hidden="false" customHeight="false" outlineLevel="0" collapsed="false">
      <c r="E18" s="0" t="n">
        <v>1.09090909090909</v>
      </c>
      <c r="F18" s="0" t="n">
        <v>0.0114005982638552</v>
      </c>
      <c r="G18" s="0" t="n">
        <v>0.0267805729910982</v>
      </c>
      <c r="I18" s="0" t="n">
        <v>1.24675324675325</v>
      </c>
      <c r="J18" s="0" t="n">
        <v>0.00354800744777626</v>
      </c>
      <c r="K18" s="0" t="n">
        <v>0.0267795303858429</v>
      </c>
      <c r="M18" s="0" t="n">
        <v>1.55844155844156</v>
      </c>
      <c r="N18" s="0" t="n">
        <v>0.00775272406195561</v>
      </c>
      <c r="O18" s="0" t="n">
        <v>0.0267784877805875</v>
      </c>
      <c r="U18" s="0" t="n">
        <v>1.09090909090909</v>
      </c>
      <c r="V18" s="0" t="n">
        <v>0.0605656734208908</v>
      </c>
      <c r="W18" s="0" t="n">
        <v>0.350061068970973</v>
      </c>
      <c r="Y18" s="0" t="n">
        <v>1.09090909090909</v>
      </c>
      <c r="Z18" s="0" t="n">
        <v>0.0182532965935301</v>
      </c>
      <c r="AA18" s="0" t="n">
        <v>0.350055530130554</v>
      </c>
      <c r="AC18" s="0" t="n">
        <v>1.4025974025974</v>
      </c>
      <c r="AD18" s="0" t="n">
        <v>0.0369613085623405</v>
      </c>
      <c r="AE18" s="0" t="n">
        <v>0.350049991290136</v>
      </c>
    </row>
    <row r="19" customFormat="false" ht="12.75" hidden="false" customHeight="false" outlineLevel="0" collapsed="false">
      <c r="E19" s="0" t="n">
        <v>1.18181818181818</v>
      </c>
      <c r="F19" s="0" t="n">
        <v>0.0124402194998511</v>
      </c>
      <c r="G19" s="0" t="n">
        <v>0.0267805729910982</v>
      </c>
      <c r="I19" s="0" t="n">
        <v>1.35064935064935</v>
      </c>
      <c r="J19" s="0" t="n">
        <v>0.00355597306469447</v>
      </c>
      <c r="K19" s="0" t="n">
        <v>0.0267795303858429</v>
      </c>
      <c r="M19" s="0" t="n">
        <v>1.68831168831169</v>
      </c>
      <c r="N19" s="0" t="n">
        <v>0.00841025580019295</v>
      </c>
      <c r="O19" s="0" t="n">
        <v>0.0267784877805875</v>
      </c>
      <c r="U19" s="0" t="n">
        <v>1.18181818181818</v>
      </c>
      <c r="V19" s="0" t="n">
        <v>0.0660886729613387</v>
      </c>
      <c r="W19" s="0" t="n">
        <v>0.350061068970973</v>
      </c>
      <c r="Y19" s="0" t="n">
        <v>1.18181818181818</v>
      </c>
      <c r="Z19" s="0" t="n">
        <v>0.0186761338796575</v>
      </c>
      <c r="AA19" s="0" t="n">
        <v>0.350055530130554</v>
      </c>
      <c r="AC19" s="0" t="n">
        <v>1.51948051948052</v>
      </c>
      <c r="AD19" s="0" t="n">
        <v>0.0401326533996606</v>
      </c>
      <c r="AE19" s="0" t="n">
        <v>0.350049991290136</v>
      </c>
    </row>
    <row r="20" customFormat="false" ht="12.75" hidden="false" customHeight="false" outlineLevel="0" collapsed="false">
      <c r="E20" s="0" t="n">
        <v>1.27272727272727</v>
      </c>
      <c r="F20" s="0" t="n">
        <v>0.0134924213770307</v>
      </c>
      <c r="G20" s="0" t="n">
        <v>0.0267805729910982</v>
      </c>
      <c r="I20" s="0" t="n">
        <v>1.45454545454545</v>
      </c>
      <c r="J20" s="0" t="n">
        <v>0.00350745565319685</v>
      </c>
      <c r="K20" s="0" t="n">
        <v>0.0267795303858429</v>
      </c>
      <c r="M20" s="0" t="n">
        <v>1.81818181818182</v>
      </c>
      <c r="N20" s="0" t="n">
        <v>0.00905999446385527</v>
      </c>
      <c r="O20" s="0" t="n">
        <v>0.0267784877805875</v>
      </c>
      <c r="U20" s="0" t="n">
        <v>1.27272727272727</v>
      </c>
      <c r="V20" s="0" t="n">
        <v>0.0716784854641469</v>
      </c>
      <c r="W20" s="0" t="n">
        <v>0.350061068970973</v>
      </c>
      <c r="Y20" s="0" t="n">
        <v>1.27272727272727</v>
      </c>
      <c r="Z20" s="0" t="n">
        <v>0.018886752317733</v>
      </c>
      <c r="AA20" s="0" t="n">
        <v>0.350055530130554</v>
      </c>
      <c r="AC20" s="0" t="n">
        <v>1.63636363636364</v>
      </c>
      <c r="AD20" s="0" t="n">
        <v>0.0432863314318322</v>
      </c>
      <c r="AE20" s="0" t="n">
        <v>0.350049991290136</v>
      </c>
    </row>
    <row r="21" customFormat="false" ht="12.75" hidden="false" customHeight="false" outlineLevel="0" collapsed="false">
      <c r="E21" s="0" t="n">
        <v>1.36363636363636</v>
      </c>
      <c r="F21" s="0" t="n">
        <v>0.0145563632944419</v>
      </c>
      <c r="G21" s="0" t="n">
        <v>0.0267805729910982</v>
      </c>
      <c r="I21" s="0" t="n">
        <v>1.55844155844156</v>
      </c>
      <c r="J21" s="0" t="n">
        <v>0.0033999382163553</v>
      </c>
      <c r="K21" s="0" t="n">
        <v>0.0267795303858429</v>
      </c>
      <c r="M21" s="0" t="n">
        <v>1.94805194805195</v>
      </c>
      <c r="N21" s="0" t="n">
        <v>0.00969880439581761</v>
      </c>
      <c r="O21" s="0" t="n">
        <v>0.0267784877805875</v>
      </c>
      <c r="U21" s="0" t="n">
        <v>1.36363636363636</v>
      </c>
      <c r="V21" s="0" t="n">
        <v>0.0773306865559832</v>
      </c>
      <c r="W21" s="0" t="n">
        <v>0.350061068970973</v>
      </c>
      <c r="Y21" s="0" t="n">
        <v>1.36363636363636</v>
      </c>
      <c r="Z21" s="0" t="n">
        <v>0.0188755794379303</v>
      </c>
      <c r="AA21" s="0" t="n">
        <v>0.350055530130554</v>
      </c>
      <c r="AC21" s="0" t="n">
        <v>1.75324675324675</v>
      </c>
      <c r="AD21" s="0" t="n">
        <v>0.0464115396760703</v>
      </c>
      <c r="AE21" s="0" t="n">
        <v>0.350049991290136</v>
      </c>
    </row>
    <row r="22" customFormat="false" ht="12.75" hidden="false" customHeight="false" outlineLevel="0" collapsed="false">
      <c r="E22" s="0" t="n">
        <v>1.45454545454545</v>
      </c>
      <c r="F22" s="0" t="n">
        <v>0.0156310197467692</v>
      </c>
      <c r="G22" s="0" t="n">
        <v>0.0267805729910982</v>
      </c>
      <c r="I22" s="0" t="n">
        <v>1.66233766233766</v>
      </c>
      <c r="J22" s="0" t="n">
        <v>0.00323105593843019</v>
      </c>
      <c r="K22" s="0" t="n">
        <v>0.0267795303858429</v>
      </c>
      <c r="M22" s="0" t="n">
        <v>2.07792207792208</v>
      </c>
      <c r="N22" s="0" t="n">
        <v>0.0103233352100544</v>
      </c>
      <c r="O22" s="0" t="n">
        <v>0.0267784877805875</v>
      </c>
      <c r="U22" s="0" t="n">
        <v>1.45454545454545</v>
      </c>
      <c r="V22" s="0" t="n">
        <v>0.0830397926094686</v>
      </c>
      <c r="W22" s="0" t="n">
        <v>0.350061068970973</v>
      </c>
      <c r="Y22" s="0" t="n">
        <v>1.45454545454545</v>
      </c>
      <c r="Z22" s="0" t="n">
        <v>0.018633357664963</v>
      </c>
      <c r="AA22" s="0" t="n">
        <v>0.350055530130554</v>
      </c>
      <c r="AC22" s="0" t="n">
        <v>1.87012987012987</v>
      </c>
      <c r="AD22" s="0" t="n">
        <v>0.0494966308085644</v>
      </c>
      <c r="AE22" s="0" t="n">
        <v>0.350049991290136</v>
      </c>
    </row>
    <row r="23" customFormat="false" ht="12.75" hidden="false" customHeight="false" outlineLevel="0" collapsed="false">
      <c r="E23" s="0" t="n">
        <v>1.54545454545455</v>
      </c>
      <c r="F23" s="0" t="n">
        <v>0.0167151619011114</v>
      </c>
      <c r="G23" s="0" t="n">
        <v>0.0267805729910982</v>
      </c>
      <c r="I23" s="0" t="n">
        <v>1.76623376623377</v>
      </c>
      <c r="J23" s="0" t="n">
        <v>0.00299859570983621</v>
      </c>
      <c r="K23" s="0" t="n">
        <v>0.0267795303858429</v>
      </c>
      <c r="M23" s="0" t="n">
        <v>2.20779220779221</v>
      </c>
      <c r="N23" s="0" t="n">
        <v>0.0109300584429193</v>
      </c>
      <c r="O23" s="0" t="n">
        <v>0.0267784877805875</v>
      </c>
      <c r="U23" s="0" t="n">
        <v>1.54545454545455</v>
      </c>
      <c r="V23" s="0" t="n">
        <v>0.0887992886310247</v>
      </c>
      <c r="W23" s="0" t="n">
        <v>0.350061068970973</v>
      </c>
      <c r="Y23" s="0" t="n">
        <v>1.54545454545455</v>
      </c>
      <c r="Z23" s="0" t="n">
        <v>0.0181511572190712</v>
      </c>
      <c r="AA23" s="0" t="n">
        <v>0.350055530130554</v>
      </c>
      <c r="AC23" s="0" t="n">
        <v>1.98701298701299</v>
      </c>
      <c r="AD23" s="0" t="n">
        <v>0.0525290829583453</v>
      </c>
      <c r="AE23" s="0" t="n">
        <v>0.350049991290136</v>
      </c>
    </row>
    <row r="24" customFormat="false" ht="12.75" hidden="false" customHeight="false" outlineLevel="0" collapsed="false">
      <c r="E24" s="0" t="n">
        <v>1.63636363636364</v>
      </c>
      <c r="F24" s="0" t="n">
        <v>0.0178073155754407</v>
      </c>
      <c r="G24" s="0" t="n">
        <v>0.0267805729910982</v>
      </c>
      <c r="I24" s="0" t="n">
        <v>1.87012987012987</v>
      </c>
      <c r="J24" s="0" t="n">
        <v>0.00270054420011762</v>
      </c>
      <c r="K24" s="0" t="n">
        <v>0.0267795303858429</v>
      </c>
      <c r="M24" s="0" t="n">
        <v>2.33766233766234</v>
      </c>
      <c r="N24" s="0" t="n">
        <v>0.0115152884999177</v>
      </c>
      <c r="O24" s="0" t="n">
        <v>0.0267784877805875</v>
      </c>
      <c r="U24" s="0" t="n">
        <v>1.63636363636364</v>
      </c>
      <c r="V24" s="0" t="n">
        <v>0.0946013748299839</v>
      </c>
      <c r="W24" s="0" t="n">
        <v>0.350061068970973</v>
      </c>
      <c r="Y24" s="0" t="n">
        <v>1.63636363636364</v>
      </c>
      <c r="Z24" s="0" t="n">
        <v>0.0174205051847474</v>
      </c>
      <c r="AA24" s="0" t="n">
        <v>0.350055530130554</v>
      </c>
      <c r="AC24" s="0" t="n">
        <v>2.1038961038961</v>
      </c>
      <c r="AD24" s="0" t="n">
        <v>0.0554959594783798</v>
      </c>
      <c r="AE24" s="0" t="n">
        <v>0.350049991290136</v>
      </c>
    </row>
    <row r="25" customFormat="false" ht="12.75" hidden="false" customHeight="false" outlineLevel="0" collapsed="false">
      <c r="E25" s="0" t="n">
        <v>1.72727272727273</v>
      </c>
      <c r="F25" s="0" t="n">
        <v>0.0189058310488437</v>
      </c>
      <c r="G25" s="0" t="n">
        <v>0.0267805729910982</v>
      </c>
      <c r="I25" s="0" t="n">
        <v>1.97402597402597</v>
      </c>
      <c r="J25" s="0" t="n">
        <v>0.0023350773233879</v>
      </c>
      <c r="K25" s="0" t="n">
        <v>0.0267795303858429</v>
      </c>
      <c r="M25" s="0" t="n">
        <v>2.46753246753247</v>
      </c>
      <c r="N25" s="0" t="n">
        <v>0.0120752664137045</v>
      </c>
      <c r="O25" s="0" t="n">
        <v>0.0267784877805875</v>
      </c>
      <c r="U25" s="0" t="n">
        <v>1.72727272727273</v>
      </c>
      <c r="V25" s="0" t="n">
        <v>0.100437226952106</v>
      </c>
      <c r="W25" s="0" t="n">
        <v>0.350061068970973</v>
      </c>
      <c r="Y25" s="0" t="n">
        <v>1.72727272727273</v>
      </c>
      <c r="Z25" s="0" t="n">
        <v>0.0164334171333412</v>
      </c>
      <c r="AA25" s="0" t="n">
        <v>0.350055530130554</v>
      </c>
      <c r="AC25" s="0" t="n">
        <v>2.22077922077922</v>
      </c>
      <c r="AD25" s="0" t="n">
        <v>0.0583823408283454</v>
      </c>
      <c r="AE25" s="0" t="n">
        <v>0.350049991290136</v>
      </c>
    </row>
    <row r="26" customFormat="false" ht="12.75" hidden="false" customHeight="false" outlineLevel="0" collapsed="false">
      <c r="E26" s="0" t="n">
        <v>1.81818181818182</v>
      </c>
      <c r="F26" s="0" t="n">
        <v>0.0200087940541638</v>
      </c>
      <c r="G26" s="0" t="n">
        <v>0.0267805729910982</v>
      </c>
      <c r="I26" s="0" t="n">
        <v>2.07792207792208</v>
      </c>
      <c r="J26" s="0" t="n">
        <v>0.00190057693595379</v>
      </c>
      <c r="K26" s="0" t="n">
        <v>0.0267795303858429</v>
      </c>
      <c r="M26" s="0" t="n">
        <v>2.5974025974026</v>
      </c>
      <c r="N26" s="0" t="n">
        <v>0.0126061898656491</v>
      </c>
      <c r="O26" s="0" t="n">
        <v>0.0267784877805875</v>
      </c>
      <c r="U26" s="0" t="n">
        <v>1.81818181818182</v>
      </c>
      <c r="V26" s="0" t="n">
        <v>0.106296697992452</v>
      </c>
      <c r="W26" s="0" t="n">
        <v>0.350061068970973</v>
      </c>
      <c r="Y26" s="0" t="n">
        <v>1.81818181818182</v>
      </c>
      <c r="Z26" s="0" t="n">
        <v>0.0151825282275118</v>
      </c>
      <c r="AA26" s="0" t="n">
        <v>0.350055530130554</v>
      </c>
      <c r="AC26" s="0" t="n">
        <v>2.33766233766234</v>
      </c>
      <c r="AD26" s="0" t="n">
        <v>0.0611749816530428</v>
      </c>
      <c r="AE26" s="0" t="n">
        <v>0.350049991290136</v>
      </c>
    </row>
    <row r="27" customFormat="false" ht="12.75" hidden="false" customHeight="false" outlineLevel="0" collapsed="false">
      <c r="E27" s="0" t="n">
        <v>1.90909090909091</v>
      </c>
      <c r="F27" s="0" t="n">
        <v>0.0211140617376836</v>
      </c>
      <c r="G27" s="0" t="n">
        <v>0.0267805729910982</v>
      </c>
      <c r="I27" s="0" t="n">
        <v>2.18181818181818</v>
      </c>
      <c r="J27" s="0" t="n">
        <v>0.00139563682549097</v>
      </c>
      <c r="K27" s="0" t="n">
        <v>0.0267795303858429</v>
      </c>
      <c r="M27" s="0" t="n">
        <v>2.72727272727273</v>
      </c>
      <c r="N27" s="0" t="n">
        <v>0.0131042783204353</v>
      </c>
      <c r="O27" s="0" t="n">
        <v>0.0267784877805875</v>
      </c>
      <c r="U27" s="0" t="n">
        <v>1.90909090909091</v>
      </c>
      <c r="V27" s="0" t="n">
        <v>0.112168439462403</v>
      </c>
      <c r="W27" s="0" t="n">
        <v>0.350061068970973</v>
      </c>
      <c r="Y27" s="0" t="n">
        <v>1.90909090909091</v>
      </c>
      <c r="Z27" s="0" t="n">
        <v>0.0136610190939372</v>
      </c>
      <c r="AA27" s="0" t="n">
        <v>0.350055530130554</v>
      </c>
      <c r="AC27" s="0" t="n">
        <v>2.45454545454546</v>
      </c>
      <c r="AD27" s="0" t="n">
        <v>0.0638589728155428</v>
      </c>
      <c r="AE27" s="0" t="n">
        <v>0.350049991290136</v>
      </c>
    </row>
    <row r="28" customFormat="false" ht="12.75" hidden="false" customHeight="false" outlineLevel="0" collapsed="false">
      <c r="E28" s="0" t="n">
        <v>2</v>
      </c>
      <c r="F28" s="0" t="n">
        <v>0.0222192611688831</v>
      </c>
      <c r="G28" s="0" t="n">
        <v>0.0267805729910982</v>
      </c>
      <c r="I28" s="0" t="n">
        <v>2.28571428571429</v>
      </c>
      <c r="J28" s="0" t="n">
        <v>0.000819061174842747</v>
      </c>
      <c r="K28" s="0" t="n">
        <v>0.0267795303858429</v>
      </c>
      <c r="M28" s="0" t="n">
        <v>2.85714285714286</v>
      </c>
      <c r="N28" s="0" t="n">
        <v>0.0135658187249904</v>
      </c>
      <c r="O28" s="0" t="n">
        <v>0.0267784877805875</v>
      </c>
      <c r="U28" s="0" t="n">
        <v>2</v>
      </c>
      <c r="V28" s="0" t="n">
        <v>0.118039820751495</v>
      </c>
      <c r="W28" s="0" t="n">
        <v>0.350061068970973</v>
      </c>
      <c r="Y28" s="0" t="n">
        <v>2</v>
      </c>
      <c r="Z28" s="0" t="n">
        <v>0.0118627232803277</v>
      </c>
      <c r="AA28" s="0" t="n">
        <v>0.350055530130554</v>
      </c>
      <c r="AC28" s="0" t="n">
        <v>2.57142857142857</v>
      </c>
      <c r="AD28" s="0" t="n">
        <v>0.0664196210817198</v>
      </c>
      <c r="AE28" s="0" t="n">
        <v>0.350049991290136</v>
      </c>
    </row>
    <row r="29" customFormat="false" ht="12.75" hidden="false" customHeight="false" outlineLevel="0" collapsed="false">
      <c r="E29" s="0" t="n">
        <v>2.09090909090909</v>
      </c>
      <c r="F29" s="0" t="n">
        <v>0.0233217508492342</v>
      </c>
      <c r="G29" s="0" t="n">
        <v>0.0267805729910982</v>
      </c>
      <c r="I29" s="0" t="n">
        <v>2.38961038961039</v>
      </c>
      <c r="J29" s="0" t="n">
        <v>0.000169864864142756</v>
      </c>
      <c r="K29" s="0" t="n">
        <v>0.0267795303858429</v>
      </c>
      <c r="M29" s="0" t="n">
        <v>2.98701298701299</v>
      </c>
      <c r="N29" s="0" t="n">
        <v>0.0139871540987923</v>
      </c>
      <c r="O29" s="0" t="n">
        <v>0.0267784877805875</v>
      </c>
      <c r="U29" s="0" t="n">
        <v>2.09090909090909</v>
      </c>
      <c r="V29" s="0" t="n">
        <v>0.123896804304369</v>
      </c>
      <c r="W29" s="0" t="n">
        <v>0.350061068970973</v>
      </c>
      <c r="Y29" s="0" t="n">
        <v>2.09090909090909</v>
      </c>
      <c r="Z29" s="0" t="n">
        <v>0.00978210467952428</v>
      </c>
      <c r="AA29" s="0" t="n">
        <v>0.350055530130554</v>
      </c>
      <c r="AC29" s="0" t="n">
        <v>2.68831168831169</v>
      </c>
      <c r="AD29" s="0" t="n">
        <v>0.0688421741362803</v>
      </c>
      <c r="AE29" s="0" t="n">
        <v>0.350049991290136</v>
      </c>
    </row>
    <row r="30" customFormat="false" ht="12.75" hidden="false" customHeight="false" outlineLevel="0" collapsed="false">
      <c r="E30" s="0" t="n">
        <v>2.18181818181818</v>
      </c>
      <c r="F30" s="0" t="n">
        <v>0.024418673228878</v>
      </c>
      <c r="G30" s="0" t="n">
        <v>0.0267805729910982</v>
      </c>
      <c r="I30" s="0" t="n">
        <v>2.49350649350649</v>
      </c>
      <c r="J30" s="0" t="n">
        <v>0.000542023459412684</v>
      </c>
      <c r="K30" s="0" t="n">
        <v>0.0267795303858429</v>
      </c>
      <c r="M30" s="0" t="n">
        <v>3.11688311688312</v>
      </c>
      <c r="N30" s="0" t="n">
        <v>0.0143648779415951</v>
      </c>
      <c r="O30" s="0" t="n">
        <v>0.0267784877805875</v>
      </c>
      <c r="U30" s="0" t="n">
        <v>2.18181818181818</v>
      </c>
      <c r="V30" s="0" t="n">
        <v>0.129724142600658</v>
      </c>
      <c r="W30" s="0" t="n">
        <v>0.350061068970973</v>
      </c>
      <c r="Y30" s="0" t="n">
        <v>2.18181818181818</v>
      </c>
      <c r="Z30" s="0" t="n">
        <v>0.00741432834336969</v>
      </c>
      <c r="AA30" s="0" t="n">
        <v>0.350055530130554</v>
      </c>
      <c r="AC30" s="0" t="n">
        <v>2.80519480519481</v>
      </c>
      <c r="AD30" s="0" t="n">
        <v>0.0711121477862083</v>
      </c>
      <c r="AE30" s="0" t="n">
        <v>0.350049991290136</v>
      </c>
    </row>
    <row r="31" customFormat="false" ht="12.75" hidden="false" customHeight="false" outlineLevel="0" collapsed="false">
      <c r="E31" s="0" t="n">
        <v>2.27272727272727</v>
      </c>
      <c r="F31" s="0" t="n">
        <v>0.025506825719506</v>
      </c>
      <c r="G31" s="0" t="n">
        <v>0.0267805729910982</v>
      </c>
      <c r="I31" s="0" t="n">
        <v>2.5974025974026</v>
      </c>
      <c r="J31" s="0" t="n">
        <v>0.00128985970784737</v>
      </c>
      <c r="K31" s="0" t="n">
        <v>0.0267795303858429</v>
      </c>
      <c r="M31" s="0" t="n">
        <v>3.24675324675325</v>
      </c>
      <c r="N31" s="0" t="n">
        <v>0.0146957094043822</v>
      </c>
      <c r="O31" s="0" t="n">
        <v>0.0267784877805875</v>
      </c>
      <c r="U31" s="0" t="n">
        <v>2.27272727272727</v>
      </c>
      <c r="V31" s="0" t="n">
        <v>0.135505026293661</v>
      </c>
      <c r="W31" s="0" t="n">
        <v>0.350061068970973</v>
      </c>
      <c r="Y31" s="0" t="n">
        <v>2.27272727272727</v>
      </c>
      <c r="Z31" s="0" t="n">
        <v>0.00475514152476469</v>
      </c>
      <c r="AA31" s="0" t="n">
        <v>0.350055530130554</v>
      </c>
      <c r="AC31" s="0" t="n">
        <v>2.92207792207792</v>
      </c>
      <c r="AD31" s="0" t="n">
        <v>0.0732153934477783</v>
      </c>
      <c r="AE31" s="0" t="n">
        <v>0.350049991290136</v>
      </c>
    </row>
    <row r="32" customFormat="false" ht="12.75" hidden="false" customHeight="false" outlineLevel="0" collapsed="false">
      <c r="E32" s="0" t="n">
        <v>2.36363636363636</v>
      </c>
      <c r="F32" s="0" t="n">
        <v>0.0265828397393522</v>
      </c>
      <c r="G32" s="0" t="n">
        <v>0.0267805729910982</v>
      </c>
      <c r="I32" s="0" t="n">
        <v>2.7012987012987</v>
      </c>
      <c r="J32" s="0" t="n">
        <v>0.00206985427715978</v>
      </c>
      <c r="K32" s="0" t="n">
        <v>0.0267795303858429</v>
      </c>
      <c r="M32" s="0" t="n">
        <v>3.37662337662338</v>
      </c>
      <c r="N32" s="0" t="n">
        <v>0.0149766374102102</v>
      </c>
      <c r="O32" s="0" t="n">
        <v>0.0267784877805875</v>
      </c>
      <c r="U32" s="0" t="n">
        <v>2.36363636363636</v>
      </c>
      <c r="V32" s="0" t="n">
        <v>0.141221361641919</v>
      </c>
      <c r="W32" s="0" t="n">
        <v>0.350061068970973</v>
      </c>
      <c r="Y32" s="0" t="n">
        <v>2.36363636363636</v>
      </c>
      <c r="Z32" s="0" t="n">
        <v>0.0018010333871209</v>
      </c>
      <c r="AA32" s="0" t="n">
        <v>0.350055530130554</v>
      </c>
      <c r="AC32" s="0" t="n">
        <v>3.03896103896104</v>
      </c>
      <c r="AD32" s="0" t="n">
        <v>0.0751382515176988</v>
      </c>
      <c r="AE32" s="0" t="n">
        <v>0.350049991290136</v>
      </c>
    </row>
    <row r="33" customFormat="false" ht="12.75" hidden="false" customHeight="false" outlineLevel="0" collapsed="false">
      <c r="E33" s="0" t="n">
        <v>2.45454545454545</v>
      </c>
      <c r="F33" s="0" t="n">
        <v>0.027643072035039</v>
      </c>
      <c r="G33" s="0" t="n">
        <v>0.0267805729910982</v>
      </c>
      <c r="I33" s="0" t="n">
        <v>2.80519480519481</v>
      </c>
      <c r="J33" s="0" t="n">
        <v>0.00287924121040076</v>
      </c>
      <c r="K33" s="0" t="n">
        <v>0.0267795303858429</v>
      </c>
      <c r="M33" s="0" t="n">
        <v>3.50649350649351</v>
      </c>
      <c r="N33" s="0" t="n">
        <v>0.0152048863554486</v>
      </c>
      <c r="O33" s="0" t="n">
        <v>0.0267784877805875</v>
      </c>
      <c r="U33" s="0" t="n">
        <v>2.45454545454545</v>
      </c>
      <c r="V33" s="0" t="n">
        <v>0.146853819075144</v>
      </c>
      <c r="W33" s="0" t="n">
        <v>0.350061068970973</v>
      </c>
      <c r="Y33" s="0" t="n">
        <v>2.45454545454545</v>
      </c>
      <c r="Z33" s="0" t="n">
        <v>0.00143665182859715</v>
      </c>
      <c r="AA33" s="0" t="n">
        <v>0.350055530130554</v>
      </c>
      <c r="AC33" s="0" t="n">
        <v>3.15584415584416</v>
      </c>
      <c r="AD33" s="0" t="n">
        <v>0.0768675808774659</v>
      </c>
      <c r="AE33" s="0" t="n">
        <v>0.350049991290136</v>
      </c>
    </row>
    <row r="34" customFormat="false" ht="12.75" hidden="false" customHeight="false" outlineLevel="0" collapsed="false">
      <c r="E34" s="0" t="n">
        <v>2.54545454545455</v>
      </c>
      <c r="F34" s="0" t="n">
        <v>0.0286835835785864</v>
      </c>
      <c r="G34" s="0" t="n">
        <v>0.0267805729910982</v>
      </c>
      <c r="I34" s="0" t="n">
        <v>2.90909090909091</v>
      </c>
      <c r="J34" s="0" t="n">
        <v>0.00371516170508382</v>
      </c>
      <c r="K34" s="0" t="n">
        <v>0.0267795303858429</v>
      </c>
      <c r="M34" s="0" t="n">
        <v>3.63636363636364</v>
      </c>
      <c r="N34" s="0" t="n">
        <v>0.0153780175808698</v>
      </c>
      <c r="O34" s="0" t="n">
        <v>0.0267784877805875</v>
      </c>
      <c r="U34" s="0" t="n">
        <v>2.54545454545455</v>
      </c>
      <c r="V34" s="0" t="n">
        <v>0.152381540371568</v>
      </c>
      <c r="W34" s="0" t="n">
        <v>0.350061068970973</v>
      </c>
      <c r="Y34" s="0" t="n">
        <v>2.54545454545455</v>
      </c>
      <c r="Z34" s="0" t="n">
        <v>0.00484367816728043</v>
      </c>
      <c r="AA34" s="0" t="n">
        <v>0.350055530130554</v>
      </c>
      <c r="AC34" s="0" t="n">
        <v>3.27272727272727</v>
      </c>
      <c r="AD34" s="0" t="n">
        <v>0.0783911548607806</v>
      </c>
      <c r="AE34" s="0" t="n">
        <v>0.350049991290136</v>
      </c>
    </row>
    <row r="35" customFormat="false" ht="12.75" hidden="false" customHeight="false" outlineLevel="0" collapsed="false">
      <c r="E35" s="0" t="n">
        <v>2.63636363636364</v>
      </c>
      <c r="F35" s="0" t="n">
        <v>0.0297002341071816</v>
      </c>
      <c r="G35" s="0" t="n">
        <v>0.0267805729910982</v>
      </c>
      <c r="I35" s="0" t="n">
        <v>3.01298701298701</v>
      </c>
      <c r="J35" s="0" t="n">
        <v>0.00457465526372705</v>
      </c>
      <c r="K35" s="0" t="n">
        <v>0.0267795303858429</v>
      </c>
      <c r="M35" s="0" t="n">
        <v>3.76623376623377</v>
      </c>
      <c r="N35" s="0" t="n">
        <v>0.0154939439224124</v>
      </c>
      <c r="O35" s="0" t="n">
        <v>0.0267784877805875</v>
      </c>
      <c r="U35" s="0" t="n">
        <v>2.63636363636364</v>
      </c>
      <c r="V35" s="0" t="n">
        <v>0.157782699665903</v>
      </c>
      <c r="W35" s="0" t="n">
        <v>0.350061068970973</v>
      </c>
      <c r="Y35" s="0" t="n">
        <v>2.63636363636364</v>
      </c>
      <c r="Z35" s="0" t="n">
        <v>0.00838702474036557</v>
      </c>
      <c r="AA35" s="0" t="n">
        <v>0.350055530130554</v>
      </c>
      <c r="AC35" s="0" t="n">
        <v>3.38961038961039</v>
      </c>
      <c r="AD35" s="0" t="n">
        <v>0.0796974485938587</v>
      </c>
      <c r="AE35" s="0" t="n">
        <v>0.350049991290136</v>
      </c>
    </row>
    <row r="36" customFormat="false" ht="12.75" hidden="false" customHeight="false" outlineLevel="0" collapsed="false">
      <c r="E36" s="0" t="n">
        <v>2.72727272727273</v>
      </c>
      <c r="F36" s="0" t="n">
        <v>0.0306884323525009</v>
      </c>
      <c r="G36" s="0" t="n">
        <v>0.0267805729910982</v>
      </c>
      <c r="I36" s="0" t="n">
        <v>3.11688311688312</v>
      </c>
      <c r="J36" s="0" t="n">
        <v>0.00545460642009735</v>
      </c>
      <c r="K36" s="0" t="n">
        <v>0.0267795303858429</v>
      </c>
      <c r="M36" s="0" t="n">
        <v>3.8961038961039</v>
      </c>
      <c r="N36" s="0" t="n">
        <v>0.0155506756842914</v>
      </c>
      <c r="O36" s="0" t="n">
        <v>0.0267784877805875</v>
      </c>
      <c r="U36" s="0" t="n">
        <v>2.72727272727273</v>
      </c>
      <c r="V36" s="0" t="n">
        <v>0.163032301176585</v>
      </c>
      <c r="W36" s="0" t="n">
        <v>0.350061068970973</v>
      </c>
      <c r="Y36" s="0" t="n">
        <v>2.72727272727273</v>
      </c>
      <c r="Z36" s="0" t="n">
        <v>0.012057015057297</v>
      </c>
      <c r="AA36" s="0" t="n">
        <v>0.350055530130554</v>
      </c>
      <c r="AC36" s="0" t="n">
        <v>3.50649350649351</v>
      </c>
      <c r="AD36" s="0" t="n">
        <v>0.0807759653337635</v>
      </c>
      <c r="AE36" s="0" t="n">
        <v>0.350049991290136</v>
      </c>
    </row>
    <row r="37" customFormat="false" ht="12.75" hidden="false" customHeight="false" outlineLevel="0" collapsed="false">
      <c r="E37" s="0" t="n">
        <v>2.81818181818182</v>
      </c>
      <c r="F37" s="0" t="n">
        <v>0.0316436031805796</v>
      </c>
      <c r="G37" s="0" t="n">
        <v>0.0267805729910982</v>
      </c>
      <c r="I37" s="0" t="n">
        <v>3.22077922077922</v>
      </c>
      <c r="J37" s="0" t="n">
        <v>0.00635177221303686</v>
      </c>
      <c r="K37" s="0" t="n">
        <v>0.0267795303858429</v>
      </c>
      <c r="M37" s="0" t="n">
        <v>4.02597402597403</v>
      </c>
      <c r="N37" s="0" t="n">
        <v>0.0155469622442251</v>
      </c>
      <c r="O37" s="0" t="n">
        <v>0.0267784877805875</v>
      </c>
      <c r="U37" s="0" t="n">
        <v>2.81818181818182</v>
      </c>
      <c r="V37" s="0" t="n">
        <v>0.168106621488132</v>
      </c>
      <c r="W37" s="0" t="n">
        <v>0.350061068970973</v>
      </c>
      <c r="Y37" s="0" t="n">
        <v>2.81818181818182</v>
      </c>
      <c r="Z37" s="0" t="n">
        <v>0.0158437216862281</v>
      </c>
      <c r="AA37" s="0" t="n">
        <v>0.350055530130554</v>
      </c>
      <c r="AC37" s="0" t="n">
        <v>3.62337662337662</v>
      </c>
      <c r="AD37" s="0" t="n">
        <v>0.0816172580282398</v>
      </c>
      <c r="AE37" s="0" t="n">
        <v>0.350049991290136</v>
      </c>
    </row>
    <row r="38" customFormat="false" ht="12.75" hidden="false" customHeight="false" outlineLevel="0" collapsed="false">
      <c r="E38" s="0" t="n">
        <v>2.90909090909091</v>
      </c>
      <c r="F38" s="0" t="n">
        <v>0.0325606991073766</v>
      </c>
      <c r="G38" s="0" t="n">
        <v>0.0267805729910982</v>
      </c>
      <c r="I38" s="0" t="n">
        <v>3.32467532467532</v>
      </c>
      <c r="J38" s="0" t="n">
        <v>0.0072627046007515</v>
      </c>
      <c r="K38" s="0" t="n">
        <v>0.0267795303858429</v>
      </c>
      <c r="M38" s="0" t="n">
        <v>4.15584415584416</v>
      </c>
      <c r="N38" s="0" t="n">
        <v>0.01548171089153</v>
      </c>
      <c r="O38" s="0" t="n">
        <v>0.0267784877805875</v>
      </c>
      <c r="U38" s="0" t="n">
        <v>2.90909090909091</v>
      </c>
      <c r="V38" s="0" t="n">
        <v>0.172978701314081</v>
      </c>
      <c r="W38" s="0" t="n">
        <v>0.350061068970973</v>
      </c>
      <c r="Y38" s="0" t="n">
        <v>2.90909090909091</v>
      </c>
      <c r="Z38" s="0" t="n">
        <v>0.0197367931831397</v>
      </c>
      <c r="AA38" s="0" t="n">
        <v>0.350055530130554</v>
      </c>
      <c r="AC38" s="0" t="n">
        <v>3.74025974025974</v>
      </c>
      <c r="AD38" s="0" t="n">
        <v>0.0822129946761726</v>
      </c>
      <c r="AE38" s="0" t="n">
        <v>0.350049991290136</v>
      </c>
    </row>
    <row r="39" customFormat="false" ht="12.75" hidden="false" customHeight="false" outlineLevel="0" collapsed="false">
      <c r="E39" s="0" t="n">
        <v>3</v>
      </c>
      <c r="F39" s="0" t="n">
        <v>0.0334345114891751</v>
      </c>
      <c r="G39" s="0" t="n">
        <v>0.0267805729910982</v>
      </c>
      <c r="I39" s="0" t="n">
        <v>3.42857142857143</v>
      </c>
      <c r="J39" s="0" t="n">
        <v>0.00818379688813878</v>
      </c>
      <c r="K39" s="0" t="n">
        <v>0.0267795303858429</v>
      </c>
      <c r="M39" s="0" t="n">
        <v>4.28571428571429</v>
      </c>
      <c r="N39" s="0" t="n">
        <v>0.0153542271575107</v>
      </c>
      <c r="O39" s="0" t="n">
        <v>0.0267784877805875</v>
      </c>
      <c r="U39" s="0" t="n">
        <v>3</v>
      </c>
      <c r="V39" s="0" t="n">
        <v>0.177620822435777</v>
      </c>
      <c r="W39" s="0" t="n">
        <v>0.350061068970973</v>
      </c>
      <c r="Y39" s="0" t="n">
        <v>3</v>
      </c>
      <c r="Z39" s="0" t="n">
        <v>0.0237259092006187</v>
      </c>
      <c r="AA39" s="0" t="n">
        <v>0.350055530130554</v>
      </c>
      <c r="AC39" s="0" t="n">
        <v>3.85714285714286</v>
      </c>
      <c r="AD39" s="0" t="n">
        <v>0.0825558670494566</v>
      </c>
      <c r="AE39" s="0" t="n">
        <v>0.350049991290136</v>
      </c>
    </row>
    <row r="40" customFormat="false" ht="12.75" hidden="false" customHeight="false" outlineLevel="0" collapsed="false">
      <c r="E40" s="0" t="n">
        <v>3.09090909090909</v>
      </c>
      <c r="F40" s="0" t="n">
        <v>0.0342594973464934</v>
      </c>
      <c r="G40" s="0" t="n">
        <v>0.0267805729910982</v>
      </c>
      <c r="I40" s="0" t="n">
        <v>3.53246753246753</v>
      </c>
      <c r="J40" s="0" t="n">
        <v>0.00911121247752308</v>
      </c>
      <c r="K40" s="0" t="n">
        <v>0.0267795303858429</v>
      </c>
      <c r="M40" s="0" t="n">
        <v>4.41558441558442</v>
      </c>
      <c r="N40" s="0" t="n">
        <v>0.0151643114228122</v>
      </c>
      <c r="O40" s="0" t="n">
        <v>0.0267784877805875</v>
      </c>
      <c r="U40" s="0" t="n">
        <v>3.09090909090909</v>
      </c>
      <c r="V40" s="0" t="n">
        <v>0.182003598037261</v>
      </c>
      <c r="W40" s="0" t="n">
        <v>0.350061068970973</v>
      </c>
      <c r="Y40" s="0" t="n">
        <v>3.09090909090909</v>
      </c>
      <c r="Z40" s="0" t="n">
        <v>0.0277996490120303</v>
      </c>
      <c r="AA40" s="0" t="n">
        <v>0.350055530130554</v>
      </c>
      <c r="AC40" s="0" t="n">
        <v>3.97402597402597</v>
      </c>
      <c r="AD40" s="0" t="n">
        <v>0.0826400852608162</v>
      </c>
      <c r="AE40" s="0" t="n">
        <v>0.350049991290136</v>
      </c>
    </row>
    <row r="41" customFormat="false" ht="12.75" hidden="false" customHeight="false" outlineLevel="0" collapsed="false">
      <c r="E41" s="0" t="n">
        <v>3.18181818181818</v>
      </c>
      <c r="F41" s="0" t="n">
        <v>0.0350299332527065</v>
      </c>
      <c r="G41" s="0" t="n">
        <v>0.0267805729910982</v>
      </c>
      <c r="I41" s="0" t="n">
        <v>3.63636363636364</v>
      </c>
      <c r="J41" s="0" t="n">
        <v>0.0100409022371426</v>
      </c>
      <c r="K41" s="0" t="n">
        <v>0.0267795303858429</v>
      </c>
      <c r="M41" s="0" t="n">
        <v>4.54545454545455</v>
      </c>
      <c r="N41" s="0" t="n">
        <v>0.01491213390558</v>
      </c>
      <c r="O41" s="0" t="n">
        <v>0.0267784877805875</v>
      </c>
      <c r="U41" s="0" t="n">
        <v>3.18181818181818</v>
      </c>
      <c r="V41" s="0" t="n">
        <v>0.186096494132415</v>
      </c>
      <c r="W41" s="0" t="n">
        <v>0.350061068970973</v>
      </c>
      <c r="Y41" s="0" t="n">
        <v>3.18181818181818</v>
      </c>
      <c r="Z41" s="0" t="n">
        <v>0.0319468650505075</v>
      </c>
      <c r="AA41" s="0" t="n">
        <v>0.350055530130554</v>
      </c>
      <c r="AC41" s="0" t="n">
        <v>4.09090909090909</v>
      </c>
      <c r="AD41" s="0" t="n">
        <v>0.0824610100617028</v>
      </c>
      <c r="AE41" s="0" t="n">
        <v>0.350049991290136</v>
      </c>
    </row>
    <row r="42" customFormat="false" ht="12.75" hidden="false" customHeight="false" outlineLevel="0" collapsed="false">
      <c r="E42" s="0" t="n">
        <v>3.27272727272727</v>
      </c>
      <c r="F42" s="0" t="n">
        <v>0.0357397530522447</v>
      </c>
      <c r="G42" s="0" t="n">
        <v>0.0267805729910982</v>
      </c>
      <c r="I42" s="0" t="n">
        <v>3.74025974025974</v>
      </c>
      <c r="J42" s="0" t="n">
        <v>0.0109685906577489</v>
      </c>
      <c r="K42" s="0" t="n">
        <v>0.0267795303858429</v>
      </c>
      <c r="M42" s="0" t="n">
        <v>4.67532467532468</v>
      </c>
      <c r="N42" s="0" t="n">
        <v>0.0145983361659012</v>
      </c>
      <c r="O42" s="0" t="n">
        <v>0.0267784877805875</v>
      </c>
      <c r="U42" s="0" t="n">
        <v>3.27272727272727</v>
      </c>
      <c r="V42" s="0" t="n">
        <v>0.189867442748892</v>
      </c>
      <c r="W42" s="0" t="n">
        <v>0.350061068970973</v>
      </c>
      <c r="Y42" s="0" t="n">
        <v>3.27272727272727</v>
      </c>
      <c r="Z42" s="0" t="n">
        <v>0.0361554588272822</v>
      </c>
      <c r="AA42" s="0" t="n">
        <v>0.350055530130554</v>
      </c>
      <c r="AC42" s="0" t="n">
        <v>4.20779220779221</v>
      </c>
      <c r="AD42" s="0" t="n">
        <v>0.0820154241355023</v>
      </c>
      <c r="AE42" s="0" t="n">
        <v>0.350049991290136</v>
      </c>
    </row>
    <row r="43" customFormat="false" ht="12.75" hidden="false" customHeight="false" outlineLevel="0" collapsed="false">
      <c r="E43" s="0" t="n">
        <v>3.36363636363636</v>
      </c>
      <c r="F43" s="0" t="n">
        <v>0.0363826713897614</v>
      </c>
      <c r="G43" s="0" t="n">
        <v>0.0267805729910982</v>
      </c>
      <c r="I43" s="0" t="n">
        <v>3.84415584415584</v>
      </c>
      <c r="J43" s="0" t="n">
        <v>0.0118897414504395</v>
      </c>
      <c r="K43" s="0" t="n">
        <v>0.0267795303858429</v>
      </c>
      <c r="M43" s="0" t="n">
        <v>4.80519480519481</v>
      </c>
      <c r="N43" s="0" t="n">
        <v>0.0142240365786029</v>
      </c>
      <c r="O43" s="0" t="n">
        <v>0.0267784877805875</v>
      </c>
      <c r="U43" s="0" t="n">
        <v>3.36363636363636</v>
      </c>
      <c r="V43" s="0" t="n">
        <v>0.193283031957669</v>
      </c>
      <c r="W43" s="0" t="n">
        <v>0.350061068970973</v>
      </c>
      <c r="Y43" s="0" t="n">
        <v>3.36363636363636</v>
      </c>
      <c r="Z43" s="0" t="n">
        <v>0.0404128874688006</v>
      </c>
      <c r="AA43" s="0" t="n">
        <v>0.350055530130554</v>
      </c>
      <c r="AC43" s="0" t="n">
        <v>4.32467532467533</v>
      </c>
      <c r="AD43" s="0" t="n">
        <v>0.0813014869354093</v>
      </c>
      <c r="AE43" s="0" t="n">
        <v>0.350049991290136</v>
      </c>
    </row>
    <row r="44" customFormat="false" ht="12.75" hidden="false" customHeight="false" outlineLevel="0" collapsed="false">
      <c r="E44" s="0" t="n">
        <v>3.45454545454545</v>
      </c>
      <c r="F44" s="0" t="n">
        <v>0.0369521956687222</v>
      </c>
      <c r="G44" s="0" t="n">
        <v>0.0267805729910982</v>
      </c>
      <c r="I44" s="0" t="n">
        <v>3.94805194805195</v>
      </c>
      <c r="J44" s="0" t="n">
        <v>0.0127995609870984</v>
      </c>
      <c r="K44" s="0" t="n">
        <v>0.0267795303858429</v>
      </c>
      <c r="M44" s="0" t="n">
        <v>4.93506493506493</v>
      </c>
      <c r="N44" s="0" t="n">
        <v>0.0137907696193377</v>
      </c>
      <c r="O44" s="0" t="n">
        <v>0.0267784877805875</v>
      </c>
      <c r="U44" s="0" t="n">
        <v>3.45454545454545</v>
      </c>
      <c r="V44" s="0" t="n">
        <v>0.196308528669416</v>
      </c>
      <c r="W44" s="0" t="n">
        <v>0.350061068970973</v>
      </c>
      <c r="Y44" s="0" t="n">
        <v>3.45454545454545</v>
      </c>
      <c r="Z44" s="0" t="n">
        <v>0.0447058127924891</v>
      </c>
      <c r="AA44" s="0" t="n">
        <v>0.350055530130554</v>
      </c>
      <c r="AC44" s="0" t="n">
        <v>4.44155844155844</v>
      </c>
      <c r="AD44" s="0" t="n">
        <v>0.0803188616463742</v>
      </c>
      <c r="AE44" s="0" t="n">
        <v>0.350049991290136</v>
      </c>
    </row>
    <row r="45" customFormat="false" ht="12.75" hidden="false" customHeight="false" outlineLevel="0" collapsed="false">
      <c r="E45" s="0" t="n">
        <v>3.54545454545455</v>
      </c>
      <c r="F45" s="0" t="n">
        <v>0.037441498017038</v>
      </c>
      <c r="G45" s="0" t="n">
        <v>0.0267805729910982</v>
      </c>
      <c r="I45" s="0" t="n">
        <v>4.05194805194805</v>
      </c>
      <c r="J45" s="0" t="n">
        <v>0.013692995170719</v>
      </c>
      <c r="K45" s="0" t="n">
        <v>0.0267795303858429</v>
      </c>
      <c r="M45" s="0" t="n">
        <v>5.06493506493507</v>
      </c>
      <c r="N45" s="0" t="n">
        <v>0.0133006598369915</v>
      </c>
      <c r="O45" s="0" t="n">
        <v>0.0267784877805875</v>
      </c>
      <c r="U45" s="0" t="n">
        <v>3.54545454545455</v>
      </c>
      <c r="V45" s="0" t="n">
        <v>0.198907976217111</v>
      </c>
      <c r="W45" s="0" t="n">
        <v>0.350061068970973</v>
      </c>
      <c r="Y45" s="0" t="n">
        <v>3.54545454545455</v>
      </c>
      <c r="Z45" s="0" t="n">
        <v>0.0490204796960968</v>
      </c>
      <c r="AA45" s="0" t="n">
        <v>0.350055530130554</v>
      </c>
      <c r="AC45" s="0" t="n">
        <v>4.55844155844156</v>
      </c>
      <c r="AD45" s="0" t="n">
        <v>0.0790686607337018</v>
      </c>
      <c r="AE45" s="0" t="n">
        <v>0.350049991290136</v>
      </c>
    </row>
    <row r="46" customFormat="false" ht="12.75" hidden="false" customHeight="false" outlineLevel="0" collapsed="false">
      <c r="E46" s="0" t="n">
        <v>3.63636363636364</v>
      </c>
      <c r="F46" s="0" t="n">
        <v>0.0378435127396933</v>
      </c>
      <c r="G46" s="0" t="n">
        <v>0.0267805729910982</v>
      </c>
      <c r="I46" s="0" t="n">
        <v>4.15584415584416</v>
      </c>
      <c r="J46" s="0" t="n">
        <v>0.0145647313840736</v>
      </c>
      <c r="K46" s="0" t="n">
        <v>0.0267795303858429</v>
      </c>
      <c r="M46" s="0" t="n">
        <v>5.19480519480519</v>
      </c>
      <c r="N46" s="0" t="n">
        <v>0.0127562871006442</v>
      </c>
      <c r="O46" s="0" t="n">
        <v>0.0267784877805875</v>
      </c>
      <c r="U46" s="0" t="n">
        <v>3.63636363636364</v>
      </c>
      <c r="V46" s="0" t="n">
        <v>0.20104365378653</v>
      </c>
      <c r="W46" s="0" t="n">
        <v>0.350061068970973</v>
      </c>
      <c r="Y46" s="0" t="n">
        <v>3.63636363636364</v>
      </c>
      <c r="Z46" s="0" t="n">
        <v>0.0533422884602475</v>
      </c>
      <c r="AA46" s="0" t="n">
        <v>0.350055530130554</v>
      </c>
      <c r="AC46" s="0" t="n">
        <v>4.67532467532468</v>
      </c>
      <c r="AD46" s="0" t="n">
        <v>0.0775537119787839</v>
      </c>
      <c r="AE46" s="0" t="n">
        <v>0.350049991290136</v>
      </c>
    </row>
    <row r="47" customFormat="false" ht="12.75" hidden="false" customHeight="false" outlineLevel="0" collapsed="false">
      <c r="E47" s="0" t="n">
        <v>3.72727272727273</v>
      </c>
      <c r="F47" s="0" t="n">
        <v>0.0381509777175306</v>
      </c>
      <c r="G47" s="0" t="n">
        <v>0.0267805729910982</v>
      </c>
      <c r="I47" s="0" t="n">
        <v>4.25974025974026</v>
      </c>
      <c r="J47" s="0" t="n">
        <v>0.0154091044565404</v>
      </c>
      <c r="K47" s="0" t="n">
        <v>0.0267795303858429</v>
      </c>
      <c r="M47" s="0" t="n">
        <v>5.32467532467532</v>
      </c>
      <c r="N47" s="0" t="n">
        <v>0.01216081227691</v>
      </c>
      <c r="O47" s="0" t="n">
        <v>0.0267784877805875</v>
      </c>
      <c r="U47" s="0" t="n">
        <v>3.72727272727273</v>
      </c>
      <c r="V47" s="0" t="n">
        <v>0.202677068903132</v>
      </c>
      <c r="W47" s="0" t="n">
        <v>0.350061068970973</v>
      </c>
      <c r="Y47" s="0" t="n">
        <v>3.72727272727273</v>
      </c>
      <c r="Z47" s="0" t="n">
        <v>0.0576559898625528</v>
      </c>
      <c r="AA47" s="0" t="n">
        <v>0.350055530130554</v>
      </c>
      <c r="AC47" s="0" t="n">
        <v>4.79220779220779</v>
      </c>
      <c r="AD47" s="0" t="n">
        <v>0.0757781929213371</v>
      </c>
      <c r="AE47" s="0" t="n">
        <v>0.350049991290136</v>
      </c>
    </row>
    <row r="48" customFormat="false" ht="12.75" hidden="false" customHeight="false" outlineLevel="0" collapsed="false">
      <c r="E48" s="0" t="n">
        <v>3.81818181818182</v>
      </c>
      <c r="F48" s="0" t="n">
        <v>0.0383563347288363</v>
      </c>
      <c r="G48" s="0" t="n">
        <v>0.0267805729910982</v>
      </c>
      <c r="I48" s="0" t="n">
        <v>4.36363636363636</v>
      </c>
      <c r="J48" s="0" t="n">
        <v>0.0162202297665402</v>
      </c>
      <c r="K48" s="0" t="n">
        <v>0.0267795303858429</v>
      </c>
      <c r="M48" s="0" t="n">
        <v>5.45454545454545</v>
      </c>
      <c r="N48" s="0" t="n">
        <v>0.0115179089649388</v>
      </c>
      <c r="O48" s="0" t="n">
        <v>0.0267784877805875</v>
      </c>
      <c r="U48" s="0" t="n">
        <v>3.81818181818182</v>
      </c>
      <c r="V48" s="0" t="n">
        <v>0.203768049962127</v>
      </c>
      <c r="W48" s="0" t="n">
        <v>0.350061068970973</v>
      </c>
      <c r="Y48" s="0" t="n">
        <v>3.81818181818182</v>
      </c>
      <c r="Z48" s="0" t="n">
        <v>0.0619454204203501</v>
      </c>
      <c r="AA48" s="0" t="n">
        <v>0.350055530130554</v>
      </c>
      <c r="AC48" s="0" t="n">
        <v>4.90909090909091</v>
      </c>
      <c r="AD48" s="0" t="n">
        <v>0.073748374390205</v>
      </c>
      <c r="AE48" s="0" t="n">
        <v>0.350049991290136</v>
      </c>
    </row>
    <row r="49" customFormat="false" ht="12.75" hidden="false" customHeight="false" outlineLevel="0" collapsed="false">
      <c r="E49" s="0" t="n">
        <v>3.90909090909091</v>
      </c>
      <c r="F49" s="0" t="n">
        <v>0.038451814697666</v>
      </c>
      <c r="G49" s="0" t="n">
        <v>0.0267805729910982</v>
      </c>
      <c r="I49" s="0" t="n">
        <v>4.46753246753247</v>
      </c>
      <c r="J49" s="0" t="n">
        <v>0.0169919054553125</v>
      </c>
      <c r="K49" s="0" t="n">
        <v>0.0267795303858429</v>
      </c>
      <c r="M49" s="0" t="n">
        <v>5.58441558441558</v>
      </c>
      <c r="N49" s="0" t="n">
        <v>0.0108318882447281</v>
      </c>
      <c r="O49" s="0" t="n">
        <v>0.0267784877805875</v>
      </c>
      <c r="U49" s="0" t="n">
        <v>3.90909090909091</v>
      </c>
      <c r="V49" s="0" t="n">
        <v>0.2042753083159</v>
      </c>
      <c r="W49" s="0" t="n">
        <v>0.350061068970973</v>
      </c>
      <c r="Y49" s="0" t="n">
        <v>3.90909090909091</v>
      </c>
      <c r="Z49" s="0" t="n">
        <v>0.06619383123106</v>
      </c>
      <c r="AA49" s="0" t="n">
        <v>0.350055530130554</v>
      </c>
      <c r="AC49" s="0" t="n">
        <v>5.02597402597403</v>
      </c>
      <c r="AD49" s="0" t="n">
        <v>0.0714730427593595</v>
      </c>
      <c r="AE49" s="0" t="n">
        <v>0.350049991290136</v>
      </c>
    </row>
    <row r="50" customFormat="false" ht="12.75" hidden="false" customHeight="false" outlineLevel="0" collapsed="false">
      <c r="E50" s="0" t="n">
        <v>4</v>
      </c>
      <c r="F50" s="0" t="n">
        <v>0.0384293708689016</v>
      </c>
      <c r="G50" s="0" t="n">
        <v>0.0267805729910982</v>
      </c>
      <c r="I50" s="0" t="n">
        <v>4.57142857142857</v>
      </c>
      <c r="J50" s="0" t="n">
        <v>0.0177175446116266</v>
      </c>
      <c r="K50" s="0" t="n">
        <v>0.0267795303858429</v>
      </c>
      <c r="M50" s="0" t="n">
        <v>5.71428571428571</v>
      </c>
      <c r="N50" s="0" t="n">
        <v>0.0101076070407017</v>
      </c>
      <c r="O50" s="0" t="n">
        <v>0.0267784877805875</v>
      </c>
      <c r="U50" s="0" t="n">
        <v>4</v>
      </c>
      <c r="V50" s="0" t="n">
        <v>0.204155972494525</v>
      </c>
      <c r="W50" s="0" t="n">
        <v>0.350061068970973</v>
      </c>
      <c r="Y50" s="0" t="n">
        <v>4</v>
      </c>
      <c r="Z50" s="0" t="n">
        <v>0.0703834423567397</v>
      </c>
      <c r="AA50" s="0" t="n">
        <v>0.350055530130554</v>
      </c>
      <c r="AC50" s="0" t="n">
        <v>5.14285714285714</v>
      </c>
      <c r="AD50" s="0" t="n">
        <v>0.0689581355439723</v>
      </c>
      <c r="AE50" s="0" t="n">
        <v>0.350049991290136</v>
      </c>
    </row>
    <row r="51" customFormat="false" ht="12.75" hidden="false" customHeight="false" outlineLevel="0" collapsed="false">
      <c r="E51" s="0" t="n">
        <v>4.09090909090909</v>
      </c>
      <c r="F51" s="0" t="n">
        <v>0.0382807172559513</v>
      </c>
      <c r="G51" s="0" t="n">
        <v>0.0267805729910982</v>
      </c>
      <c r="I51" s="0" t="n">
        <v>4.67532467532468</v>
      </c>
      <c r="J51" s="0" t="n">
        <v>0.018390351836872</v>
      </c>
      <c r="K51" s="0" t="n">
        <v>0.0267795303858429</v>
      </c>
      <c r="M51" s="0" t="n">
        <v>5.84415584415584</v>
      </c>
      <c r="N51" s="0" t="n">
        <v>0.009350591742293</v>
      </c>
      <c r="O51" s="0" t="n">
        <v>0.0267784877805875</v>
      </c>
      <c r="U51" s="0" t="n">
        <v>4.09090909090909</v>
      </c>
      <c r="V51" s="0" t="n">
        <v>0.203366292633214</v>
      </c>
      <c r="W51" s="0" t="n">
        <v>0.350061068970973</v>
      </c>
      <c r="Y51" s="0" t="n">
        <v>4.09090909090909</v>
      </c>
      <c r="Z51" s="0" t="n">
        <v>0.0745005983332012</v>
      </c>
      <c r="AA51" s="0" t="n">
        <v>0.350055530130554</v>
      </c>
      <c r="AC51" s="0" t="n">
        <v>5.25974025974026</v>
      </c>
      <c r="AD51" s="0" t="n">
        <v>0.0662188557713738</v>
      </c>
      <c r="AE51" s="0" t="n">
        <v>0.350049991290136</v>
      </c>
    </row>
    <row r="52" customFormat="false" ht="12.75" hidden="false" customHeight="false" outlineLevel="0" collapsed="false">
      <c r="E52" s="0" t="n">
        <v>4.18181818181818</v>
      </c>
      <c r="F52" s="0" t="n">
        <v>0.0379974091337169</v>
      </c>
      <c r="G52" s="0" t="n">
        <v>0.0267805729910982</v>
      </c>
      <c r="I52" s="0" t="n">
        <v>4.77922077922078</v>
      </c>
      <c r="J52" s="0" t="n">
        <v>0.0190031425823524</v>
      </c>
      <c r="K52" s="0" t="n">
        <v>0.0267795303858429</v>
      </c>
      <c r="M52" s="0" t="n">
        <v>5.97402597402597</v>
      </c>
      <c r="N52" s="0" t="n">
        <v>0.00856702154946398</v>
      </c>
      <c r="O52" s="0" t="n">
        <v>0.0267784877805875</v>
      </c>
      <c r="U52" s="0" t="n">
        <v>4.18181818181818</v>
      </c>
      <c r="V52" s="0" t="n">
        <v>0.201861229418824</v>
      </c>
      <c r="W52" s="0" t="n">
        <v>0.350061068970973</v>
      </c>
      <c r="Y52" s="0" t="n">
        <v>4.18181818181818</v>
      </c>
      <c r="Z52" s="0" t="n">
        <v>0.0785113135322775</v>
      </c>
      <c r="AA52" s="0" t="n">
        <v>0.350055530130554</v>
      </c>
      <c r="AC52" s="0" t="n">
        <v>5.37662337662338</v>
      </c>
      <c r="AD52" s="0" t="n">
        <v>0.0632671337781623</v>
      </c>
      <c r="AE52" s="0" t="n">
        <v>0.350049991290136</v>
      </c>
    </row>
    <row r="53" customFormat="false" ht="12.75" hidden="false" customHeight="false" outlineLevel="0" collapsed="false">
      <c r="E53" s="0" t="n">
        <v>4.27272727272727</v>
      </c>
      <c r="F53" s="0" t="n">
        <v>0.0375706715070165</v>
      </c>
      <c r="G53" s="0" t="n">
        <v>0.0267805729910982</v>
      </c>
      <c r="I53" s="0" t="n">
        <v>4.88311688311688</v>
      </c>
      <c r="J53" s="0" t="n">
        <v>0.0195484205184216</v>
      </c>
      <c r="K53" s="0" t="n">
        <v>0.0267795303858429</v>
      </c>
      <c r="M53" s="0" t="n">
        <v>6.1038961038961</v>
      </c>
      <c r="N53" s="0" t="n">
        <v>0.00776371557547825</v>
      </c>
      <c r="O53" s="0" t="n">
        <v>0.0267784877805875</v>
      </c>
      <c r="U53" s="0" t="n">
        <v>4.27272727272727</v>
      </c>
      <c r="V53" s="0" t="n">
        <v>0.199594187888614</v>
      </c>
      <c r="W53" s="0" t="n">
        <v>0.350061068970973</v>
      </c>
      <c r="Y53" s="0" t="n">
        <v>4.27272727272727</v>
      </c>
      <c r="Z53" s="0" t="n">
        <v>0.0824098346046885</v>
      </c>
      <c r="AA53" s="0" t="n">
        <v>0.350055530130554</v>
      </c>
      <c r="AC53" s="0" t="n">
        <v>5.49350649350649</v>
      </c>
      <c r="AD53" s="0" t="n">
        <v>0.0601184788159056</v>
      </c>
      <c r="AE53" s="0" t="n">
        <v>0.350049991290136</v>
      </c>
    </row>
    <row r="54" customFormat="false" ht="12.75" hidden="false" customHeight="false" outlineLevel="0" collapsed="false">
      <c r="E54" s="0" t="n">
        <v>4.36363636363636</v>
      </c>
      <c r="F54" s="0" t="n">
        <v>0.036991501289153</v>
      </c>
      <c r="G54" s="0" t="n">
        <v>0.0267805729910982</v>
      </c>
      <c r="I54" s="0" t="n">
        <v>4.98701298701299</v>
      </c>
      <c r="J54" s="0" t="n">
        <v>0.0200183460054198</v>
      </c>
      <c r="K54" s="0" t="n">
        <v>0.0267795303858429</v>
      </c>
      <c r="M54" s="0" t="n">
        <v>6.23376623376623</v>
      </c>
      <c r="N54" s="0" t="n">
        <v>0.00694820974974095</v>
      </c>
      <c r="O54" s="0" t="n">
        <v>0.0267784877805875</v>
      </c>
      <c r="U54" s="0" t="n">
        <v>4.36363636363636</v>
      </c>
      <c r="V54" s="0" t="n">
        <v>0.196517345396153</v>
      </c>
      <c r="W54" s="0" t="n">
        <v>0.350061068970973</v>
      </c>
      <c r="Y54" s="0" t="n">
        <v>4.36363636363636</v>
      </c>
      <c r="Z54" s="0" t="n">
        <v>0.0861699724221166</v>
      </c>
      <c r="AA54" s="0" t="n">
        <v>0.350055530130554</v>
      </c>
      <c r="AC54" s="0" t="n">
        <v>5.61038961038961</v>
      </c>
      <c r="AD54" s="0" t="n">
        <v>0.056793857547469</v>
      </c>
      <c r="AE54" s="0" t="n">
        <v>0.350049991290136</v>
      </c>
    </row>
    <row r="55" customFormat="false" ht="12.75" hidden="false" customHeight="false" outlineLevel="0" collapsed="false">
      <c r="E55" s="0" t="n">
        <v>4.45454545454545</v>
      </c>
      <c r="F55" s="0" t="n">
        <v>0.0362507962310672</v>
      </c>
      <c r="G55" s="0" t="n">
        <v>0.0267805729910982</v>
      </c>
      <c r="I55" s="0" t="n">
        <v>5.09090909090909</v>
      </c>
      <c r="J55" s="0" t="n">
        <v>0.0204047317697905</v>
      </c>
      <c r="K55" s="0" t="n">
        <v>0.0267795303858429</v>
      </c>
      <c r="M55" s="0" t="n">
        <v>6.36363636363636</v>
      </c>
      <c r="N55" s="0" t="n">
        <v>0.00612876453588745</v>
      </c>
      <c r="O55" s="0" t="n">
        <v>0.0267784877805875</v>
      </c>
      <c r="U55" s="0" t="n">
        <v>4.45454545454545</v>
      </c>
      <c r="V55" s="0" t="n">
        <v>0.19258234156043</v>
      </c>
      <c r="W55" s="0" t="n">
        <v>0.350061068970973</v>
      </c>
      <c r="Y55" s="0" t="n">
        <v>4.45454545454545</v>
      </c>
      <c r="Z55" s="0" t="n">
        <v>0.0897696079046978</v>
      </c>
      <c r="AA55" s="0" t="n">
        <v>0.350055530130554</v>
      </c>
      <c r="AC55" s="0" t="n">
        <v>5.72727272727273</v>
      </c>
      <c r="AD55" s="0" t="n">
        <v>0.0533018094102964</v>
      </c>
      <c r="AE55" s="0" t="n">
        <v>0.350049991290136</v>
      </c>
    </row>
    <row r="56" customFormat="false" ht="12.75" hidden="false" customHeight="false" outlineLevel="0" collapsed="false">
      <c r="E56" s="0" t="n">
        <v>4.54545454545455</v>
      </c>
      <c r="F56" s="0" t="n">
        <v>0.0353390605923818</v>
      </c>
      <c r="G56" s="0" t="n">
        <v>0.0267805729910982</v>
      </c>
      <c r="I56" s="0" t="n">
        <v>5.1948051948052</v>
      </c>
      <c r="J56" s="0" t="n">
        <v>0.0206990814044306</v>
      </c>
      <c r="K56" s="0" t="n">
        <v>0.0267795303858429</v>
      </c>
      <c r="M56" s="0" t="n">
        <v>6.49350649350649</v>
      </c>
      <c r="N56" s="0" t="n">
        <v>0.00531439342575604</v>
      </c>
      <c r="O56" s="0" t="n">
        <v>0.0267784877805875</v>
      </c>
      <c r="U56" s="0" t="n">
        <v>4.54545454545455</v>
      </c>
      <c r="V56" s="0" t="n">
        <v>0.187738756134212</v>
      </c>
      <c r="W56" s="0" t="n">
        <v>0.350061068970973</v>
      </c>
      <c r="Y56" s="0" t="n">
        <v>4.54545454545455</v>
      </c>
      <c r="Z56" s="0" t="n">
        <v>0.093185619842298</v>
      </c>
      <c r="AA56" s="0" t="n">
        <v>0.350055530130554</v>
      </c>
      <c r="AC56" s="0" t="n">
        <v>5.84415584415584</v>
      </c>
      <c r="AD56" s="0" t="n">
        <v>0.0496750683474957</v>
      </c>
      <c r="AE56" s="0" t="n">
        <v>0.350049991290136</v>
      </c>
    </row>
    <row r="57" customFormat="false" ht="12.75" hidden="false" customHeight="false" outlineLevel="0" collapsed="false">
      <c r="E57" s="0" t="n">
        <v>4.63636363636364</v>
      </c>
      <c r="F57" s="0" t="n">
        <v>0.0342466782756555</v>
      </c>
      <c r="G57" s="0" t="n">
        <v>0.0267805729910982</v>
      </c>
      <c r="I57" s="0" t="n">
        <v>5.2987012987013</v>
      </c>
      <c r="J57" s="0" t="n">
        <v>0.0208925226445574</v>
      </c>
      <c r="K57" s="0" t="n">
        <v>0.0267795303858429</v>
      </c>
      <c r="M57" s="0" t="n">
        <v>6.62337662337662</v>
      </c>
      <c r="N57" s="0" t="n">
        <v>0.00451716094407834</v>
      </c>
      <c r="O57" s="0" t="n">
        <v>0.0267784877805875</v>
      </c>
      <c r="U57" s="0" t="n">
        <v>4.63636363636364</v>
      </c>
      <c r="V57" s="0" t="n">
        <v>0.181935476408855</v>
      </c>
      <c r="W57" s="0" t="n">
        <v>0.350061068970973</v>
      </c>
      <c r="Y57" s="0" t="n">
        <v>4.63636363636364</v>
      </c>
      <c r="Z57" s="0" t="n">
        <v>0.096393640275526</v>
      </c>
      <c r="AA57" s="0" t="n">
        <v>0.350055530130554</v>
      </c>
      <c r="AC57" s="0" t="n">
        <v>5.96103896103896</v>
      </c>
      <c r="AD57" s="0" t="n">
        <v>0.0459339191560285</v>
      </c>
      <c r="AE57" s="0" t="n">
        <v>0.350049991290136</v>
      </c>
    </row>
    <row r="58" customFormat="false" ht="12.75" hidden="false" customHeight="false" outlineLevel="0" collapsed="false">
      <c r="E58" s="0" t="n">
        <v>4.72727272727273</v>
      </c>
      <c r="F58" s="0" t="n">
        <v>0.0329637959487054</v>
      </c>
      <c r="G58" s="0" t="n">
        <v>0.0267805729910982</v>
      </c>
      <c r="I58" s="0" t="n">
        <v>5.4025974025974</v>
      </c>
      <c r="J58" s="0" t="n">
        <v>0.0209757585772197</v>
      </c>
      <c r="K58" s="0" t="n">
        <v>0.0267795303858429</v>
      </c>
      <c r="M58" s="0" t="n">
        <v>6.75324675324675</v>
      </c>
      <c r="N58" s="0" t="n">
        <v>0.00374056147770238</v>
      </c>
      <c r="O58" s="0" t="n">
        <v>0.0267784877805875</v>
      </c>
      <c r="U58" s="0" t="n">
        <v>4.72727272727273</v>
      </c>
      <c r="V58" s="0" t="n">
        <v>0.175120176895915</v>
      </c>
      <c r="W58" s="0" t="n">
        <v>0.350061068970973</v>
      </c>
      <c r="Y58" s="0" t="n">
        <v>4.72727272727273</v>
      </c>
      <c r="Z58" s="0" t="n">
        <v>0.0993688037821265</v>
      </c>
      <c r="AA58" s="0" t="n">
        <v>0.350055530130554</v>
      </c>
      <c r="AC58" s="0" t="n">
        <v>6.07792207792208</v>
      </c>
      <c r="AD58" s="0" t="n">
        <v>0.0421047470635021</v>
      </c>
      <c r="AE58" s="0" t="n">
        <v>0.350049991290136</v>
      </c>
    </row>
    <row r="59" customFormat="false" ht="12.75" hidden="false" customHeight="false" outlineLevel="0" collapsed="false">
      <c r="E59" s="0" t="n">
        <v>4.81818181818182</v>
      </c>
      <c r="F59" s="0" t="n">
        <v>0.031480310450378</v>
      </c>
      <c r="G59" s="0" t="n">
        <v>0.0267805729910982</v>
      </c>
      <c r="I59" s="0" t="n">
        <v>5.50649350649351</v>
      </c>
      <c r="J59" s="0" t="n">
        <v>0.0209392425929928</v>
      </c>
      <c r="K59" s="0" t="n">
        <v>0.0267795303858429</v>
      </c>
      <c r="M59" s="0" t="n">
        <v>6.88311688311688</v>
      </c>
      <c r="N59" s="0" t="n">
        <v>0.00300304550246155</v>
      </c>
      <c r="O59" s="0" t="n">
        <v>0.0267784877805875</v>
      </c>
      <c r="U59" s="0" t="n">
        <v>4.81818181818182</v>
      </c>
      <c r="V59" s="0" t="n">
        <v>0.167239190006057</v>
      </c>
      <c r="W59" s="0" t="n">
        <v>0.350061068970973</v>
      </c>
      <c r="Y59" s="0" t="n">
        <v>4.81818181818182</v>
      </c>
      <c r="Z59" s="0" t="n">
        <v>0.102084757000441</v>
      </c>
      <c r="AA59" s="0" t="n">
        <v>0.350055530130554</v>
      </c>
      <c r="AC59" s="0" t="n">
        <v>6.1948051948052</v>
      </c>
      <c r="AD59" s="0" t="n">
        <v>0.038216340389875</v>
      </c>
      <c r="AE59" s="0" t="n">
        <v>0.350049991290136</v>
      </c>
    </row>
    <row r="60" customFormat="false" ht="12.75" hidden="false" customHeight="false" outlineLevel="0" collapsed="false">
      <c r="E60" s="0" t="n">
        <v>4.90909090909091</v>
      </c>
      <c r="F60" s="0" t="n">
        <v>0.0297859637735812</v>
      </c>
      <c r="G60" s="0" t="n">
        <v>0.0267805729910982</v>
      </c>
      <c r="I60" s="0" t="n">
        <v>5.61038961038961</v>
      </c>
      <c r="J60" s="0" t="n">
        <v>0.0207729793699088</v>
      </c>
      <c r="K60" s="0" t="n">
        <v>0.0267795303858429</v>
      </c>
      <c r="M60" s="0" t="n">
        <v>7.01298701298701</v>
      </c>
      <c r="N60" s="0" t="n">
        <v>0.00231426679265159</v>
      </c>
      <c r="O60" s="0" t="n">
        <v>0.0267784877805875</v>
      </c>
      <c r="U60" s="0" t="n">
        <v>4.90909090909091</v>
      </c>
      <c r="V60" s="0" t="n">
        <v>0.158237939698254</v>
      </c>
      <c r="W60" s="0" t="n">
        <v>0.350061068970973</v>
      </c>
      <c r="Y60" s="0" t="n">
        <v>4.90909090909091</v>
      </c>
      <c r="Z60" s="0" t="n">
        <v>0.104514274418527</v>
      </c>
      <c r="AA60" s="0" t="n">
        <v>0.350055530130554</v>
      </c>
      <c r="AC60" s="0" t="n">
        <v>6.31168831168831</v>
      </c>
      <c r="AD60" s="0" t="n">
        <v>0.0343000133271237</v>
      </c>
      <c r="AE60" s="0" t="n">
        <v>0.350049991290136</v>
      </c>
    </row>
    <row r="61" customFormat="false" ht="12.75" hidden="false" customHeight="false" outlineLevel="0" collapsed="false">
      <c r="E61" s="0" t="n">
        <v>5</v>
      </c>
      <c r="F61" s="0" t="n">
        <v>0.0278702237264376</v>
      </c>
      <c r="G61" s="0" t="n">
        <v>0.0267805729910982</v>
      </c>
      <c r="I61" s="0" t="n">
        <v>5.71428571428571</v>
      </c>
      <c r="J61" s="0" t="n">
        <v>0.0204666399961924</v>
      </c>
      <c r="K61" s="0" t="n">
        <v>0.0267795303858429</v>
      </c>
      <c r="M61" s="0" t="n">
        <v>7.14285714285714</v>
      </c>
      <c r="N61" s="0" t="n">
        <v>0.00168739111635291</v>
      </c>
      <c r="O61" s="0" t="n">
        <v>0.0267784877805875</v>
      </c>
      <c r="U61" s="0" t="n">
        <v>5</v>
      </c>
      <c r="V61" s="0" t="n">
        <v>0.148060406124245</v>
      </c>
      <c r="W61" s="0" t="n">
        <v>0.350061068970973</v>
      </c>
      <c r="Y61" s="0" t="n">
        <v>5</v>
      </c>
      <c r="Z61" s="0" t="n">
        <v>0.10662921996382</v>
      </c>
      <c r="AA61" s="0" t="n">
        <v>0.350055530130554</v>
      </c>
      <c r="AC61" s="0" t="n">
        <v>6.42857142857143</v>
      </c>
      <c r="AD61" s="0" t="n">
        <v>0.0303893155941271</v>
      </c>
      <c r="AE61" s="0" t="n">
        <v>0.350049991290136</v>
      </c>
    </row>
    <row r="62" customFormat="false" ht="12.75" hidden="false" customHeight="false" outlineLevel="0" collapsed="false">
      <c r="E62" s="0" t="n">
        <v>5.09090909090909</v>
      </c>
      <c r="F62" s="0" t="n">
        <v>0.0257224021814783</v>
      </c>
      <c r="G62" s="0" t="n">
        <v>0.0267805729910982</v>
      </c>
      <c r="I62" s="0" t="n">
        <v>5.81818181818182</v>
      </c>
      <c r="J62" s="0" t="n">
        <v>0.0200094877107024</v>
      </c>
      <c r="K62" s="0" t="n">
        <v>0.0267795303858429</v>
      </c>
      <c r="M62" s="0" t="n">
        <v>7.27272727272727</v>
      </c>
      <c r="N62" s="0" t="n">
        <v>0.00113616557868068</v>
      </c>
      <c r="O62" s="0" t="n">
        <v>0.0267784877805875</v>
      </c>
      <c r="U62" s="0" t="n">
        <v>5.09090909090909</v>
      </c>
      <c r="V62" s="0" t="n">
        <v>0.136650241139646</v>
      </c>
      <c r="W62" s="0" t="n">
        <v>0.350061068970973</v>
      </c>
      <c r="Y62" s="0" t="n">
        <v>5.09090909090909</v>
      </c>
      <c r="Z62" s="0" t="n">
        <v>0.108400146571614</v>
      </c>
      <c r="AA62" s="0" t="n">
        <v>0.350055530130554</v>
      </c>
      <c r="AC62" s="0" t="n">
        <v>6.54545454545455</v>
      </c>
      <c r="AD62" s="0" t="n">
        <v>0.0265209792805735</v>
      </c>
      <c r="AE62" s="0" t="n">
        <v>0.350049991290136</v>
      </c>
    </row>
    <row r="63" customFormat="false" ht="12.75" hidden="false" customHeight="false" outlineLevel="0" collapsed="false">
      <c r="E63" s="0" t="n">
        <v>5.18181818181818</v>
      </c>
      <c r="F63" s="0" t="n">
        <v>0.023331619381644</v>
      </c>
      <c r="G63" s="0" t="n">
        <v>0.0267805729910982</v>
      </c>
      <c r="I63" s="0" t="n">
        <v>5.92207792207792</v>
      </c>
      <c r="J63" s="0" t="n">
        <v>0.0193904120373824</v>
      </c>
      <c r="K63" s="0" t="n">
        <v>0.0267795303858429</v>
      </c>
      <c r="M63" s="0" t="n">
        <v>7.4025974025974</v>
      </c>
      <c r="N63" s="0" t="n">
        <v>0.000753925547176543</v>
      </c>
      <c r="O63" s="0" t="n">
        <v>0.0267784877805875</v>
      </c>
      <c r="U63" s="0" t="n">
        <v>5.18181818181818</v>
      </c>
      <c r="V63" s="0" t="n">
        <v>0.123949288801646</v>
      </c>
      <c r="W63" s="0" t="n">
        <v>0.350061068970973</v>
      </c>
      <c r="Y63" s="0" t="n">
        <v>5.18181818181818</v>
      </c>
      <c r="Z63" s="0" t="n">
        <v>0.109796812961635</v>
      </c>
      <c r="AA63" s="0" t="n">
        <v>0.350055530130554</v>
      </c>
      <c r="AC63" s="0" t="n">
        <v>6.66233766233766</v>
      </c>
      <c r="AD63" s="0" t="n">
        <v>0.022734036156333</v>
      </c>
      <c r="AE63" s="0" t="n">
        <v>0.350049991290136</v>
      </c>
    </row>
    <row r="64" customFormat="false" ht="12.75" hidden="false" customHeight="false" outlineLevel="0" collapsed="false">
      <c r="E64" s="0" t="n">
        <v>5.27272727272727</v>
      </c>
      <c r="F64" s="0" t="n">
        <v>0.0128710930975446</v>
      </c>
      <c r="G64" s="0" t="n">
        <v>0.0267805729910982</v>
      </c>
      <c r="I64" s="0" t="n">
        <v>6.02597402597403</v>
      </c>
      <c r="J64" s="0" t="n">
        <v>0.0185978892029997</v>
      </c>
      <c r="K64" s="0" t="n">
        <v>0.0267795303858429</v>
      </c>
      <c r="M64" s="0" t="n">
        <v>7.53246753246753</v>
      </c>
      <c r="N64" s="0" t="n">
        <v>0.000670384448325428</v>
      </c>
      <c r="O64" s="0" t="n">
        <v>0.0267784877805875</v>
      </c>
      <c r="U64" s="0" t="n">
        <v>5.27272727272727</v>
      </c>
      <c r="V64" s="0" t="n">
        <v>0.0683776820807034</v>
      </c>
      <c r="W64" s="0" t="n">
        <v>0.350061068970973</v>
      </c>
      <c r="Y64" s="0" t="n">
        <v>5.27272727272727</v>
      </c>
      <c r="Z64" s="0" t="n">
        <v>0.110787529060661</v>
      </c>
      <c r="AA64" s="0" t="n">
        <v>0.350055530130554</v>
      </c>
      <c r="AC64" s="0" t="n">
        <v>6.77922077922078</v>
      </c>
      <c r="AD64" s="0" t="n">
        <v>0.0190703915487734</v>
      </c>
      <c r="AE64" s="0" t="n">
        <v>0.350049991290136</v>
      </c>
    </row>
    <row r="65" customFormat="false" ht="12.75" hidden="false" customHeight="false" outlineLevel="0" collapsed="false">
      <c r="E65" s="0" t="n">
        <v>5.36363636363636</v>
      </c>
      <c r="F65" s="0" t="n">
        <v>0.0147044480155397</v>
      </c>
      <c r="G65" s="0" t="n">
        <v>0.0267805729910982</v>
      </c>
      <c r="I65" s="0" t="n">
        <v>6.12987012987013</v>
      </c>
      <c r="J65" s="0" t="n">
        <v>0.0176200220937821</v>
      </c>
      <c r="K65" s="0" t="n">
        <v>0.0267795303858429</v>
      </c>
      <c r="M65" s="0" t="n">
        <v>7.66233766233766</v>
      </c>
      <c r="N65" s="0" t="n">
        <v>0.000480885797824987</v>
      </c>
      <c r="O65" s="0" t="n">
        <v>0.0267784877805875</v>
      </c>
      <c r="U65" s="0" t="n">
        <v>5.36363636363636</v>
      </c>
      <c r="V65" s="0" t="n">
        <v>0.0781173800825545</v>
      </c>
      <c r="W65" s="0" t="n">
        <v>0.350061068970973</v>
      </c>
      <c r="Y65" s="0" t="n">
        <v>5.36363636363636</v>
      </c>
      <c r="Z65" s="0" t="n">
        <v>0.111339678540788</v>
      </c>
      <c r="AA65" s="0" t="n">
        <v>0.350055530130554</v>
      </c>
      <c r="AC65" s="0" t="n">
        <v>6.8961038961039</v>
      </c>
      <c r="AD65" s="0" t="n">
        <v>0.0155748621073739</v>
      </c>
      <c r="AE65" s="0" t="n">
        <v>0.350049991290136</v>
      </c>
    </row>
    <row r="66" customFormat="false" ht="12.75" hidden="false" customHeight="false" outlineLevel="0" collapsed="false">
      <c r="E66" s="0" t="n">
        <v>5.45454545454545</v>
      </c>
      <c r="F66" s="0" t="n">
        <v>0.0167387637554905</v>
      </c>
      <c r="G66" s="0" t="n">
        <v>0.0267805729910982</v>
      </c>
      <c r="I66" s="0" t="n">
        <v>6.23376623376623</v>
      </c>
      <c r="J66" s="0" t="n">
        <v>0.0164445367480425</v>
      </c>
      <c r="K66" s="0" t="n">
        <v>0.0267795303858429</v>
      </c>
      <c r="M66" s="0" t="n">
        <v>7.79220779220779</v>
      </c>
      <c r="N66" s="0" t="n">
        <v>0.000164584925966521</v>
      </c>
      <c r="O66" s="0" t="n">
        <v>0.0267784877805875</v>
      </c>
      <c r="U66" s="0" t="n">
        <v>5.45454545454545</v>
      </c>
      <c r="V66" s="0" t="n">
        <v>0.0889246824510437</v>
      </c>
      <c r="W66" s="0" t="n">
        <v>0.350061068970973</v>
      </c>
      <c r="Y66" s="0" t="n">
        <v>5.45454545454545</v>
      </c>
      <c r="Z66" s="0" t="n">
        <v>0.111419487970614</v>
      </c>
      <c r="AA66" s="0" t="n">
        <v>0.350055530130554</v>
      </c>
      <c r="AC66" s="0" t="n">
        <v>7.01298701298701</v>
      </c>
      <c r="AD66" s="0" t="n">
        <v>0.0122945475274585</v>
      </c>
      <c r="AE66" s="0" t="n">
        <v>0.350049991290136</v>
      </c>
    </row>
    <row r="67" customFormat="false" ht="12.75" hidden="false" customHeight="false" outlineLevel="0" collapsed="false">
      <c r="E67" s="0" t="n">
        <v>5.54545454545455</v>
      </c>
      <c r="F67" s="0" t="n">
        <v>0.0189900093654982</v>
      </c>
      <c r="G67" s="0" t="n">
        <v>0.0267805729910982</v>
      </c>
      <c r="I67" s="0" t="n">
        <v>6.33766233766234</v>
      </c>
      <c r="J67" s="0" t="n">
        <v>0.0150586304864813</v>
      </c>
      <c r="K67" s="0" t="n">
        <v>0.0267795303858429</v>
      </c>
      <c r="M67" s="0" t="n">
        <v>7.92207792207792</v>
      </c>
      <c r="N67" s="0" t="n">
        <v>0.000300333516256801</v>
      </c>
      <c r="O67" s="0" t="n">
        <v>0.0267784877805875</v>
      </c>
      <c r="U67" s="0" t="n">
        <v>5.54545454545455</v>
      </c>
      <c r="V67" s="0" t="n">
        <v>0.100884424754204</v>
      </c>
      <c r="W67" s="0" t="n">
        <v>0.350061068970973</v>
      </c>
      <c r="Y67" s="0" t="n">
        <v>5.54545454545455</v>
      </c>
      <c r="Z67" s="0" t="n">
        <v>0.110992147708106</v>
      </c>
      <c r="AA67" s="0" t="n">
        <v>0.350055530130554</v>
      </c>
      <c r="AC67" s="0" t="n">
        <v>7.12987012987013</v>
      </c>
      <c r="AD67" s="0" t="n">
        <v>0.00928043332964368</v>
      </c>
      <c r="AE67" s="0" t="n">
        <v>0.350049991290136</v>
      </c>
    </row>
    <row r="68" customFormat="false" ht="12.75" hidden="false" customHeight="false" outlineLevel="0" collapsed="false">
      <c r="E68" s="0" t="n">
        <v>5.63636363636364</v>
      </c>
      <c r="F68" s="0" t="n">
        <v>0.0214749129782025</v>
      </c>
      <c r="G68" s="0" t="n">
        <v>0.0267805729910982</v>
      </c>
      <c r="I68" s="0" t="n">
        <v>6.44155844155844</v>
      </c>
      <c r="J68" s="0" t="n">
        <v>0.0134492001650601</v>
      </c>
      <c r="K68" s="0" t="n">
        <v>0.0267795303858429</v>
      </c>
      <c r="M68" s="0" t="n">
        <v>8.05194805194805</v>
      </c>
      <c r="N68" s="0" t="n">
        <v>0.000936730825385423</v>
      </c>
      <c r="O68" s="0" t="n">
        <v>0.0267784877805875</v>
      </c>
      <c r="U68" s="0" t="n">
        <v>5.63636363636364</v>
      </c>
      <c r="V68" s="0" t="n">
        <v>0.114085475196692</v>
      </c>
      <c r="W68" s="0" t="n">
        <v>0.350061068970973</v>
      </c>
      <c r="Y68" s="0" t="n">
        <v>5.63636363636364</v>
      </c>
      <c r="Z68" s="0" t="n">
        <v>0.1100215487847</v>
      </c>
      <c r="AA68" s="0" t="n">
        <v>0.350055530130554</v>
      </c>
      <c r="AC68" s="0" t="n">
        <v>7.24675324675325</v>
      </c>
      <c r="AD68" s="0" t="n">
        <v>0.00658570363829725</v>
      </c>
      <c r="AE68" s="0" t="n">
        <v>0.350049991290136</v>
      </c>
    </row>
    <row r="69" customFormat="false" ht="12.75" hidden="false" customHeight="false" outlineLevel="0" collapsed="false">
      <c r="E69" s="0" t="n">
        <v>5.72727272727273</v>
      </c>
      <c r="F69" s="0" t="n">
        <v>0.024210962811465</v>
      </c>
      <c r="G69" s="0" t="n">
        <v>0.0267805729910982</v>
      </c>
      <c r="I69" s="0" t="n">
        <v>6.54545454545455</v>
      </c>
      <c r="J69" s="0" t="n">
        <v>0.0116026958091017</v>
      </c>
      <c r="K69" s="0" t="n">
        <v>0.0267795303858429</v>
      </c>
      <c r="M69" s="0" t="n">
        <v>8.18181818181818</v>
      </c>
      <c r="N69" s="0" t="n">
        <v>0.00176858058025881</v>
      </c>
      <c r="O69" s="0" t="n">
        <v>0.0267784877805875</v>
      </c>
      <c r="U69" s="0" t="n">
        <v>5.72727272727273</v>
      </c>
      <c r="V69" s="0" t="n">
        <v>0.128620739935897</v>
      </c>
      <c r="W69" s="0" t="n">
        <v>0.350061068970973</v>
      </c>
      <c r="Y69" s="0" t="n">
        <v>5.72727272727273</v>
      </c>
      <c r="Z69" s="0" t="n">
        <v>0.10847037050638</v>
      </c>
      <c r="AA69" s="0" t="n">
        <v>0.350055530130554</v>
      </c>
      <c r="AC69" s="0" t="n">
        <v>7.36363636363636</v>
      </c>
      <c r="AD69" s="0" t="n">
        <v>0.00404457787605739</v>
      </c>
      <c r="AE69" s="0" t="n">
        <v>0.350049991290136</v>
      </c>
    </row>
    <row r="70" customFormat="false" ht="12.75" hidden="false" customHeight="false" outlineLevel="0" collapsed="false">
      <c r="E70" s="0" t="n">
        <v>5.81818181818182</v>
      </c>
      <c r="F70" s="0" t="n">
        <v>0.0272164064043092</v>
      </c>
      <c r="G70" s="0" t="n">
        <v>0.0267805729910982</v>
      </c>
      <c r="I70" s="0" t="n">
        <v>6.64935064935065</v>
      </c>
      <c r="J70" s="0" t="n">
        <v>0.00950510733904816</v>
      </c>
      <c r="K70" s="0" t="n">
        <v>0.0267795303858429</v>
      </c>
      <c r="M70" s="0" t="n">
        <v>8.31168831168831</v>
      </c>
      <c r="N70" s="0" t="n">
        <v>0.00282103217209434</v>
      </c>
      <c r="O70" s="0" t="n">
        <v>0.0267784877805875</v>
      </c>
      <c r="U70" s="0" t="n">
        <v>5.81818181818182</v>
      </c>
      <c r="V70" s="0" t="n">
        <v>0.144587159022873</v>
      </c>
      <c r="W70" s="0" t="n">
        <v>0.350061068970973</v>
      </c>
      <c r="Y70" s="0" t="n">
        <v>5.81818181818182</v>
      </c>
      <c r="Z70" s="0" t="n">
        <v>0.106300369031216</v>
      </c>
      <c r="AA70" s="0" t="n">
        <v>0.350055530130554</v>
      </c>
      <c r="AC70" s="0" t="n">
        <v>7.48051948051948</v>
      </c>
      <c r="AD70" s="0" t="n">
        <v>0.0038004516133332</v>
      </c>
      <c r="AE70" s="0" t="n">
        <v>0.350049991290136</v>
      </c>
    </row>
    <row r="71" customFormat="false" ht="12.75" hidden="false" customHeight="false" outlineLevel="0" collapsed="false">
      <c r="E71" s="0" t="n">
        <v>5.90909090909091</v>
      </c>
      <c r="F71" s="0" t="n">
        <v>0.0305102482010727</v>
      </c>
      <c r="G71" s="0" t="n">
        <v>0.0267805729910982</v>
      </c>
      <c r="I71" s="0" t="n">
        <v>6.75324675324675</v>
      </c>
      <c r="J71" s="0" t="n">
        <v>0.00942708336960429</v>
      </c>
      <c r="K71" s="0" t="n">
        <v>0.0267795303858429</v>
      </c>
      <c r="M71" s="0" t="n">
        <v>8.44155844155844</v>
      </c>
      <c r="N71" s="0" t="n">
        <v>0.0041204759706085</v>
      </c>
      <c r="O71" s="0" t="n">
        <v>0.0267784877805875</v>
      </c>
      <c r="U71" s="0" t="n">
        <v>5.90909090909091</v>
      </c>
      <c r="V71" s="0" t="n">
        <v>0.162085693568204</v>
      </c>
      <c r="W71" s="0" t="n">
        <v>0.350061068970973</v>
      </c>
      <c r="Y71" s="0" t="n">
        <v>5.90909090909091</v>
      </c>
      <c r="Z71" s="0" t="n">
        <v>0.103471763111519</v>
      </c>
      <c r="AA71" s="0" t="n">
        <v>0.350055530130554</v>
      </c>
      <c r="AC71" s="0" t="n">
        <v>7.5974025974026</v>
      </c>
      <c r="AD71" s="0" t="n">
        <v>0.00313522944713718</v>
      </c>
      <c r="AE71" s="0" t="n">
        <v>0.350049991290136</v>
      </c>
    </row>
    <row r="72" customFormat="false" ht="12.75" hidden="false" customHeight="false" outlineLevel="0" collapsed="false">
      <c r="E72" s="0" t="n">
        <v>6</v>
      </c>
      <c r="F72" s="0" t="n">
        <v>0.0341122456148079</v>
      </c>
      <c r="G72" s="0" t="n">
        <v>0.0267805729910982</v>
      </c>
      <c r="I72" s="0" t="n">
        <v>6.85714285714286</v>
      </c>
      <c r="J72" s="0" t="n">
        <v>0.0113793376596827</v>
      </c>
      <c r="K72" s="0" t="n">
        <v>0.0267795303858429</v>
      </c>
      <c r="M72" s="0" t="n">
        <v>8.57142857142857</v>
      </c>
      <c r="N72" s="0" t="n">
        <v>0.00569461386236458</v>
      </c>
      <c r="O72" s="0" t="n">
        <v>0.0267784877805875</v>
      </c>
      <c r="U72" s="0" t="n">
        <v>6</v>
      </c>
      <c r="V72" s="0" t="n">
        <v>0.181221304828686</v>
      </c>
      <c r="W72" s="0" t="n">
        <v>0.350061068970973</v>
      </c>
      <c r="Y72" s="0" t="n">
        <v>6</v>
      </c>
      <c r="Z72" s="0" t="n">
        <v>0.0999438606821643</v>
      </c>
      <c r="AA72" s="0" t="n">
        <v>0.350055530130554</v>
      </c>
      <c r="AC72" s="0" t="n">
        <v>7.71428571428571</v>
      </c>
      <c r="AD72" s="0" t="n">
        <v>0.00196977280246791</v>
      </c>
      <c r="AE72" s="0" t="n">
        <v>0.350049991290136</v>
      </c>
    </row>
    <row r="73" customFormat="false" ht="12.75" hidden="false" customHeight="false" outlineLevel="0" collapsed="false">
      <c r="E73" s="0" t="n">
        <v>6.09090909090909</v>
      </c>
      <c r="F73" s="0" t="n">
        <v>0.0380429037148826</v>
      </c>
      <c r="G73" s="0" t="n">
        <v>0.0267805729910982</v>
      </c>
      <c r="I73" s="0" t="n">
        <v>6.96103896103896</v>
      </c>
      <c r="J73" s="0" t="n">
        <v>0.0135869493620087</v>
      </c>
      <c r="K73" s="0" t="n">
        <v>0.0267795303858429</v>
      </c>
      <c r="M73" s="0" t="n">
        <v>8.7012987012987</v>
      </c>
      <c r="N73" s="0" t="n">
        <v>0.00757253874395636</v>
      </c>
      <c r="O73" s="0" t="n">
        <v>0.0267784877805875</v>
      </c>
      <c r="U73" s="0" t="n">
        <v>6.09090909090909</v>
      </c>
      <c r="V73" s="0" t="n">
        <v>0.202102925985318</v>
      </c>
      <c r="W73" s="0" t="n">
        <v>0.350061068970973</v>
      </c>
      <c r="Y73" s="0" t="n">
        <v>6.09090909090909</v>
      </c>
      <c r="Z73" s="0" t="n">
        <v>0.0956738830206341</v>
      </c>
      <c r="AA73" s="0" t="n">
        <v>0.350055530130554</v>
      </c>
      <c r="AC73" s="0" t="n">
        <v>7.83116883116883</v>
      </c>
      <c r="AD73" s="0" t="n">
        <v>0.000221709691562877</v>
      </c>
      <c r="AE73" s="0" t="n">
        <v>0.350049991290136</v>
      </c>
    </row>
    <row r="74" customFormat="false" ht="12.75" hidden="false" customHeight="false" outlineLevel="0" collapsed="false">
      <c r="E74" s="0" t="n">
        <v>6.18181818181818</v>
      </c>
      <c r="F74" s="0" t="n">
        <v>0.0423234686927094</v>
      </c>
      <c r="G74" s="0" t="n">
        <v>0.0267805729910982</v>
      </c>
      <c r="I74" s="0" t="n">
        <v>7.06493506493507</v>
      </c>
      <c r="J74" s="0" t="n">
        <v>0.0160695550716326</v>
      </c>
      <c r="K74" s="0" t="n">
        <v>0.0267795303858429</v>
      </c>
      <c r="M74" s="0" t="n">
        <v>8.83116883116883</v>
      </c>
      <c r="N74" s="0" t="n">
        <v>0.00978482673245795</v>
      </c>
      <c r="O74" s="0" t="n">
        <v>0.0267784877805875</v>
      </c>
      <c r="U74" s="0" t="n">
        <v>6.18181818181818</v>
      </c>
      <c r="V74" s="0" t="n">
        <v>0.224843427429997</v>
      </c>
      <c r="W74" s="0" t="n">
        <v>0.350061068970973</v>
      </c>
      <c r="Y74" s="0" t="n">
        <v>6.18181818181818</v>
      </c>
      <c r="Z74" s="0" t="n">
        <v>0.0906193457852176</v>
      </c>
      <c r="AA74" s="0" t="n">
        <v>0.350055530130554</v>
      </c>
      <c r="AC74" s="0" t="n">
        <v>7.94805194805195</v>
      </c>
      <c r="AD74" s="0" t="n">
        <v>0.00219482715566688</v>
      </c>
      <c r="AE74" s="0" t="n">
        <v>0.350049991290136</v>
      </c>
    </row>
    <row r="75" customFormat="false" ht="12.75" hidden="false" customHeight="false" outlineLevel="0" collapsed="false">
      <c r="E75" s="0" t="n">
        <v>6.27272727272727</v>
      </c>
      <c r="F75" s="0" t="n">
        <v>0.0469759202630631</v>
      </c>
      <c r="G75" s="0" t="n">
        <v>0.0267805729910982</v>
      </c>
      <c r="I75" s="0" t="n">
        <v>7.16883116883117</v>
      </c>
      <c r="J75" s="0" t="n">
        <v>0.0188475829430524</v>
      </c>
      <c r="K75" s="0" t="n">
        <v>0.0267795303858429</v>
      </c>
      <c r="M75" s="0" t="n">
        <v>8.96103896103896</v>
      </c>
      <c r="N75" s="0" t="n">
        <v>0.0123636462484234</v>
      </c>
      <c r="O75" s="0" t="n">
        <v>0.0267784877805875</v>
      </c>
      <c r="U75" s="0" t="n">
        <v>6.27272727272727</v>
      </c>
      <c r="V75" s="0" t="n">
        <v>0.249559576397552</v>
      </c>
      <c r="W75" s="0" t="n">
        <v>0.350061068970973</v>
      </c>
      <c r="Y75" s="0" t="n">
        <v>6.27272727272727</v>
      </c>
      <c r="Z75" s="0" t="n">
        <v>0.0847351624816237</v>
      </c>
      <c r="AA75" s="0" t="n">
        <v>0.350055530130554</v>
      </c>
      <c r="AC75" s="0" t="n">
        <v>8.06493506493507</v>
      </c>
      <c r="AD75" s="0" t="n">
        <v>0.00536942290854969</v>
      </c>
      <c r="AE75" s="0" t="n">
        <v>0.350049991290136</v>
      </c>
    </row>
    <row r="76" customFormat="false" ht="12.75" hidden="false" customHeight="false" outlineLevel="0" collapsed="false">
      <c r="E76" s="0" t="n">
        <v>6.36363636363636</v>
      </c>
      <c r="F76" s="0" t="n">
        <v>0.0520229631572741</v>
      </c>
      <c r="G76" s="0" t="n">
        <v>0.0267805729910982</v>
      </c>
      <c r="I76" s="0" t="n">
        <v>7.27272727272727</v>
      </c>
      <c r="J76" s="0" t="n">
        <v>0.0219422541777038</v>
      </c>
      <c r="K76" s="0" t="n">
        <v>0.0267795303858429</v>
      </c>
      <c r="M76" s="0" t="n">
        <v>9.09090909090909</v>
      </c>
      <c r="N76" s="0" t="n">
        <v>0.0153428886560094</v>
      </c>
      <c r="O76" s="0" t="n">
        <v>0.0267784877805875</v>
      </c>
      <c r="U76" s="0" t="n">
        <v>6.36363636363636</v>
      </c>
      <c r="V76" s="0" t="n">
        <v>0.276371991773015</v>
      </c>
      <c r="W76" s="0" t="n">
        <v>0.350061068970973</v>
      </c>
      <c r="Y76" s="0" t="n">
        <v>6.36363636363636</v>
      </c>
      <c r="Z76" s="0" t="n">
        <v>0.0779757036441464</v>
      </c>
      <c r="AA76" s="0" t="n">
        <v>0.350055530130554</v>
      </c>
      <c r="AC76" s="0" t="n">
        <v>8.18181818181818</v>
      </c>
      <c r="AD76" s="0" t="n">
        <v>0.00939558433261967</v>
      </c>
      <c r="AE76" s="0" t="n">
        <v>0.350049991290136</v>
      </c>
    </row>
    <row r="77" customFormat="false" ht="12.75" hidden="false" customHeight="false" outlineLevel="0" collapsed="false">
      <c r="E77" s="0" t="n">
        <v>6.45454545454545</v>
      </c>
      <c r="F77" s="0" t="n">
        <v>0.0574880178578657</v>
      </c>
      <c r="G77" s="0" t="n">
        <v>0.0267805729910982</v>
      </c>
      <c r="I77" s="0" t="n">
        <v>7.37662337662338</v>
      </c>
      <c r="J77" s="0" t="n">
        <v>0.025375587069048</v>
      </c>
      <c r="K77" s="0" t="n">
        <v>0.0267795303858429</v>
      </c>
      <c r="M77" s="0" t="n">
        <v>9.22077922077922</v>
      </c>
      <c r="N77" s="0" t="n">
        <v>0.0187583257485183</v>
      </c>
      <c r="O77" s="0" t="n">
        <v>0.0267784877805875</v>
      </c>
      <c r="U77" s="0" t="n">
        <v>6.45454545454545</v>
      </c>
      <c r="V77" s="0" t="n">
        <v>0.305405094869932</v>
      </c>
      <c r="W77" s="0" t="n">
        <v>0.350061068970973</v>
      </c>
      <c r="Y77" s="0" t="n">
        <v>6.45454545454545</v>
      </c>
      <c r="Z77" s="0" t="n">
        <v>0.0702929880752361</v>
      </c>
      <c r="AA77" s="0" t="n">
        <v>0.350055530130554</v>
      </c>
      <c r="AC77" s="0" t="n">
        <v>8.2987012987013</v>
      </c>
      <c r="AD77" s="0" t="n">
        <v>0.0143709385240995</v>
      </c>
      <c r="AE77" s="0" t="n">
        <v>0.350049991290136</v>
      </c>
    </row>
    <row r="78" customFormat="false" ht="12.75" hidden="false" customHeight="false" outlineLevel="0" collapsed="false">
      <c r="E78" s="0" t="n">
        <v>6.54545454545455</v>
      </c>
      <c r="F78" s="0" t="n">
        <v>0.0633952107136395</v>
      </c>
      <c r="G78" s="0" t="n">
        <v>0.0267805729910982</v>
      </c>
      <c r="I78" s="0" t="n">
        <v>7.48051948051948</v>
      </c>
      <c r="J78" s="0" t="n">
        <v>0.0291704030509523</v>
      </c>
      <c r="K78" s="0" t="n">
        <v>0.0267795303858429</v>
      </c>
      <c r="M78" s="0" t="n">
        <v>9.35064935064935</v>
      </c>
      <c r="N78" s="0" t="n">
        <v>0.0226477999884401</v>
      </c>
      <c r="O78" s="0" t="n">
        <v>0.0267784877805875</v>
      </c>
      <c r="U78" s="0" t="n">
        <v>6.54545454545455</v>
      </c>
      <c r="V78" s="0" t="n">
        <v>0.336787056916216</v>
      </c>
      <c r="W78" s="0" t="n">
        <v>0.350061068970973</v>
      </c>
      <c r="Y78" s="0" t="n">
        <v>6.54545454545455</v>
      </c>
      <c r="Z78" s="0" t="n">
        <v>0.0616393727754812</v>
      </c>
      <c r="AA78" s="0" t="n">
        <v>0.350055530130554</v>
      </c>
      <c r="AC78" s="0" t="n">
        <v>8.41558441558442</v>
      </c>
      <c r="AD78" s="0" t="n">
        <v>0.0203974374538933</v>
      </c>
      <c r="AE78" s="0" t="n">
        <v>0.350049991290136</v>
      </c>
    </row>
    <row r="79" customFormat="false" ht="12.75" hidden="false" customHeight="false" outlineLevel="0" collapsed="false">
      <c r="E79" s="0" t="n">
        <v>6.63636363636364</v>
      </c>
      <c r="F79" s="0" t="n">
        <v>0.0697693635593153</v>
      </c>
      <c r="G79" s="0" t="n">
        <v>0.0267805729910982</v>
      </c>
      <c r="I79" s="0" t="n">
        <v>7.58441558441558</v>
      </c>
      <c r="J79" s="0" t="n">
        <v>0.0333503343032482</v>
      </c>
      <c r="K79" s="0" t="n">
        <v>0.0267795303858429</v>
      </c>
      <c r="M79" s="0" t="n">
        <v>9.48051948051948</v>
      </c>
      <c r="N79" s="0" t="n">
        <v>0.0270514539895576</v>
      </c>
      <c r="O79" s="0" t="n">
        <v>0.0267784877805875</v>
      </c>
      <c r="U79" s="0" t="n">
        <v>6.63636363636364</v>
      </c>
      <c r="V79" s="0" t="n">
        <v>0.370649743908857</v>
      </c>
      <c r="W79" s="0" t="n">
        <v>0.350061068970973</v>
      </c>
      <c r="Y79" s="0" t="n">
        <v>6.63636363636364</v>
      </c>
      <c r="Z79" s="0" t="n">
        <v>0.0519644247539721</v>
      </c>
      <c r="AA79" s="0" t="n">
        <v>0.350055530130554</v>
      </c>
      <c r="AC79" s="0" t="n">
        <v>8.53246753246753</v>
      </c>
      <c r="AD79" s="0" t="n">
        <v>0.0275815776966415</v>
      </c>
      <c r="AE79" s="0" t="n">
        <v>0.350049991290136</v>
      </c>
    </row>
    <row r="80" customFormat="false" ht="12.75" hidden="false" customHeight="false" outlineLevel="0" collapsed="false">
      <c r="E80" s="0" t="n">
        <v>6.72727272727273</v>
      </c>
      <c r="F80" s="0" t="n">
        <v>0.0766359829462154</v>
      </c>
      <c r="G80" s="0" t="n">
        <v>0.0267805729910982</v>
      </c>
      <c r="I80" s="0" t="n">
        <v>7.68831168831169</v>
      </c>
      <c r="J80" s="0" t="n">
        <v>0.0379398325353795</v>
      </c>
      <c r="K80" s="0" t="n">
        <v>0.0267795303858429</v>
      </c>
      <c r="M80" s="0" t="n">
        <v>9.61038961038961</v>
      </c>
      <c r="N80" s="0" t="n">
        <v>0.0320120062069578</v>
      </c>
      <c r="O80" s="0" t="n">
        <v>0.0267784877805875</v>
      </c>
      <c r="U80" s="0" t="n">
        <v>6.72727272727273</v>
      </c>
      <c r="V80" s="0" t="n">
        <v>0.407128659401816</v>
      </c>
      <c r="W80" s="0" t="n">
        <v>0.350061068970973</v>
      </c>
      <c r="Y80" s="0" t="n">
        <v>6.72727272727273</v>
      </c>
      <c r="Z80" s="0" t="n">
        <v>0.0476886852976042</v>
      </c>
      <c r="AA80" s="0" t="n">
        <v>0.350055530130554</v>
      </c>
      <c r="AC80" s="0" t="n">
        <v>8.64935064935065</v>
      </c>
      <c r="AD80" s="0" t="n">
        <v>0.0360346443972084</v>
      </c>
      <c r="AE80" s="0" t="n">
        <v>0.350049991290136</v>
      </c>
    </row>
    <row r="81" customFormat="false" ht="12.75" hidden="false" customHeight="false" outlineLevel="0" collapsed="false">
      <c r="E81" s="0" t="n">
        <v>6.81818181818182</v>
      </c>
      <c r="F81" s="0" t="n">
        <v>0.0840212490705848</v>
      </c>
      <c r="G81" s="0" t="n">
        <v>0.0267805729910982</v>
      </c>
      <c r="I81" s="0" t="n">
        <v>7.79220779220779</v>
      </c>
      <c r="J81" s="0" t="n">
        <v>0.0429641786135491</v>
      </c>
      <c r="K81" s="0" t="n">
        <v>0.0267795303858429</v>
      </c>
      <c r="M81" s="0" t="n">
        <v>9.74025974025974</v>
      </c>
      <c r="N81" s="0" t="n">
        <v>0.037575080133568</v>
      </c>
      <c r="O81" s="0" t="n">
        <v>0.0267784877805875</v>
      </c>
      <c r="U81" s="0" t="n">
        <v>6.81818181818182</v>
      </c>
      <c r="V81" s="0" t="n">
        <v>0.446362885687485</v>
      </c>
      <c r="W81" s="0" t="n">
        <v>0.350061068970973</v>
      </c>
      <c r="Y81" s="0" t="n">
        <v>6.81818181818182</v>
      </c>
      <c r="Z81" s="0" t="n">
        <v>0.0564099686724293</v>
      </c>
      <c r="AA81" s="0" t="n">
        <v>0.350055530130554</v>
      </c>
      <c r="AC81" s="0" t="n">
        <v>8.76623376623377</v>
      </c>
      <c r="AD81" s="0" t="n">
        <v>0.0458729888945</v>
      </c>
      <c r="AE81" s="0" t="n">
        <v>0.350049991290136</v>
      </c>
    </row>
    <row r="82" customFormat="false" ht="12.75" hidden="false" customHeight="false" outlineLevel="0" collapsed="false">
      <c r="E82" s="0" t="n">
        <v>6.90909090909091</v>
      </c>
      <c r="F82" s="0" t="n">
        <v>0.0919520044649941</v>
      </c>
      <c r="G82" s="0" t="n">
        <v>0.0267805729910982</v>
      </c>
      <c r="I82" s="0" t="n">
        <v>7.8961038961039</v>
      </c>
      <c r="J82" s="0" t="n">
        <v>0.0484494927281764</v>
      </c>
      <c r="K82" s="0" t="n">
        <v>0.0267795303858429</v>
      </c>
      <c r="M82" s="0" t="n">
        <v>9.87012987012987</v>
      </c>
      <c r="N82" s="0" t="n">
        <v>0.0437895944736441</v>
      </c>
      <c r="O82" s="0" t="n">
        <v>0.0267784877805875</v>
      </c>
      <c r="U82" s="0" t="n">
        <v>6.90909090909091</v>
      </c>
      <c r="V82" s="0" t="n">
        <v>0.48849502372024</v>
      </c>
      <c r="W82" s="0" t="n">
        <v>0.350061068970973</v>
      </c>
      <c r="Y82" s="0" t="n">
        <v>6.90909090909091</v>
      </c>
      <c r="Z82" s="0" t="n">
        <v>0.0661407052306684</v>
      </c>
      <c r="AA82" s="0" t="n">
        <v>0.350055530130554</v>
      </c>
      <c r="AC82" s="0" t="n">
        <v>8.88311688311688</v>
      </c>
      <c r="AD82" s="0" t="n">
        <v>0.0572183502516517</v>
      </c>
      <c r="AE82" s="0" t="n">
        <v>0.350049991290136</v>
      </c>
    </row>
    <row r="83" customFormat="false" ht="12.75" hidden="false" customHeight="false" outlineLevel="0" collapsed="false">
      <c r="E83" s="0" t="n">
        <v>7</v>
      </c>
      <c r="F83" s="0" t="n">
        <v>0.100455742497681</v>
      </c>
      <c r="G83" s="0" t="n">
        <v>0.0267805729910982</v>
      </c>
      <c r="I83" s="0" t="n">
        <v>8</v>
      </c>
      <c r="J83" s="0" t="n">
        <v>0.0544227448208589</v>
      </c>
      <c r="K83" s="0" t="n">
        <v>0.0267795303858429</v>
      </c>
      <c r="M83" s="0" t="n">
        <v>10</v>
      </c>
      <c r="N83" s="0" t="n">
        <v>0.0507082218078523</v>
      </c>
      <c r="O83" s="0" t="n">
        <v>0.0267784877805875</v>
      </c>
      <c r="U83" s="0" t="n">
        <v>7</v>
      </c>
      <c r="V83" s="0" t="n">
        <v>0.533671132018978</v>
      </c>
      <c r="W83" s="0" t="n">
        <v>0.350061068970973</v>
      </c>
      <c r="Y83" s="0" t="n">
        <v>7</v>
      </c>
      <c r="Z83" s="0" t="n">
        <v>0.0769495474781075</v>
      </c>
      <c r="AA83" s="0" t="n">
        <v>0.350055530130554</v>
      </c>
      <c r="AC83" s="0" t="n">
        <v>9</v>
      </c>
      <c r="AD83" s="0" t="n">
        <v>0.0701982320827335</v>
      </c>
      <c r="AE83" s="0" t="n">
        <v>0.350049991290136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28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2" activeCellId="0" sqref="A2:C6"/>
    </sheetView>
  </sheetViews>
  <sheetFormatPr defaultColWidth="9.0546875" defaultRowHeight="12.75" customHeight="false" zeroHeight="false" outlineLevelRow="0" outlineLevelCol="0"/>
  <sheetData>
    <row r="2" customFormat="false" ht="38.25" hidden="false" customHeight="false" outlineLevel="0" collapsed="false">
      <c r="A2" s="1" t="s">
        <v>13</v>
      </c>
      <c r="E2" s="1" t="s">
        <v>13</v>
      </c>
      <c r="I2" s="1" t="s">
        <v>13</v>
      </c>
      <c r="M2" s="1" t="s">
        <v>13</v>
      </c>
      <c r="Q2" s="1" t="s">
        <v>13</v>
      </c>
      <c r="U2" s="1" t="s">
        <v>13</v>
      </c>
      <c r="Y2" s="1" t="s">
        <v>13</v>
      </c>
      <c r="AC2" s="1" t="s">
        <v>13</v>
      </c>
    </row>
    <row r="3" customFormat="false" ht="12.75" hidden="false" customHeight="false" outlineLevel="0" collapsed="false">
      <c r="A3" s="6" t="s">
        <v>60</v>
      </c>
      <c r="E3" s="6" t="s">
        <v>60</v>
      </c>
      <c r="I3" s="6" t="s">
        <v>60</v>
      </c>
      <c r="M3" s="6" t="s">
        <v>60</v>
      </c>
      <c r="Q3" s="6" t="s">
        <v>60</v>
      </c>
      <c r="U3" s="6" t="s">
        <v>60</v>
      </c>
      <c r="Y3" s="6" t="s">
        <v>60</v>
      </c>
      <c r="AC3" s="6" t="s">
        <v>60</v>
      </c>
    </row>
    <row r="4" customFormat="false" ht="12.75" hidden="false" customHeight="false" outlineLevel="0" collapsed="false">
      <c r="A4" s="34" t="s">
        <v>118</v>
      </c>
      <c r="E4" s="34" t="s">
        <v>119</v>
      </c>
      <c r="I4" s="34" t="s">
        <v>120</v>
      </c>
      <c r="M4" s="34" t="s">
        <v>121</v>
      </c>
      <c r="Q4" s="34" t="s">
        <v>122</v>
      </c>
      <c r="U4" s="34" t="s">
        <v>123</v>
      </c>
      <c r="Y4" s="34" t="s">
        <v>124</v>
      </c>
      <c r="AC4" s="34" t="s">
        <v>125</v>
      </c>
    </row>
    <row r="5" customFormat="false" ht="38.25" hidden="false" customHeight="false" outlineLevel="0" collapsed="false">
      <c r="A5" s="1" t="s">
        <v>19</v>
      </c>
      <c r="B5" s="4" t="s">
        <v>42</v>
      </c>
      <c r="C5" s="4"/>
      <c r="E5" s="1" t="s">
        <v>19</v>
      </c>
      <c r="F5" s="4" t="s">
        <v>42</v>
      </c>
      <c r="G5" s="4"/>
      <c r="I5" s="1" t="s">
        <v>19</v>
      </c>
      <c r="J5" s="4" t="s">
        <v>42</v>
      </c>
      <c r="K5" s="4"/>
      <c r="M5" s="1" t="s">
        <v>19</v>
      </c>
      <c r="N5" s="4" t="s">
        <v>42</v>
      </c>
      <c r="O5" s="4"/>
      <c r="Q5" s="1" t="s">
        <v>19</v>
      </c>
      <c r="R5" s="4" t="s">
        <v>42</v>
      </c>
      <c r="S5" s="4"/>
      <c r="U5" s="1" t="s">
        <v>19</v>
      </c>
      <c r="V5" s="4" t="s">
        <v>42</v>
      </c>
      <c r="W5" s="4"/>
      <c r="Y5" s="1" t="s">
        <v>19</v>
      </c>
      <c r="Z5" s="4" t="s">
        <v>42</v>
      </c>
      <c r="AA5" s="4"/>
      <c r="AC5" s="1" t="s">
        <v>19</v>
      </c>
      <c r="AD5" s="4" t="s">
        <v>42</v>
      </c>
      <c r="AE5" s="4"/>
    </row>
    <row r="6" customFormat="false" ht="12.75" hidden="false" customHeight="false" outlineLevel="0" collapsed="false">
      <c r="A6" s="6" t="s">
        <v>66</v>
      </c>
      <c r="B6" s="6" t="s">
        <v>83</v>
      </c>
      <c r="C6" s="6" t="s">
        <v>77</v>
      </c>
      <c r="E6" s="6" t="s">
        <v>66</v>
      </c>
      <c r="F6" s="6" t="s">
        <v>83</v>
      </c>
      <c r="G6" s="6" t="s">
        <v>77</v>
      </c>
      <c r="I6" s="6" t="s">
        <v>66</v>
      </c>
      <c r="J6" s="6" t="s">
        <v>83</v>
      </c>
      <c r="K6" s="6" t="s">
        <v>77</v>
      </c>
      <c r="M6" s="6" t="s">
        <v>66</v>
      </c>
      <c r="N6" s="6" t="s">
        <v>83</v>
      </c>
      <c r="O6" s="6" t="s">
        <v>77</v>
      </c>
      <c r="Q6" s="6" t="s">
        <v>66</v>
      </c>
      <c r="R6" s="6" t="s">
        <v>83</v>
      </c>
      <c r="S6" s="6" t="s">
        <v>77</v>
      </c>
      <c r="U6" s="6" t="s">
        <v>66</v>
      </c>
      <c r="V6" s="6" t="s">
        <v>83</v>
      </c>
      <c r="W6" s="6" t="s">
        <v>77</v>
      </c>
      <c r="Y6" s="6" t="s">
        <v>66</v>
      </c>
      <c r="Z6" s="6" t="s">
        <v>83</v>
      </c>
      <c r="AA6" s="6" t="s">
        <v>77</v>
      </c>
      <c r="AC6" s="6" t="s">
        <v>66</v>
      </c>
      <c r="AD6" s="6" t="s">
        <v>83</v>
      </c>
      <c r="AE6" s="6" t="s">
        <v>77</v>
      </c>
    </row>
    <row r="7" customFormat="false" ht="12.75" hidden="false" customHeight="false" outlineLevel="0" collapsed="false">
      <c r="A7" s="0" t="n">
        <v>0</v>
      </c>
      <c r="B7" s="0" t="n">
        <v>-4.16333634234434E-017</v>
      </c>
      <c r="C7" s="0" t="n">
        <v>-0.138733857037039</v>
      </c>
      <c r="E7" s="0" t="n">
        <v>0</v>
      </c>
      <c r="F7" s="0" t="n">
        <v>-2.77555756156289E-017</v>
      </c>
      <c r="G7" s="0" t="n">
        <v>-0.138733857037039</v>
      </c>
      <c r="I7" s="0" t="n">
        <v>0</v>
      </c>
      <c r="J7" s="0" t="n">
        <v>6.93889390390723E-017</v>
      </c>
      <c r="K7" s="0" t="n">
        <v>-0.138733857037039</v>
      </c>
      <c r="M7" s="0" t="n">
        <v>0</v>
      </c>
      <c r="N7" s="0" t="n">
        <v>1.38777878078145E-017</v>
      </c>
      <c r="O7" s="0" t="n">
        <v>-0.138733857037039</v>
      </c>
      <c r="Q7" s="0" t="n">
        <v>0</v>
      </c>
      <c r="R7" s="0" t="n">
        <v>-3.46944695195361E-018</v>
      </c>
      <c r="S7" s="0" t="n">
        <v>-0.138733857037039</v>
      </c>
      <c r="U7" s="0" t="n">
        <v>0</v>
      </c>
      <c r="V7" s="0" t="n">
        <v>8.67361737988404E-018</v>
      </c>
      <c r="W7" s="0" t="n">
        <v>-0.138733857037039</v>
      </c>
      <c r="Y7" s="0" t="n">
        <v>0</v>
      </c>
      <c r="Z7" s="0" t="n">
        <v>6.93889390390723E-018</v>
      </c>
      <c r="AA7" s="0" t="n">
        <v>-0.138733857037039</v>
      </c>
      <c r="AC7" s="0" t="n">
        <v>0</v>
      </c>
      <c r="AD7" s="0" t="n">
        <v>-8.67361737988404E-019</v>
      </c>
      <c r="AE7" s="0" t="n">
        <v>-0.138733857037039</v>
      </c>
    </row>
    <row r="8" customFormat="false" ht="12.75" hidden="false" customHeight="false" outlineLevel="0" collapsed="false">
      <c r="A8" s="0" t="n">
        <v>0.299199300341885</v>
      </c>
      <c r="B8" s="0" t="n">
        <v>-0.0115964938623658</v>
      </c>
      <c r="C8" s="0" t="n">
        <v>-0.138733857037039</v>
      </c>
      <c r="E8" s="0" t="n">
        <v>0.299199300341885</v>
      </c>
      <c r="F8" s="0" t="n">
        <v>-0.00537573642395929</v>
      </c>
      <c r="G8" s="0" t="n">
        <v>-0.138733857037039</v>
      </c>
      <c r="I8" s="0" t="n">
        <v>0.299199300341885</v>
      </c>
      <c r="J8" s="0" t="n">
        <v>-0.00152120920477307</v>
      </c>
      <c r="K8" s="0" t="n">
        <v>-0.138733857037039</v>
      </c>
      <c r="M8" s="0" t="n">
        <v>0.299199300341885</v>
      </c>
      <c r="N8" s="0" t="n">
        <v>0.000604750876426023</v>
      </c>
      <c r="O8" s="0" t="n">
        <v>-0.138733857037039</v>
      </c>
      <c r="Q8" s="0" t="n">
        <v>0.299199300341885</v>
      </c>
      <c r="R8" s="0" t="n">
        <v>0.00112145302856767</v>
      </c>
      <c r="S8" s="0" t="n">
        <v>-0.138733857037039</v>
      </c>
      <c r="U8" s="0" t="n">
        <v>0.299199300341885</v>
      </c>
      <c r="V8" s="0" t="n">
        <v>0.000728428151565741</v>
      </c>
      <c r="W8" s="0" t="n">
        <v>-0.138733857037039</v>
      </c>
      <c r="Y8" s="0" t="n">
        <v>0.299199300341885</v>
      </c>
      <c r="Z8" s="0" t="n">
        <v>0.000401563708506403</v>
      </c>
      <c r="AA8" s="0" t="n">
        <v>-0.138733857037039</v>
      </c>
      <c r="AC8" s="0" t="n">
        <v>0.299199300341885</v>
      </c>
      <c r="AD8" s="0" t="n">
        <v>0.00016154766960349</v>
      </c>
      <c r="AE8" s="0" t="n">
        <v>-0.138733857037039</v>
      </c>
    </row>
    <row r="9" customFormat="false" ht="12.75" hidden="false" customHeight="false" outlineLevel="0" collapsed="false">
      <c r="A9" s="0" t="n">
        <v>0.59839860068377</v>
      </c>
      <c r="B9" s="0" t="n">
        <v>-0.0089919474709029</v>
      </c>
      <c r="C9" s="0" t="n">
        <v>-0.138733857037039</v>
      </c>
      <c r="E9" s="0" t="n">
        <v>0.59839860068377</v>
      </c>
      <c r="F9" s="0" t="n">
        <v>-0.00374951126650125</v>
      </c>
      <c r="G9" s="0" t="n">
        <v>-0.138733857037039</v>
      </c>
      <c r="I9" s="0" t="n">
        <v>0.59839860068377</v>
      </c>
      <c r="J9" s="0" t="n">
        <v>-5.06619058616362E-005</v>
      </c>
      <c r="K9" s="0" t="n">
        <v>-0.138733857037039</v>
      </c>
      <c r="M9" s="0" t="n">
        <v>0.59839860068377</v>
      </c>
      <c r="N9" s="0" t="n">
        <v>0.00235781802669423</v>
      </c>
      <c r="O9" s="0" t="n">
        <v>-0.138733857037039</v>
      </c>
      <c r="Q9" s="0" t="n">
        <v>0.59839860068377</v>
      </c>
      <c r="R9" s="0" t="n">
        <v>0.00386361734441307</v>
      </c>
      <c r="S9" s="0" t="n">
        <v>-0.138733857037039</v>
      </c>
      <c r="U9" s="0" t="n">
        <v>0.59839860068377</v>
      </c>
      <c r="V9" s="0" t="n">
        <v>0.00318179707773833</v>
      </c>
      <c r="W9" s="0" t="n">
        <v>-0.138733857037039</v>
      </c>
      <c r="Y9" s="0" t="n">
        <v>0.59839860068377</v>
      </c>
      <c r="Z9" s="0" t="n">
        <v>0.0023151261373032</v>
      </c>
      <c r="AA9" s="0" t="n">
        <v>-0.138733857037039</v>
      </c>
      <c r="AC9" s="0" t="n">
        <v>0.59839860068377</v>
      </c>
      <c r="AD9" s="0" t="n">
        <v>0.00127504506961042</v>
      </c>
      <c r="AE9" s="0" t="n">
        <v>-0.138733857037039</v>
      </c>
    </row>
    <row r="10" customFormat="false" ht="12.75" hidden="false" customHeight="false" outlineLevel="0" collapsed="false">
      <c r="A10" s="0" t="n">
        <v>0.897597901025655</v>
      </c>
      <c r="B10" s="0" t="n">
        <v>0.0061165145189868</v>
      </c>
      <c r="C10" s="0" t="n">
        <v>-0.138733857037039</v>
      </c>
      <c r="E10" s="0" t="n">
        <v>0.897597901025655</v>
      </c>
      <c r="F10" s="0" t="n">
        <v>0.0028935332330982</v>
      </c>
      <c r="G10" s="0" t="n">
        <v>-0.138733857037039</v>
      </c>
      <c r="I10" s="0" t="n">
        <v>0.897597901025655</v>
      </c>
      <c r="J10" s="0" t="n">
        <v>0.000596463816777942</v>
      </c>
      <c r="K10" s="0" t="n">
        <v>-0.138733857037039</v>
      </c>
      <c r="M10" s="0" t="n">
        <v>0.897597901025655</v>
      </c>
      <c r="N10" s="0" t="n">
        <v>-0.000921600757839945</v>
      </c>
      <c r="O10" s="0" t="n">
        <v>-0.138733857037039</v>
      </c>
      <c r="Q10" s="0" t="n">
        <v>0.897597901025655</v>
      </c>
      <c r="R10" s="0" t="n">
        <v>-0.00205724185601379</v>
      </c>
      <c r="S10" s="0" t="n">
        <v>-0.138733857037039</v>
      </c>
      <c r="U10" s="0" t="n">
        <v>0.897597901025655</v>
      </c>
      <c r="V10" s="0" t="n">
        <v>-0.00170145277530028</v>
      </c>
      <c r="W10" s="0" t="n">
        <v>-0.138733857037039</v>
      </c>
      <c r="Y10" s="0" t="n">
        <v>0.897597901025655</v>
      </c>
      <c r="Z10" s="0" t="n">
        <v>-0.00124045371325241</v>
      </c>
      <c r="AA10" s="0" t="n">
        <v>-0.138733857037039</v>
      </c>
      <c r="AC10" s="0" t="n">
        <v>0.897597901025655</v>
      </c>
      <c r="AD10" s="0" t="n">
        <v>-0.000685265376399871</v>
      </c>
      <c r="AE10" s="0" t="n">
        <v>-0.138733857037039</v>
      </c>
    </row>
    <row r="11" customFormat="false" ht="12.75" hidden="false" customHeight="false" outlineLevel="0" collapsed="false">
      <c r="A11" s="0" t="n">
        <v>1.19679720136754</v>
      </c>
      <c r="B11" s="0" t="n">
        <v>0.0100094956215657</v>
      </c>
      <c r="C11" s="0" t="n">
        <v>-0.138733857037039</v>
      </c>
      <c r="E11" s="0" t="n">
        <v>1.19679720136754</v>
      </c>
      <c r="F11" s="0" t="n">
        <v>0.00303078890596822</v>
      </c>
      <c r="G11" s="0" t="n">
        <v>-0.138733857037039</v>
      </c>
      <c r="I11" s="0" t="n">
        <v>1.19679720136754</v>
      </c>
      <c r="J11" s="0" t="n">
        <v>-0.00110372642911133</v>
      </c>
      <c r="K11" s="0" t="n">
        <v>-0.138733857037039</v>
      </c>
      <c r="M11" s="0" t="n">
        <v>1.19679720136754</v>
      </c>
      <c r="N11" s="0" t="n">
        <v>-0.00317266809884825</v>
      </c>
      <c r="O11" s="0" t="n">
        <v>-0.138733857037039</v>
      </c>
      <c r="Q11" s="0" t="n">
        <v>1.19679720136754</v>
      </c>
      <c r="R11" s="0" t="n">
        <v>-0.00214409216056584</v>
      </c>
      <c r="S11" s="0" t="n">
        <v>-0.138733857037039</v>
      </c>
      <c r="U11" s="0" t="n">
        <v>1.19679720136754</v>
      </c>
      <c r="V11" s="0" t="n">
        <v>-0.00138259268799268</v>
      </c>
      <c r="W11" s="0" t="n">
        <v>-0.138733857037039</v>
      </c>
      <c r="Y11" s="0" t="n">
        <v>1.19679720136754</v>
      </c>
      <c r="Z11" s="0" t="n">
        <v>-0.000764868854532414</v>
      </c>
      <c r="AA11" s="0" t="n">
        <v>-0.138733857037039</v>
      </c>
      <c r="AC11" s="0" t="n">
        <v>1.19679720136754</v>
      </c>
      <c r="AD11" s="0" t="n">
        <v>-0.000311218649754931</v>
      </c>
      <c r="AE11" s="0" t="n">
        <v>-0.138733857037039</v>
      </c>
    </row>
    <row r="12" customFormat="false" ht="12.75" hidden="false" customHeight="false" outlineLevel="0" collapsed="false">
      <c r="A12" s="0" t="n">
        <v>1.49599650170943</v>
      </c>
      <c r="B12" s="0" t="n">
        <v>0.00434383088582203</v>
      </c>
      <c r="C12" s="0" t="n">
        <v>-0.138733857037039</v>
      </c>
      <c r="E12" s="0" t="n">
        <v>1.49599650170943</v>
      </c>
      <c r="F12" s="0" t="n">
        <v>0.00254560634162772</v>
      </c>
      <c r="G12" s="0" t="n">
        <v>-0.138733857037039</v>
      </c>
      <c r="I12" s="0" t="n">
        <v>1.49599650170943</v>
      </c>
      <c r="J12" s="0" t="n">
        <v>0.00136406363396758</v>
      </c>
      <c r="K12" s="0" t="n">
        <v>-0.138733857037039</v>
      </c>
      <c r="M12" s="0" t="n">
        <v>1.49599650170943</v>
      </c>
      <c r="N12" s="0" t="n">
        <v>0.000638318590552016</v>
      </c>
      <c r="O12" s="0" t="n">
        <v>-0.138733857037039</v>
      </c>
      <c r="Q12" s="0" t="n">
        <v>1.49599650170943</v>
      </c>
      <c r="R12" s="0" t="n">
        <v>-5.40202647024875E-005</v>
      </c>
      <c r="S12" s="0" t="n">
        <v>-0.138733857037039</v>
      </c>
      <c r="U12" s="0" t="n">
        <v>1.49599650170943</v>
      </c>
      <c r="V12" s="0" t="n">
        <v>-4.09469890641657E-005</v>
      </c>
      <c r="W12" s="0" t="n">
        <v>-0.138733857037039</v>
      </c>
      <c r="Y12" s="0" t="n">
        <v>1.49599650170943</v>
      </c>
      <c r="Z12" s="0" t="n">
        <v>-2.28231389496486E-005</v>
      </c>
      <c r="AA12" s="0" t="n">
        <v>-0.138733857037039</v>
      </c>
      <c r="AC12" s="0" t="n">
        <v>1.49599650170943</v>
      </c>
      <c r="AD12" s="0" t="n">
        <v>-8.34603179024687E-006</v>
      </c>
      <c r="AE12" s="0" t="n">
        <v>-0.138733857037039</v>
      </c>
    </row>
    <row r="13" customFormat="false" ht="12.75" hidden="false" customHeight="false" outlineLevel="0" collapsed="false">
      <c r="A13" s="0" t="n">
        <v>1.79519580205131</v>
      </c>
      <c r="B13" s="0" t="n">
        <v>-0.0107507084608892</v>
      </c>
      <c r="C13" s="0" t="n">
        <v>-0.138733857037039</v>
      </c>
      <c r="E13" s="0" t="n">
        <v>1.79519580205131</v>
      </c>
      <c r="F13" s="0" t="n">
        <v>-0.00573209925801613</v>
      </c>
      <c r="G13" s="0" t="n">
        <v>-0.138733857037039</v>
      </c>
      <c r="I13" s="0" t="n">
        <v>1.79519580205131</v>
      </c>
      <c r="J13" s="0" t="n">
        <v>-0.00253042603122731</v>
      </c>
      <c r="K13" s="0" t="n">
        <v>-0.138733857037039</v>
      </c>
      <c r="M13" s="0" t="n">
        <v>1.79519580205131</v>
      </c>
      <c r="N13" s="0" t="n">
        <v>-0.000662520205423546</v>
      </c>
      <c r="O13" s="0" t="n">
        <v>-0.138733857037039</v>
      </c>
      <c r="Q13" s="0" t="n">
        <v>1.79519580205131</v>
      </c>
      <c r="R13" s="0" t="n">
        <v>0.000514113760287163</v>
      </c>
      <c r="S13" s="0" t="n">
        <v>-0.138733857037039</v>
      </c>
      <c r="U13" s="0" t="n">
        <v>1.79519580205131</v>
      </c>
      <c r="V13" s="0" t="n">
        <v>0.000341323369843131</v>
      </c>
      <c r="W13" s="0" t="n">
        <v>-0.138733857037039</v>
      </c>
      <c r="Y13" s="0" t="n">
        <v>1.79519580205131</v>
      </c>
      <c r="Z13" s="0" t="n">
        <v>0.000188143530229407</v>
      </c>
      <c r="AA13" s="0" t="n">
        <v>-0.138733857037039</v>
      </c>
      <c r="AC13" s="0" t="n">
        <v>1.79519580205131</v>
      </c>
      <c r="AD13" s="0" t="n">
        <v>7.44056999850244E-005</v>
      </c>
      <c r="AE13" s="0" t="n">
        <v>-0.138733857037039</v>
      </c>
    </row>
    <row r="14" customFormat="false" ht="12.75" hidden="false" customHeight="false" outlineLevel="0" collapsed="false">
      <c r="A14" s="0" t="n">
        <v>2.0943951023932</v>
      </c>
      <c r="B14" s="0" t="n">
        <v>-0.01004960475403</v>
      </c>
      <c r="C14" s="0" t="n">
        <v>-0.138733857037039</v>
      </c>
      <c r="E14" s="0" t="n">
        <v>2.0943951023932</v>
      </c>
      <c r="F14" s="0" t="n">
        <v>-0.00300363449902163</v>
      </c>
      <c r="G14" s="0" t="n">
        <v>-0.138733857037039</v>
      </c>
      <c r="I14" s="0" t="n">
        <v>2.0943951023932</v>
      </c>
      <c r="J14" s="0" t="n">
        <v>0.00189107083459535</v>
      </c>
      <c r="K14" s="0" t="n">
        <v>-0.138733857037039</v>
      </c>
      <c r="M14" s="0" t="n">
        <v>2.0943951023932</v>
      </c>
      <c r="N14" s="0" t="n">
        <v>0.00500196892226824</v>
      </c>
      <c r="O14" s="0" t="n">
        <v>-0.138733857037039</v>
      </c>
      <c r="Q14" s="0" t="n">
        <v>2.0943951023932</v>
      </c>
      <c r="R14" s="0" t="n">
        <v>0.00600971092643351</v>
      </c>
      <c r="S14" s="0" t="n">
        <v>-0.138733857037039</v>
      </c>
      <c r="U14" s="0" t="n">
        <v>2.0943951023932</v>
      </c>
      <c r="V14" s="0" t="n">
        <v>0.00392336991664443</v>
      </c>
      <c r="W14" s="0" t="n">
        <v>-0.138733857037039</v>
      </c>
      <c r="Y14" s="0" t="n">
        <v>2.0943951023932</v>
      </c>
      <c r="Z14" s="0" t="n">
        <v>0.00221563405729977</v>
      </c>
      <c r="AA14" s="0" t="n">
        <v>-0.138733857037039</v>
      </c>
      <c r="AC14" s="0" t="n">
        <v>2.0943951023932</v>
      </c>
      <c r="AD14" s="0" t="n">
        <v>0.00092200870038847</v>
      </c>
      <c r="AE14" s="0" t="n">
        <v>-0.138733857037039</v>
      </c>
    </row>
    <row r="15" customFormat="false" ht="12.75" hidden="false" customHeight="false" outlineLevel="0" collapsed="false">
      <c r="A15" s="0" t="n">
        <v>2.39359440273508</v>
      </c>
      <c r="B15" s="0" t="n">
        <v>0.00215840572815307</v>
      </c>
      <c r="C15" s="0" t="n">
        <v>-0.138733857037039</v>
      </c>
      <c r="E15" s="0" t="n">
        <v>2.39359440273508</v>
      </c>
      <c r="F15" s="0" t="n">
        <v>0.00107189006007545</v>
      </c>
      <c r="G15" s="0" t="n">
        <v>-0.138733857037039</v>
      </c>
      <c r="I15" s="0" t="n">
        <v>2.39359440273508</v>
      </c>
      <c r="J15" s="0" t="n">
        <v>0.00029361092334379</v>
      </c>
      <c r="K15" s="0" t="n">
        <v>-0.138733857037039</v>
      </c>
      <c r="M15" s="0" t="n">
        <v>2.39359440273508</v>
      </c>
      <c r="N15" s="0" t="n">
        <v>-0.00022441536120299</v>
      </c>
      <c r="O15" s="0" t="n">
        <v>-0.138733857037039</v>
      </c>
      <c r="Q15" s="0" t="n">
        <v>2.39359440273508</v>
      </c>
      <c r="R15" s="0" t="n">
        <v>-0.000641866449620446</v>
      </c>
      <c r="S15" s="0" t="n">
        <v>-0.138733857037039</v>
      </c>
      <c r="U15" s="0" t="n">
        <v>2.39359440273508</v>
      </c>
      <c r="V15" s="0" t="n">
        <v>-0.00053220338013606</v>
      </c>
      <c r="W15" s="0" t="n">
        <v>-0.138733857037039</v>
      </c>
      <c r="Y15" s="0" t="n">
        <v>2.39359440273508</v>
      </c>
      <c r="Z15" s="0" t="n">
        <v>-0.000388334148216322</v>
      </c>
      <c r="AA15" s="0" t="n">
        <v>-0.138733857037039</v>
      </c>
      <c r="AC15" s="0" t="n">
        <v>2.39359440273508</v>
      </c>
      <c r="AD15" s="0" t="n">
        <v>-0.000214727502133358</v>
      </c>
      <c r="AE15" s="0" t="n">
        <v>-0.138733857037039</v>
      </c>
    </row>
    <row r="16" customFormat="false" ht="12.75" hidden="false" customHeight="false" outlineLevel="0" collapsed="false">
      <c r="A16" s="0" t="n">
        <v>2.69279370307697</v>
      </c>
      <c r="B16" s="0" t="n">
        <v>0.00855841046009563</v>
      </c>
      <c r="C16" s="0" t="n">
        <v>-0.138733857037039</v>
      </c>
      <c r="E16" s="0" t="n">
        <v>2.69279370307697</v>
      </c>
      <c r="F16" s="0" t="n">
        <v>4.45234765516084E-005</v>
      </c>
      <c r="G16" s="0" t="n">
        <v>-0.138733857037039</v>
      </c>
      <c r="I16" s="0" t="n">
        <v>2.69279370307697</v>
      </c>
      <c r="J16" s="0" t="n">
        <v>-0.00573927116194406</v>
      </c>
      <c r="K16" s="0" t="n">
        <v>-0.138733857037039</v>
      </c>
      <c r="M16" s="0" t="n">
        <v>2.69279370307697</v>
      </c>
      <c r="N16" s="0" t="n">
        <v>-0.00735910024299412</v>
      </c>
      <c r="O16" s="0" t="n">
        <v>-0.138733857037039</v>
      </c>
      <c r="Q16" s="0" t="n">
        <v>2.69279370307697</v>
      </c>
      <c r="R16" s="0" t="n">
        <v>-0.00372730989024352</v>
      </c>
      <c r="S16" s="0" t="n">
        <v>-0.138733857037039</v>
      </c>
      <c r="U16" s="0" t="n">
        <v>2.69279370307697</v>
      </c>
      <c r="V16" s="0" t="n">
        <v>-0.0024097011304365</v>
      </c>
      <c r="W16" s="0" t="n">
        <v>-0.138733857037039</v>
      </c>
      <c r="Y16" s="0" t="n">
        <v>2.69279370307697</v>
      </c>
      <c r="Z16" s="0" t="n">
        <v>-0.00134338724414806</v>
      </c>
      <c r="AA16" s="0" t="n">
        <v>-0.138733857037039</v>
      </c>
      <c r="AC16" s="0" t="n">
        <v>2.69279370307697</v>
      </c>
      <c r="AD16" s="0" t="n">
        <v>-0.000552164550680741</v>
      </c>
      <c r="AE16" s="0" t="n">
        <v>-0.138733857037039</v>
      </c>
    </row>
    <row r="17" customFormat="false" ht="12.75" hidden="false" customHeight="false" outlineLevel="0" collapsed="false">
      <c r="A17" s="0" t="n">
        <v>2.99199300341885</v>
      </c>
      <c r="B17" s="0" t="n">
        <v>0.00812401947054041</v>
      </c>
      <c r="C17" s="0" t="n">
        <v>-0.138733857037039</v>
      </c>
      <c r="E17" s="0" t="n">
        <v>2.99199300341885</v>
      </c>
      <c r="F17" s="0" t="n">
        <v>0.00461897303227346</v>
      </c>
      <c r="G17" s="0" t="n">
        <v>-0.138733857037039</v>
      </c>
      <c r="I17" s="0" t="n">
        <v>2.99199300341885</v>
      </c>
      <c r="J17" s="0" t="n">
        <v>0.00234043775717746</v>
      </c>
      <c r="K17" s="0" t="n">
        <v>-0.138733857037039</v>
      </c>
      <c r="M17" s="0" t="n">
        <v>2.99199300341885</v>
      </c>
      <c r="N17" s="0" t="n">
        <v>0.000965906570444444</v>
      </c>
      <c r="O17" s="0" t="n">
        <v>-0.138733857037039</v>
      </c>
      <c r="Q17" s="0" t="n">
        <v>2.99199300341885</v>
      </c>
      <c r="R17" s="0" t="n">
        <v>-0.000194249311927405</v>
      </c>
      <c r="S17" s="0" t="n">
        <v>-0.138733857037039</v>
      </c>
      <c r="U17" s="0" t="n">
        <v>2.99199300341885</v>
      </c>
      <c r="V17" s="0" t="n">
        <v>-0.000135236892647108</v>
      </c>
      <c r="W17" s="0" t="n">
        <v>-0.138733857037039</v>
      </c>
      <c r="Y17" s="0" t="n">
        <v>2.99199300341885</v>
      </c>
      <c r="Z17" s="0" t="n">
        <v>-7.48112632776334E-005</v>
      </c>
      <c r="AA17" s="0" t="n">
        <v>-0.138733857037039</v>
      </c>
      <c r="AC17" s="0" t="n">
        <v>2.99199300341885</v>
      </c>
      <c r="AD17" s="0" t="n">
        <v>-2.87144340233407E-005</v>
      </c>
      <c r="AE17" s="0" t="n">
        <v>-0.138733857037039</v>
      </c>
    </row>
    <row r="18" customFormat="false" ht="12.75" hidden="false" customHeight="false" outlineLevel="0" collapsed="false">
      <c r="A18" s="0" t="n">
        <v>3.29119230376074</v>
      </c>
      <c r="B18" s="0" t="n">
        <v>-0.0081240194705393</v>
      </c>
      <c r="C18" s="0" t="n">
        <v>-0.138733857037039</v>
      </c>
      <c r="E18" s="0" t="n">
        <v>3.29119230376074</v>
      </c>
      <c r="F18" s="0" t="n">
        <v>-0.00461897303227278</v>
      </c>
      <c r="G18" s="0" t="n">
        <v>-0.138733857037039</v>
      </c>
      <c r="I18" s="0" t="n">
        <v>3.29119230376074</v>
      </c>
      <c r="J18" s="0" t="n">
        <v>-0.0023404377571765</v>
      </c>
      <c r="K18" s="0" t="n">
        <v>-0.138733857037039</v>
      </c>
      <c r="M18" s="0" t="n">
        <v>3.29119230376074</v>
      </c>
      <c r="N18" s="0" t="n">
        <v>-0.000965906570444625</v>
      </c>
      <c r="O18" s="0" t="n">
        <v>-0.138733857037039</v>
      </c>
      <c r="Q18" s="0" t="n">
        <v>3.29119230376074</v>
      </c>
      <c r="R18" s="0" t="n">
        <v>0.000194249311927106</v>
      </c>
      <c r="S18" s="0" t="n">
        <v>-0.138733857037039</v>
      </c>
      <c r="U18" s="0" t="n">
        <v>3.29119230376074</v>
      </c>
      <c r="V18" s="0" t="n">
        <v>0.000135236892647071</v>
      </c>
      <c r="W18" s="0" t="n">
        <v>-0.138733857037039</v>
      </c>
      <c r="Y18" s="0" t="n">
        <v>3.29119230376074</v>
      </c>
      <c r="Z18" s="0" t="n">
        <v>7.48112632775536E-005</v>
      </c>
      <c r="AA18" s="0" t="n">
        <v>-0.138733857037039</v>
      </c>
      <c r="AC18" s="0" t="n">
        <v>3.29119230376074</v>
      </c>
      <c r="AD18" s="0" t="n">
        <v>2.87144340233728E-005</v>
      </c>
      <c r="AE18" s="0" t="n">
        <v>-0.138733857037039</v>
      </c>
    </row>
    <row r="19" customFormat="false" ht="12.75" hidden="false" customHeight="false" outlineLevel="0" collapsed="false">
      <c r="A19" s="0" t="n">
        <v>3.59039160410262</v>
      </c>
      <c r="B19" s="0" t="n">
        <v>-0.00855841046009333</v>
      </c>
      <c r="C19" s="0" t="n">
        <v>-0.138733857037039</v>
      </c>
      <c r="E19" s="0" t="n">
        <v>3.59039160410262</v>
      </c>
      <c r="F19" s="0" t="n">
        <v>-4.45234765602265E-005</v>
      </c>
      <c r="G19" s="0" t="n">
        <v>-0.138733857037039</v>
      </c>
      <c r="I19" s="0" t="n">
        <v>3.59039160410262</v>
      </c>
      <c r="J19" s="0" t="n">
        <v>0.00573927116071908</v>
      </c>
      <c r="K19" s="0" t="n">
        <v>-0.138733857037039</v>
      </c>
      <c r="M19" s="0" t="n">
        <v>3.59039160410262</v>
      </c>
      <c r="N19" s="0" t="n">
        <v>0.00735910024299979</v>
      </c>
      <c r="O19" s="0" t="n">
        <v>-0.138733857037039</v>
      </c>
      <c r="Q19" s="0" t="n">
        <v>3.59039160410262</v>
      </c>
      <c r="R19" s="0" t="n">
        <v>0.00372730989024369</v>
      </c>
      <c r="S19" s="0" t="n">
        <v>-0.138733857037039</v>
      </c>
      <c r="U19" s="0" t="n">
        <v>3.59039160410262</v>
      </c>
      <c r="V19" s="0" t="n">
        <v>0.00240970113043642</v>
      </c>
      <c r="W19" s="0" t="n">
        <v>-0.138733857037039</v>
      </c>
      <c r="Y19" s="0" t="n">
        <v>3.59039160410262</v>
      </c>
      <c r="Z19" s="0" t="n">
        <v>0.00134338724414788</v>
      </c>
      <c r="AA19" s="0" t="n">
        <v>-0.138733857037039</v>
      </c>
      <c r="AC19" s="0" t="n">
        <v>3.59039160410262</v>
      </c>
      <c r="AD19" s="0" t="n">
        <v>0.000552164550680735</v>
      </c>
      <c r="AE19" s="0" t="n">
        <v>-0.138733857037039</v>
      </c>
    </row>
    <row r="20" customFormat="false" ht="12.75" hidden="false" customHeight="false" outlineLevel="0" collapsed="false">
      <c r="A20" s="0" t="n">
        <v>3.88959090444451</v>
      </c>
      <c r="B20" s="0" t="n">
        <v>-0.00215840572815269</v>
      </c>
      <c r="C20" s="0" t="n">
        <v>-0.138733857037039</v>
      </c>
      <c r="E20" s="0" t="n">
        <v>3.88959090444451</v>
      </c>
      <c r="F20" s="0" t="n">
        <v>-0.00107189006007495</v>
      </c>
      <c r="G20" s="0" t="n">
        <v>-0.138733857037039</v>
      </c>
      <c r="I20" s="0" t="n">
        <v>3.88959090444451</v>
      </c>
      <c r="J20" s="0" t="n">
        <v>-0.000293610923343172</v>
      </c>
      <c r="K20" s="0" t="n">
        <v>-0.138733857037039</v>
      </c>
      <c r="M20" s="0" t="n">
        <v>3.88959090444451</v>
      </c>
      <c r="N20" s="0" t="n">
        <v>0.000224415361202671</v>
      </c>
      <c r="O20" s="0" t="n">
        <v>-0.138733857037039</v>
      </c>
      <c r="Q20" s="0" t="n">
        <v>3.88959090444451</v>
      </c>
      <c r="R20" s="0" t="n">
        <v>0.000641866449620377</v>
      </c>
      <c r="S20" s="0" t="n">
        <v>-0.138733857037039</v>
      </c>
      <c r="U20" s="0" t="n">
        <v>3.88959090444451</v>
      </c>
      <c r="V20" s="0" t="n">
        <v>0.000532203380135829</v>
      </c>
      <c r="W20" s="0" t="n">
        <v>-0.138733857037039</v>
      </c>
      <c r="Y20" s="0" t="n">
        <v>3.88959090444451</v>
      </c>
      <c r="Z20" s="0" t="n">
        <v>0.000388334148216468</v>
      </c>
      <c r="AA20" s="0" t="n">
        <v>-0.138733857037039</v>
      </c>
      <c r="AC20" s="0" t="n">
        <v>3.88959090444451</v>
      </c>
      <c r="AD20" s="0" t="n">
        <v>0.000214727502133344</v>
      </c>
      <c r="AE20" s="0" t="n">
        <v>-0.138733857037039</v>
      </c>
    </row>
    <row r="21" customFormat="false" ht="12.75" hidden="false" customHeight="false" outlineLevel="0" collapsed="false">
      <c r="A21" s="0" t="n">
        <v>4.18879020478639</v>
      </c>
      <c r="B21" s="0" t="n">
        <v>0.0100496047540305</v>
      </c>
      <c r="C21" s="0" t="n">
        <v>-0.138733857037039</v>
      </c>
      <c r="E21" s="0" t="n">
        <v>4.18879020478639</v>
      </c>
      <c r="F21" s="0" t="n">
        <v>0.00300363449901925</v>
      </c>
      <c r="G21" s="0" t="n">
        <v>-0.138733857037039</v>
      </c>
      <c r="I21" s="0" t="n">
        <v>4.18879020478639</v>
      </c>
      <c r="J21" s="0" t="n">
        <v>-0.00189107083459728</v>
      </c>
      <c r="K21" s="0" t="n">
        <v>-0.138733857037039</v>
      </c>
      <c r="M21" s="0" t="n">
        <v>4.18879020478639</v>
      </c>
      <c r="N21" s="0" t="n">
        <v>-0.00500196892226907</v>
      </c>
      <c r="O21" s="0" t="n">
        <v>-0.138733857037039</v>
      </c>
      <c r="Q21" s="0" t="n">
        <v>4.18879020478639</v>
      </c>
      <c r="R21" s="0" t="n">
        <v>-0.00600971092642671</v>
      </c>
      <c r="S21" s="0" t="n">
        <v>-0.138733857037039</v>
      </c>
      <c r="U21" s="0" t="n">
        <v>4.18879020478639</v>
      </c>
      <c r="V21" s="0" t="n">
        <v>-0.00392336991664447</v>
      </c>
      <c r="W21" s="0" t="n">
        <v>-0.138733857037039</v>
      </c>
      <c r="Y21" s="0" t="n">
        <v>4.18879020478639</v>
      </c>
      <c r="Z21" s="0" t="n">
        <v>-0.00221563405729987</v>
      </c>
      <c r="AA21" s="0" t="n">
        <v>-0.138733857037039</v>
      </c>
      <c r="AC21" s="0" t="n">
        <v>4.18879020478639</v>
      </c>
      <c r="AD21" s="0" t="n">
        <v>-0.000922008700388432</v>
      </c>
      <c r="AE21" s="0" t="n">
        <v>-0.138733857037039</v>
      </c>
    </row>
    <row r="22" customFormat="false" ht="12.75" hidden="false" customHeight="false" outlineLevel="0" collapsed="false">
      <c r="A22" s="0" t="n">
        <v>4.48798950512828</v>
      </c>
      <c r="B22" s="0" t="n">
        <v>0.0107507084608893</v>
      </c>
      <c r="C22" s="0" t="n">
        <v>-0.138733857037039</v>
      </c>
      <c r="E22" s="0" t="n">
        <v>4.48798950512828</v>
      </c>
      <c r="F22" s="0" t="n">
        <v>0.00573209925801575</v>
      </c>
      <c r="G22" s="0" t="n">
        <v>-0.138733857037039</v>
      </c>
      <c r="I22" s="0" t="n">
        <v>4.48798950512828</v>
      </c>
      <c r="J22" s="0" t="n">
        <v>0.0025304260312271</v>
      </c>
      <c r="K22" s="0" t="n">
        <v>-0.138733857037039</v>
      </c>
      <c r="M22" s="0" t="n">
        <v>4.48798950512828</v>
      </c>
      <c r="N22" s="0" t="n">
        <v>0.000662520205423962</v>
      </c>
      <c r="O22" s="0" t="n">
        <v>-0.138733857037039</v>
      </c>
      <c r="Q22" s="0" t="n">
        <v>4.48798950512828</v>
      </c>
      <c r="R22" s="0" t="n">
        <v>-0.000514113760287246</v>
      </c>
      <c r="S22" s="0" t="n">
        <v>-0.138733857037039</v>
      </c>
      <c r="U22" s="0" t="n">
        <v>4.48798950512828</v>
      </c>
      <c r="V22" s="0" t="n">
        <v>-0.000341323369843069</v>
      </c>
      <c r="W22" s="0" t="n">
        <v>-0.138733857037039</v>
      </c>
      <c r="Y22" s="0" t="n">
        <v>4.48798950512828</v>
      </c>
      <c r="Z22" s="0" t="n">
        <v>-0.000188143530229367</v>
      </c>
      <c r="AA22" s="0" t="n">
        <v>-0.138733857037039</v>
      </c>
      <c r="AC22" s="0" t="n">
        <v>4.48798950512828</v>
      </c>
      <c r="AD22" s="0" t="n">
        <v>-7.44056999850305E-005</v>
      </c>
      <c r="AE22" s="0" t="n">
        <v>-0.138733857037039</v>
      </c>
    </row>
    <row r="23" customFormat="false" ht="12.75" hidden="false" customHeight="false" outlineLevel="0" collapsed="false">
      <c r="A23" s="0" t="n">
        <v>4.78718880547016</v>
      </c>
      <c r="B23" s="0" t="n">
        <v>-0.00434383088582242</v>
      </c>
      <c r="C23" s="0" t="n">
        <v>-0.138733857037039</v>
      </c>
      <c r="E23" s="0" t="n">
        <v>4.78718880547016</v>
      </c>
      <c r="F23" s="0" t="n">
        <v>-0.00254560634162823</v>
      </c>
      <c r="G23" s="0" t="n">
        <v>-0.138733857037039</v>
      </c>
      <c r="I23" s="0" t="n">
        <v>4.78718880547016</v>
      </c>
      <c r="J23" s="0" t="n">
        <v>-0.00136406363396827</v>
      </c>
      <c r="K23" s="0" t="n">
        <v>-0.138733857037039</v>
      </c>
      <c r="M23" s="0" t="n">
        <v>4.78718880547016</v>
      </c>
      <c r="N23" s="0" t="n">
        <v>-0.000638318590551856</v>
      </c>
      <c r="O23" s="0" t="n">
        <v>-0.138733857037039</v>
      </c>
      <c r="Q23" s="0" t="n">
        <v>4.78718880547016</v>
      </c>
      <c r="R23" s="0" t="n">
        <v>5.40202647024632E-005</v>
      </c>
      <c r="S23" s="0" t="n">
        <v>-0.138733857037039</v>
      </c>
      <c r="U23" s="0" t="n">
        <v>4.78718880547016</v>
      </c>
      <c r="V23" s="0" t="n">
        <v>4.09469890641553E-005</v>
      </c>
      <c r="W23" s="0" t="n">
        <v>-0.138733857037039</v>
      </c>
      <c r="Y23" s="0" t="n">
        <v>4.78718880547016</v>
      </c>
      <c r="Z23" s="0" t="n">
        <v>2.28231389496607E-005</v>
      </c>
      <c r="AA23" s="0" t="n">
        <v>-0.138733857037039</v>
      </c>
      <c r="AC23" s="0" t="n">
        <v>4.78718880547016</v>
      </c>
      <c r="AD23" s="0" t="n">
        <v>8.34603179025728E-006</v>
      </c>
      <c r="AE23" s="0" t="n">
        <v>-0.138733857037039</v>
      </c>
    </row>
    <row r="24" customFormat="false" ht="12.75" hidden="false" customHeight="false" outlineLevel="0" collapsed="false">
      <c r="A24" s="0" t="n">
        <v>5.08638810581205</v>
      </c>
      <c r="B24" s="0" t="n">
        <v>-0.0100094956215638</v>
      </c>
      <c r="C24" s="0" t="n">
        <v>-0.138733857037039</v>
      </c>
      <c r="E24" s="0" t="n">
        <v>5.08638810581205</v>
      </c>
      <c r="F24" s="0" t="n">
        <v>-0.00303078890596598</v>
      </c>
      <c r="G24" s="0" t="n">
        <v>-0.138733857037039</v>
      </c>
      <c r="I24" s="0" t="n">
        <v>5.08638810581205</v>
      </c>
      <c r="J24" s="0" t="n">
        <v>0.00110372642911207</v>
      </c>
      <c r="K24" s="0" t="n">
        <v>-0.138733857037039</v>
      </c>
      <c r="M24" s="0" t="n">
        <v>5.08638810581205</v>
      </c>
      <c r="N24" s="0" t="n">
        <v>0.00317266809884962</v>
      </c>
      <c r="O24" s="0" t="n">
        <v>-0.138733857037039</v>
      </c>
      <c r="Q24" s="0" t="n">
        <v>5.08638810581205</v>
      </c>
      <c r="R24" s="0" t="n">
        <v>0.00214409216056575</v>
      </c>
      <c r="S24" s="0" t="n">
        <v>-0.138733857037039</v>
      </c>
      <c r="U24" s="0" t="n">
        <v>5.08638810581205</v>
      </c>
      <c r="V24" s="0" t="n">
        <v>0.00138259268799249</v>
      </c>
      <c r="W24" s="0" t="n">
        <v>-0.138733857037039</v>
      </c>
      <c r="Y24" s="0" t="n">
        <v>5.08638810581205</v>
      </c>
      <c r="Z24" s="0" t="n">
        <v>0.000764868854532322</v>
      </c>
      <c r="AA24" s="0" t="n">
        <v>-0.138733857037039</v>
      </c>
      <c r="AC24" s="0" t="n">
        <v>5.08638810581205</v>
      </c>
      <c r="AD24" s="0" t="n">
        <v>0.000311218649754943</v>
      </c>
      <c r="AE24" s="0" t="n">
        <v>-0.138733857037039</v>
      </c>
    </row>
    <row r="25" customFormat="false" ht="12.75" hidden="false" customHeight="false" outlineLevel="0" collapsed="false">
      <c r="A25" s="0" t="n">
        <v>5.38558740615393</v>
      </c>
      <c r="B25" s="0" t="n">
        <v>-0.0061165145189869</v>
      </c>
      <c r="C25" s="0" t="n">
        <v>-0.138733857037039</v>
      </c>
      <c r="E25" s="0" t="n">
        <v>5.38558740615393</v>
      </c>
      <c r="F25" s="0" t="n">
        <v>-0.00289353323309864</v>
      </c>
      <c r="G25" s="0" t="n">
        <v>-0.138733857037039</v>
      </c>
      <c r="I25" s="0" t="n">
        <v>5.38558740615393</v>
      </c>
      <c r="J25" s="0" t="n">
        <v>-0.000596463816777935</v>
      </c>
      <c r="K25" s="0" t="n">
        <v>-0.138733857037039</v>
      </c>
      <c r="M25" s="0" t="n">
        <v>5.38558740615393</v>
      </c>
      <c r="N25" s="0" t="n">
        <v>0.000921600757840722</v>
      </c>
      <c r="O25" s="0" t="n">
        <v>-0.138733857037039</v>
      </c>
      <c r="Q25" s="0" t="n">
        <v>5.38558740615393</v>
      </c>
      <c r="R25" s="0" t="n">
        <v>0.00205724185601369</v>
      </c>
      <c r="S25" s="0" t="n">
        <v>-0.138733857037039</v>
      </c>
      <c r="U25" s="0" t="n">
        <v>5.38558740615393</v>
      </c>
      <c r="V25" s="0" t="n">
        <v>0.00170145277529989</v>
      </c>
      <c r="W25" s="0" t="n">
        <v>-0.138733857037039</v>
      </c>
      <c r="Y25" s="0" t="n">
        <v>5.38558740615393</v>
      </c>
      <c r="Z25" s="0" t="n">
        <v>0.00124045371325226</v>
      </c>
      <c r="AA25" s="0" t="n">
        <v>-0.138733857037039</v>
      </c>
      <c r="AC25" s="0" t="n">
        <v>5.38558740615393</v>
      </c>
      <c r="AD25" s="0" t="n">
        <v>0.000685265376399949</v>
      </c>
      <c r="AE25" s="0" t="n">
        <v>-0.138733857037039</v>
      </c>
    </row>
    <row r="26" customFormat="false" ht="12.75" hidden="false" customHeight="false" outlineLevel="0" collapsed="false">
      <c r="A26" s="0" t="n">
        <v>5.68478670649582</v>
      </c>
      <c r="B26" s="0" t="n">
        <v>0.0089919474709043</v>
      </c>
      <c r="C26" s="0" t="n">
        <v>-0.138733857037039</v>
      </c>
      <c r="E26" s="0" t="n">
        <v>5.68478670649582</v>
      </c>
      <c r="F26" s="0" t="n">
        <v>0.00374951126650175</v>
      </c>
      <c r="G26" s="0" t="n">
        <v>-0.138733857037039</v>
      </c>
      <c r="I26" s="0" t="n">
        <v>5.68478670649582</v>
      </c>
      <c r="J26" s="0" t="n">
        <v>5.06619058630378E-005</v>
      </c>
      <c r="K26" s="0" t="n">
        <v>-0.138733857037039</v>
      </c>
      <c r="M26" s="0" t="n">
        <v>5.68478670649582</v>
      </c>
      <c r="N26" s="0" t="n">
        <v>-0.00235781802669406</v>
      </c>
      <c r="O26" s="0" t="n">
        <v>-0.138733857037039</v>
      </c>
      <c r="Q26" s="0" t="n">
        <v>5.68478670649582</v>
      </c>
      <c r="R26" s="0" t="n">
        <v>-0.00386361734441363</v>
      </c>
      <c r="S26" s="0" t="n">
        <v>-0.138733857037039</v>
      </c>
      <c r="U26" s="0" t="n">
        <v>5.68478670649582</v>
      </c>
      <c r="V26" s="0" t="n">
        <v>-0.00318179707773852</v>
      </c>
      <c r="W26" s="0" t="n">
        <v>-0.138733857037039</v>
      </c>
      <c r="Y26" s="0" t="n">
        <v>5.68478670649582</v>
      </c>
      <c r="Z26" s="0" t="n">
        <v>-0.00231512613730392</v>
      </c>
      <c r="AA26" s="0" t="n">
        <v>-0.138733857037039</v>
      </c>
      <c r="AC26" s="0" t="n">
        <v>5.68478670649582</v>
      </c>
      <c r="AD26" s="0" t="n">
        <v>-0.00127504506961064</v>
      </c>
      <c r="AE26" s="0" t="n">
        <v>-0.138733857037039</v>
      </c>
    </row>
    <row r="27" customFormat="false" ht="12.75" hidden="false" customHeight="false" outlineLevel="0" collapsed="false">
      <c r="A27" s="0" t="n">
        <v>5.9839860068377</v>
      </c>
      <c r="B27" s="0" t="n">
        <v>0.0115964938623647</v>
      </c>
      <c r="C27" s="0" t="n">
        <v>-0.138733857037039</v>
      </c>
      <c r="E27" s="0" t="n">
        <v>5.9839860068377</v>
      </c>
      <c r="F27" s="0" t="n">
        <v>0.00537573642395772</v>
      </c>
      <c r="G27" s="0" t="n">
        <v>-0.138733857037039</v>
      </c>
      <c r="I27" s="0" t="n">
        <v>5.9839860068377</v>
      </c>
      <c r="J27" s="0" t="n">
        <v>0.00152120920477219</v>
      </c>
      <c r="K27" s="0" t="n">
        <v>-0.138733857037039</v>
      </c>
      <c r="M27" s="0" t="n">
        <v>5.9839860068377</v>
      </c>
      <c r="N27" s="0" t="n">
        <v>-0.000604750876426342</v>
      </c>
      <c r="O27" s="0" t="n">
        <v>-0.138733857037039</v>
      </c>
      <c r="Q27" s="0" t="n">
        <v>5.9839860068377</v>
      </c>
      <c r="R27" s="0" t="n">
        <v>-0.00112145302856756</v>
      </c>
      <c r="S27" s="0" t="n">
        <v>-0.138733857037039</v>
      </c>
      <c r="U27" s="0" t="n">
        <v>5.9839860068377</v>
      </c>
      <c r="V27" s="0" t="n">
        <v>-0.000728428151565697</v>
      </c>
      <c r="W27" s="0" t="n">
        <v>-0.138733857037039</v>
      </c>
      <c r="Y27" s="0" t="n">
        <v>5.9839860068377</v>
      </c>
      <c r="Z27" s="0" t="n">
        <v>-0.000401563708506322</v>
      </c>
      <c r="AA27" s="0" t="n">
        <v>-0.138733857037039</v>
      </c>
      <c r="AC27" s="0" t="n">
        <v>5.9839860068377</v>
      </c>
      <c r="AD27" s="0" t="n">
        <v>-0.000161547669603484</v>
      </c>
      <c r="AE27" s="0" t="n">
        <v>-0.138733857037039</v>
      </c>
    </row>
    <row r="28" customFormat="false" ht="12.75" hidden="false" customHeight="false" outlineLevel="0" collapsed="false">
      <c r="A28" s="0" t="n">
        <v>6.28318530717959</v>
      </c>
      <c r="B28" s="0" t="n">
        <v>4.9960036108132E-016</v>
      </c>
      <c r="C28" s="0" t="n">
        <v>-0.138733857037039</v>
      </c>
      <c r="E28" s="0" t="n">
        <v>6.28318530717959</v>
      </c>
      <c r="F28" s="0" t="n">
        <v>2.77555756156289E-016</v>
      </c>
      <c r="G28" s="0" t="n">
        <v>-0.138733857037039</v>
      </c>
      <c r="I28" s="0" t="n">
        <v>6.28318530717959</v>
      </c>
      <c r="J28" s="0" t="n">
        <v>-1.11022302462516E-016</v>
      </c>
      <c r="K28" s="0" t="n">
        <v>-0.138733857037039</v>
      </c>
      <c r="M28" s="0" t="n">
        <v>6.28318530717959</v>
      </c>
      <c r="N28" s="0" t="n">
        <v>-2.77555756156289E-017</v>
      </c>
      <c r="O28" s="0" t="n">
        <v>-0.138733857037039</v>
      </c>
      <c r="Q28" s="0" t="n">
        <v>6.28318530717959</v>
      </c>
      <c r="R28" s="0" t="n">
        <v>-6.59194920871187E-017</v>
      </c>
      <c r="S28" s="0" t="n">
        <v>-0.138733857037039</v>
      </c>
      <c r="U28" s="0" t="n">
        <v>6.28318530717959</v>
      </c>
      <c r="V28" s="0" t="n">
        <v>1.90819582357449E-017</v>
      </c>
      <c r="W28" s="0" t="n">
        <v>-0.138733857037039</v>
      </c>
      <c r="Y28" s="0" t="n">
        <v>6.28318530717959</v>
      </c>
      <c r="Z28" s="0" t="n">
        <v>1.21430643318377E-017</v>
      </c>
      <c r="AA28" s="0" t="n">
        <v>-0.138733857037039</v>
      </c>
      <c r="AC28" s="0" t="n">
        <v>6.28318530717959</v>
      </c>
      <c r="AD28" s="0" t="n">
        <v>-6.93889390390723E-018</v>
      </c>
      <c r="AE28" s="0" t="n">
        <v>-0.138733857037039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78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0</v>
      </c>
      <c r="B1" s="0" t="n">
        <v>6.08874867682258E-006</v>
      </c>
      <c r="C1" s="0" t="n">
        <v>0.0267784877805875</v>
      </c>
    </row>
    <row r="2" customFormat="false" ht="12.75" hidden="false" customHeight="false" outlineLevel="0" collapsed="false">
      <c r="A2" s="0" t="n">
        <v>0.12987012987013</v>
      </c>
      <c r="B2" s="0" t="n">
        <v>0.000612144577689771</v>
      </c>
      <c r="C2" s="0" t="n">
        <v>0.0267784877805875</v>
      </c>
    </row>
    <row r="3" customFormat="false" ht="12.75" hidden="false" customHeight="false" outlineLevel="0" collapsed="false">
      <c r="A3" s="0" t="n">
        <v>0.25974025974026</v>
      </c>
      <c r="B3" s="0" t="n">
        <v>0.00123160156601808</v>
      </c>
      <c r="C3" s="0" t="n">
        <v>0.0267784877805875</v>
      </c>
    </row>
    <row r="4" customFormat="false" ht="12.75" hidden="false" customHeight="false" outlineLevel="0" collapsed="false">
      <c r="A4" s="0" t="n">
        <v>0.38961038961039</v>
      </c>
      <c r="B4" s="0" t="n">
        <v>0.00185867702783185</v>
      </c>
      <c r="C4" s="0" t="n">
        <v>0.0267784877805875</v>
      </c>
    </row>
    <row r="5" customFormat="false" ht="12.75" hidden="false" customHeight="false" outlineLevel="0" collapsed="false">
      <c r="A5" s="0" t="n">
        <v>0.519480519480519</v>
      </c>
      <c r="B5" s="0" t="n">
        <v>0.00249330189439656</v>
      </c>
      <c r="C5" s="0" t="n">
        <v>0.0267784877805875</v>
      </c>
    </row>
    <row r="6" customFormat="false" ht="12.75" hidden="false" customHeight="false" outlineLevel="0" collapsed="false">
      <c r="A6" s="0" t="n">
        <v>0.649350649350649</v>
      </c>
      <c r="B6" s="0" t="n">
        <v>0.0031351689914764</v>
      </c>
      <c r="C6" s="0" t="n">
        <v>0.0267784877805875</v>
      </c>
    </row>
    <row r="7" customFormat="false" ht="12.75" hidden="false" customHeight="false" outlineLevel="0" collapsed="false">
      <c r="A7" s="0" t="n">
        <v>0.779220779220779</v>
      </c>
      <c r="B7" s="0" t="n">
        <v>0.00378374801285009</v>
      </c>
      <c r="C7" s="0" t="n">
        <v>0.0267784877805875</v>
      </c>
    </row>
    <row r="8" customFormat="false" ht="12.75" hidden="false" customHeight="false" outlineLevel="0" collapsed="false">
      <c r="A8" s="0" t="n">
        <v>0.909090909090909</v>
      </c>
      <c r="B8" s="0" t="n">
        <v>0.004438266930064</v>
      </c>
      <c r="C8" s="0" t="n">
        <v>0.0267784877805875</v>
      </c>
    </row>
    <row r="9" customFormat="false" ht="12.75" hidden="false" customHeight="false" outlineLevel="0" collapsed="false">
      <c r="A9" s="0" t="n">
        <v>1.03896103896104</v>
      </c>
      <c r="B9" s="0" t="n">
        <v>0.00509766862386667</v>
      </c>
      <c r="C9" s="0" t="n">
        <v>0.0267784877805875</v>
      </c>
    </row>
    <row r="10" customFormat="false" ht="12.75" hidden="false" customHeight="false" outlineLevel="0" collapsed="false">
      <c r="A10" s="0" t="n">
        <v>1.16883116883117</v>
      </c>
      <c r="B10" s="0" t="n">
        <v>0.0057606226203912</v>
      </c>
      <c r="C10" s="0" t="n">
        <v>0.0267784877805875</v>
      </c>
    </row>
    <row r="11" customFormat="false" ht="12.75" hidden="false" customHeight="false" outlineLevel="0" collapsed="false">
      <c r="A11" s="0" t="n">
        <v>1.2987012987013</v>
      </c>
      <c r="B11" s="0" t="n">
        <v>0.00642547655019788</v>
      </c>
      <c r="C11" s="0" t="n">
        <v>0.0267784877805875</v>
      </c>
    </row>
    <row r="12" customFormat="false" ht="12.75" hidden="false" customHeight="false" outlineLevel="0" collapsed="false">
      <c r="A12" s="0" t="n">
        <v>1.42857142857143</v>
      </c>
      <c r="B12" s="0" t="n">
        <v>0.00709027031778646</v>
      </c>
      <c r="C12" s="0" t="n">
        <v>0.0267784877805875</v>
      </c>
    </row>
    <row r="13" customFormat="false" ht="12.75" hidden="false" customHeight="false" outlineLevel="0" collapsed="false">
      <c r="A13" s="0" t="n">
        <v>1.55844155844156</v>
      </c>
      <c r="B13" s="0" t="n">
        <v>0.00775272406195561</v>
      </c>
      <c r="C13" s="0" t="n">
        <v>0.0267784877805875</v>
      </c>
    </row>
    <row r="14" customFormat="false" ht="12.75" hidden="false" customHeight="false" outlineLevel="0" collapsed="false">
      <c r="A14" s="0" t="n">
        <v>1.68831168831169</v>
      </c>
      <c r="B14" s="0" t="n">
        <v>0.00841025580019295</v>
      </c>
      <c r="C14" s="0" t="n">
        <v>0.0267784877805875</v>
      </c>
    </row>
    <row r="15" customFormat="false" ht="12.75" hidden="false" customHeight="false" outlineLevel="0" collapsed="false">
      <c r="A15" s="0" t="n">
        <v>1.81818181818182</v>
      </c>
      <c r="B15" s="0" t="n">
        <v>0.00905999446385527</v>
      </c>
      <c r="C15" s="0" t="n">
        <v>0.0267784877805875</v>
      </c>
    </row>
    <row r="16" customFormat="false" ht="12.75" hidden="false" customHeight="false" outlineLevel="0" collapsed="false">
      <c r="A16" s="0" t="n">
        <v>1.94805194805195</v>
      </c>
      <c r="B16" s="0" t="n">
        <v>0.00969880439581761</v>
      </c>
      <c r="C16" s="0" t="n">
        <v>0.0267784877805875</v>
      </c>
    </row>
    <row r="17" customFormat="false" ht="12.75" hidden="false" customHeight="false" outlineLevel="0" collapsed="false">
      <c r="A17" s="0" t="n">
        <v>2.07792207792208</v>
      </c>
      <c r="B17" s="0" t="n">
        <v>0.0103233352100544</v>
      </c>
      <c r="C17" s="0" t="n">
        <v>0.0267784877805875</v>
      </c>
    </row>
    <row r="18" customFormat="false" ht="12.75" hidden="false" customHeight="false" outlineLevel="0" collapsed="false">
      <c r="A18" s="0" t="n">
        <v>2.20779220779221</v>
      </c>
      <c r="B18" s="0" t="n">
        <v>0.0109300584429193</v>
      </c>
      <c r="C18" s="0" t="n">
        <v>0.0267784877805875</v>
      </c>
    </row>
    <row r="19" customFormat="false" ht="12.75" hidden="false" customHeight="false" outlineLevel="0" collapsed="false">
      <c r="A19" s="0" t="n">
        <v>2.33766233766234</v>
      </c>
      <c r="B19" s="0" t="n">
        <v>0.0115152884999177</v>
      </c>
      <c r="C19" s="0" t="n">
        <v>0.0267784877805875</v>
      </c>
    </row>
    <row r="20" customFormat="false" ht="12.75" hidden="false" customHeight="false" outlineLevel="0" collapsed="false">
      <c r="A20" s="0" t="n">
        <v>2.46753246753247</v>
      </c>
      <c r="B20" s="0" t="n">
        <v>0.0120752664137045</v>
      </c>
      <c r="C20" s="0" t="n">
        <v>0.0267784877805875</v>
      </c>
    </row>
    <row r="21" customFormat="false" ht="12.75" hidden="false" customHeight="false" outlineLevel="0" collapsed="false">
      <c r="A21" s="0" t="n">
        <v>2.5974025974026</v>
      </c>
      <c r="B21" s="0" t="n">
        <v>0.0126061898656491</v>
      </c>
      <c r="C21" s="0" t="n">
        <v>0.0267784877805875</v>
      </c>
    </row>
    <row r="22" customFormat="false" ht="12.75" hidden="false" customHeight="false" outlineLevel="0" collapsed="false">
      <c r="A22" s="0" t="n">
        <v>2.72727272727273</v>
      </c>
      <c r="B22" s="0" t="n">
        <v>0.0131042783204353</v>
      </c>
      <c r="C22" s="0" t="n">
        <v>0.0267784877805875</v>
      </c>
    </row>
    <row r="23" customFormat="false" ht="12.75" hidden="false" customHeight="false" outlineLevel="0" collapsed="false">
      <c r="A23" s="0" t="n">
        <v>2.85714285714286</v>
      </c>
      <c r="B23" s="0" t="n">
        <v>0.0135658187249904</v>
      </c>
      <c r="C23" s="0" t="n">
        <v>0.0267784877805875</v>
      </c>
    </row>
    <row r="24" customFormat="false" ht="12.75" hidden="false" customHeight="false" outlineLevel="0" collapsed="false">
      <c r="A24" s="0" t="n">
        <v>2.98701298701299</v>
      </c>
      <c r="B24" s="0" t="n">
        <v>0.0139871540987923</v>
      </c>
      <c r="C24" s="0" t="n">
        <v>0.0267784877805875</v>
      </c>
    </row>
    <row r="25" customFormat="false" ht="12.75" hidden="false" customHeight="false" outlineLevel="0" collapsed="false">
      <c r="A25" s="0" t="n">
        <v>3.11688311688312</v>
      </c>
      <c r="B25" s="0" t="n">
        <v>0.0143648779415951</v>
      </c>
      <c r="C25" s="0" t="n">
        <v>0.0267784877805875</v>
      </c>
    </row>
    <row r="26" customFormat="false" ht="12.75" hidden="false" customHeight="false" outlineLevel="0" collapsed="false">
      <c r="A26" s="0" t="n">
        <v>3.24675324675325</v>
      </c>
      <c r="B26" s="0" t="n">
        <v>0.0146957094043822</v>
      </c>
      <c r="C26" s="0" t="n">
        <v>0.0267784877805875</v>
      </c>
    </row>
    <row r="27" customFormat="false" ht="12.75" hidden="false" customHeight="false" outlineLevel="0" collapsed="false">
      <c r="A27" s="0" t="n">
        <v>3.37662337662338</v>
      </c>
      <c r="B27" s="0" t="n">
        <v>0.0149766374102102</v>
      </c>
      <c r="C27" s="0" t="n">
        <v>0.0267784877805875</v>
      </c>
    </row>
    <row r="28" customFormat="false" ht="12.75" hidden="false" customHeight="false" outlineLevel="0" collapsed="false">
      <c r="A28" s="0" t="n">
        <v>3.50649350649351</v>
      </c>
      <c r="B28" s="0" t="n">
        <v>0.0152048863554486</v>
      </c>
      <c r="C28" s="0" t="n">
        <v>0.0267784877805875</v>
      </c>
    </row>
    <row r="29" customFormat="false" ht="12.75" hidden="false" customHeight="false" outlineLevel="0" collapsed="false">
      <c r="A29" s="0" t="n">
        <v>3.63636363636364</v>
      </c>
      <c r="B29" s="0" t="n">
        <v>0.0153780175808698</v>
      </c>
      <c r="C29" s="0" t="n">
        <v>0.0267784877805875</v>
      </c>
    </row>
    <row r="30" customFormat="false" ht="12.75" hidden="false" customHeight="false" outlineLevel="0" collapsed="false">
      <c r="A30" s="0" t="n">
        <v>3.76623376623377</v>
      </c>
      <c r="B30" s="0" t="n">
        <v>0.0154939439224124</v>
      </c>
      <c r="C30" s="0" t="n">
        <v>0.0267784877805875</v>
      </c>
    </row>
    <row r="31" customFormat="false" ht="12.75" hidden="false" customHeight="false" outlineLevel="0" collapsed="false">
      <c r="A31" s="0" t="n">
        <v>3.8961038961039</v>
      </c>
      <c r="B31" s="0" t="n">
        <v>0.0155506756842914</v>
      </c>
      <c r="C31" s="0" t="n">
        <v>0.0267784877805875</v>
      </c>
    </row>
    <row r="32" customFormat="false" ht="12.75" hidden="false" customHeight="false" outlineLevel="0" collapsed="false">
      <c r="A32" s="0" t="n">
        <v>4.02597402597403</v>
      </c>
      <c r="B32" s="0" t="n">
        <v>0.0155469622442251</v>
      </c>
      <c r="C32" s="0" t="n">
        <v>0.0267784877805875</v>
      </c>
    </row>
    <row r="33" customFormat="false" ht="12.75" hidden="false" customHeight="false" outlineLevel="0" collapsed="false">
      <c r="A33" s="0" t="n">
        <v>4.15584415584416</v>
      </c>
      <c r="B33" s="0" t="n">
        <v>0.01548171089153</v>
      </c>
      <c r="C33" s="0" t="n">
        <v>0.0267784877805875</v>
      </c>
    </row>
    <row r="34" customFormat="false" ht="12.75" hidden="false" customHeight="false" outlineLevel="0" collapsed="false">
      <c r="A34" s="0" t="n">
        <v>4.28571428571429</v>
      </c>
      <c r="B34" s="0" t="n">
        <v>0.0153542271575107</v>
      </c>
      <c r="C34" s="0" t="n">
        <v>0.0267784877805875</v>
      </c>
    </row>
    <row r="35" customFormat="false" ht="12.75" hidden="false" customHeight="false" outlineLevel="0" collapsed="false">
      <c r="A35" s="0" t="n">
        <v>4.41558441558442</v>
      </c>
      <c r="B35" s="0" t="n">
        <v>0.0151643114228122</v>
      </c>
      <c r="C35" s="0" t="n">
        <v>0.0267784877805875</v>
      </c>
    </row>
    <row r="36" customFormat="false" ht="12.75" hidden="false" customHeight="false" outlineLevel="0" collapsed="false">
      <c r="A36" s="0" t="n">
        <v>4.54545454545455</v>
      </c>
      <c r="B36" s="0" t="n">
        <v>0.01491213390558</v>
      </c>
      <c r="C36" s="0" t="n">
        <v>0.0267784877805875</v>
      </c>
    </row>
    <row r="37" customFormat="false" ht="12.75" hidden="false" customHeight="false" outlineLevel="0" collapsed="false">
      <c r="A37" s="0" t="n">
        <v>4.67532467532468</v>
      </c>
      <c r="B37" s="0" t="n">
        <v>0.0145983361659012</v>
      </c>
      <c r="C37" s="0" t="n">
        <v>0.0267784877805875</v>
      </c>
    </row>
    <row r="38" customFormat="false" ht="12.75" hidden="false" customHeight="false" outlineLevel="0" collapsed="false">
      <c r="A38" s="0" t="n">
        <v>4.80519480519481</v>
      </c>
      <c r="B38" s="0" t="n">
        <v>0.0142240365786029</v>
      </c>
      <c r="C38" s="0" t="n">
        <v>0.0267784877805875</v>
      </c>
    </row>
    <row r="39" customFormat="false" ht="12.75" hidden="false" customHeight="false" outlineLevel="0" collapsed="false">
      <c r="A39" s="0" t="n">
        <v>4.93506493506493</v>
      </c>
      <c r="B39" s="0" t="n">
        <v>0.0137907696193377</v>
      </c>
      <c r="C39" s="0" t="n">
        <v>0.0267784877805875</v>
      </c>
    </row>
    <row r="40" customFormat="false" ht="12.75" hidden="false" customHeight="false" outlineLevel="0" collapsed="false">
      <c r="A40" s="0" t="n">
        <v>5.06493506493507</v>
      </c>
      <c r="B40" s="0" t="n">
        <v>0.0133006598369915</v>
      </c>
      <c r="C40" s="0" t="n">
        <v>0.0267784877805875</v>
      </c>
    </row>
    <row r="41" customFormat="false" ht="12.75" hidden="false" customHeight="false" outlineLevel="0" collapsed="false">
      <c r="A41" s="0" t="n">
        <v>5.19480519480519</v>
      </c>
      <c r="B41" s="0" t="n">
        <v>0.0127562871006442</v>
      </c>
      <c r="C41" s="0" t="n">
        <v>0.0267784877805875</v>
      </c>
    </row>
    <row r="42" customFormat="false" ht="12.75" hidden="false" customHeight="false" outlineLevel="0" collapsed="false">
      <c r="A42" s="0" t="n">
        <v>5.32467532467532</v>
      </c>
      <c r="B42" s="0" t="n">
        <v>0.01216081227691</v>
      </c>
      <c r="C42" s="0" t="n">
        <v>0.0267784877805875</v>
      </c>
    </row>
    <row r="43" customFormat="false" ht="12.75" hidden="false" customHeight="false" outlineLevel="0" collapsed="false">
      <c r="A43" s="0" t="n">
        <v>5.45454545454545</v>
      </c>
      <c r="B43" s="0" t="n">
        <v>0.0115179089649388</v>
      </c>
      <c r="C43" s="0" t="n">
        <v>0.0267784877805875</v>
      </c>
    </row>
    <row r="44" customFormat="false" ht="12.75" hidden="false" customHeight="false" outlineLevel="0" collapsed="false">
      <c r="A44" s="0" t="n">
        <v>5.58441558441558</v>
      </c>
      <c r="B44" s="0" t="n">
        <v>0.0108318882447281</v>
      </c>
      <c r="C44" s="0" t="n">
        <v>0.0267784877805875</v>
      </c>
    </row>
    <row r="45" customFormat="false" ht="12.75" hidden="false" customHeight="false" outlineLevel="0" collapsed="false">
      <c r="A45" s="0" t="n">
        <v>5.71428571428571</v>
      </c>
      <c r="B45" s="0" t="n">
        <v>0.0101076070407017</v>
      </c>
      <c r="C45" s="0" t="n">
        <v>0.0267784877805875</v>
      </c>
    </row>
    <row r="46" customFormat="false" ht="12.75" hidden="false" customHeight="false" outlineLevel="0" collapsed="false">
      <c r="A46" s="0" t="n">
        <v>5.84415584415584</v>
      </c>
      <c r="B46" s="0" t="n">
        <v>0.009350591742293</v>
      </c>
      <c r="C46" s="0" t="n">
        <v>0.0267784877805875</v>
      </c>
    </row>
    <row r="47" customFormat="false" ht="12.75" hidden="false" customHeight="false" outlineLevel="0" collapsed="false">
      <c r="A47" s="0" t="n">
        <v>5.97402597402597</v>
      </c>
      <c r="B47" s="0" t="n">
        <v>0.00856702154946398</v>
      </c>
      <c r="C47" s="0" t="n">
        <v>0.0267784877805875</v>
      </c>
    </row>
    <row r="48" customFormat="false" ht="12.75" hidden="false" customHeight="false" outlineLevel="0" collapsed="false">
      <c r="A48" s="0" t="n">
        <v>6.1038961038961</v>
      </c>
      <c r="B48" s="0" t="n">
        <v>0.00776371557547825</v>
      </c>
      <c r="C48" s="0" t="n">
        <v>0.0267784877805875</v>
      </c>
    </row>
    <row r="49" customFormat="false" ht="12.75" hidden="false" customHeight="false" outlineLevel="0" collapsed="false">
      <c r="A49" s="0" t="n">
        <v>6.23376623376623</v>
      </c>
      <c r="B49" s="0" t="n">
        <v>0.00694820974974095</v>
      </c>
      <c r="C49" s="0" t="n">
        <v>0.0267784877805875</v>
      </c>
    </row>
    <row r="50" customFormat="false" ht="12.75" hidden="false" customHeight="false" outlineLevel="0" collapsed="false">
      <c r="A50" s="0" t="n">
        <v>6.36363636363636</v>
      </c>
      <c r="B50" s="0" t="n">
        <v>0.00612876453588745</v>
      </c>
      <c r="C50" s="0" t="n">
        <v>0.0267784877805875</v>
      </c>
    </row>
    <row r="51" customFormat="false" ht="12.75" hidden="false" customHeight="false" outlineLevel="0" collapsed="false">
      <c r="A51" s="0" t="n">
        <v>6.49350649350649</v>
      </c>
      <c r="B51" s="0" t="n">
        <v>0.00531439342575604</v>
      </c>
      <c r="C51" s="0" t="n">
        <v>0.0267784877805875</v>
      </c>
    </row>
    <row r="52" customFormat="false" ht="12.75" hidden="false" customHeight="false" outlineLevel="0" collapsed="false">
      <c r="A52" s="0" t="n">
        <v>6.62337662337662</v>
      </c>
      <c r="B52" s="0" t="n">
        <v>0.00451716094407834</v>
      </c>
      <c r="C52" s="0" t="n">
        <v>0.0267784877805875</v>
      </c>
    </row>
    <row r="53" customFormat="false" ht="12.75" hidden="false" customHeight="false" outlineLevel="0" collapsed="false">
      <c r="A53" s="0" t="n">
        <v>6.75324675324675</v>
      </c>
      <c r="B53" s="0" t="n">
        <v>0.00374056147770238</v>
      </c>
      <c r="C53" s="0" t="n">
        <v>0.0267784877805875</v>
      </c>
    </row>
    <row r="54" customFormat="false" ht="12.75" hidden="false" customHeight="false" outlineLevel="0" collapsed="false">
      <c r="A54" s="0" t="n">
        <v>6.88311688311688</v>
      </c>
      <c r="B54" s="0" t="n">
        <v>0.00300304550246155</v>
      </c>
      <c r="C54" s="0" t="n">
        <v>0.0267784877805875</v>
      </c>
    </row>
    <row r="55" customFormat="false" ht="12.75" hidden="false" customHeight="false" outlineLevel="0" collapsed="false">
      <c r="A55" s="0" t="n">
        <v>7.01298701298701</v>
      </c>
      <c r="B55" s="0" t="n">
        <v>0.00231426679265159</v>
      </c>
      <c r="C55" s="0" t="n">
        <v>0.0267784877805875</v>
      </c>
    </row>
    <row r="56" customFormat="false" ht="12.75" hidden="false" customHeight="false" outlineLevel="0" collapsed="false">
      <c r="A56" s="0" t="n">
        <v>7.14285714285714</v>
      </c>
      <c r="B56" s="0" t="n">
        <v>0.00168739111635291</v>
      </c>
      <c r="C56" s="0" t="n">
        <v>0.0267784877805875</v>
      </c>
    </row>
    <row r="57" customFormat="false" ht="12.75" hidden="false" customHeight="false" outlineLevel="0" collapsed="false">
      <c r="A57" s="0" t="n">
        <v>7.27272727272727</v>
      </c>
      <c r="B57" s="0" t="n">
        <v>0.00113616557868068</v>
      </c>
      <c r="C57" s="0" t="n">
        <v>0.0267784877805875</v>
      </c>
    </row>
    <row r="58" customFormat="false" ht="12.75" hidden="false" customHeight="false" outlineLevel="0" collapsed="false">
      <c r="A58" s="0" t="n">
        <v>7.4025974025974</v>
      </c>
      <c r="B58" s="0" t="n">
        <v>0.000753925547176543</v>
      </c>
      <c r="C58" s="0" t="n">
        <v>0.0267784877805875</v>
      </c>
    </row>
    <row r="59" customFormat="false" ht="12.75" hidden="false" customHeight="false" outlineLevel="0" collapsed="false">
      <c r="A59" s="0" t="n">
        <v>7.53246753246753</v>
      </c>
      <c r="B59" s="0" t="n">
        <v>0.000670384448325428</v>
      </c>
      <c r="C59" s="0" t="n">
        <v>0.0267784877805875</v>
      </c>
    </row>
    <row r="60" customFormat="false" ht="12.75" hidden="false" customHeight="false" outlineLevel="0" collapsed="false">
      <c r="A60" s="0" t="n">
        <v>7.66233766233766</v>
      </c>
      <c r="B60" s="0" t="n">
        <v>0.000480885797824987</v>
      </c>
      <c r="C60" s="0" t="n">
        <v>0.0267784877805875</v>
      </c>
    </row>
    <row r="61" customFormat="false" ht="12.75" hidden="false" customHeight="false" outlineLevel="0" collapsed="false">
      <c r="A61" s="0" t="n">
        <v>7.79220779220779</v>
      </c>
      <c r="B61" s="0" t="n">
        <v>0.000164584925966521</v>
      </c>
      <c r="C61" s="0" t="n">
        <v>0.0267784877805875</v>
      </c>
    </row>
    <row r="62" customFormat="false" ht="12.75" hidden="false" customHeight="false" outlineLevel="0" collapsed="false">
      <c r="A62" s="0" t="n">
        <v>7.92207792207792</v>
      </c>
      <c r="B62" s="0" t="n">
        <v>0.000300333516256801</v>
      </c>
      <c r="C62" s="0" t="n">
        <v>0.0267784877805875</v>
      </c>
    </row>
    <row r="63" customFormat="false" ht="12.75" hidden="false" customHeight="false" outlineLevel="0" collapsed="false">
      <c r="A63" s="0" t="n">
        <v>8.05194805194805</v>
      </c>
      <c r="B63" s="0" t="n">
        <v>0.000936730825385423</v>
      </c>
      <c r="C63" s="0" t="n">
        <v>0.0267784877805875</v>
      </c>
    </row>
    <row r="64" customFormat="false" ht="12.75" hidden="false" customHeight="false" outlineLevel="0" collapsed="false">
      <c r="A64" s="0" t="n">
        <v>8.18181818181818</v>
      </c>
      <c r="B64" s="0" t="n">
        <v>0.00176858058025881</v>
      </c>
      <c r="C64" s="0" t="n">
        <v>0.0267784877805875</v>
      </c>
    </row>
    <row r="65" customFormat="false" ht="12.75" hidden="false" customHeight="false" outlineLevel="0" collapsed="false">
      <c r="A65" s="0" t="n">
        <v>8.31168831168831</v>
      </c>
      <c r="B65" s="0" t="n">
        <v>0.00282103217209434</v>
      </c>
      <c r="C65" s="0" t="n">
        <v>0.0267784877805875</v>
      </c>
    </row>
    <row r="66" customFormat="false" ht="12.75" hidden="false" customHeight="false" outlineLevel="0" collapsed="false">
      <c r="A66" s="0" t="n">
        <v>8.44155844155844</v>
      </c>
      <c r="B66" s="0" t="n">
        <v>0.0041204759706085</v>
      </c>
      <c r="C66" s="0" t="n">
        <v>0.0267784877805875</v>
      </c>
    </row>
    <row r="67" customFormat="false" ht="12.75" hidden="false" customHeight="false" outlineLevel="0" collapsed="false">
      <c r="A67" s="0" t="n">
        <v>8.57142857142857</v>
      </c>
      <c r="B67" s="0" t="n">
        <v>0.00569461386236458</v>
      </c>
      <c r="C67" s="0" t="n">
        <v>0.0267784877805875</v>
      </c>
    </row>
    <row r="68" customFormat="false" ht="12.75" hidden="false" customHeight="false" outlineLevel="0" collapsed="false">
      <c r="A68" s="0" t="n">
        <v>8.7012987012987</v>
      </c>
      <c r="B68" s="0" t="n">
        <v>0.00757253874395636</v>
      </c>
      <c r="C68" s="0" t="n">
        <v>0.0267784877805875</v>
      </c>
    </row>
    <row r="69" customFormat="false" ht="12.75" hidden="false" customHeight="false" outlineLevel="0" collapsed="false">
      <c r="A69" s="0" t="n">
        <v>8.83116883116883</v>
      </c>
      <c r="B69" s="0" t="n">
        <v>0.00978482673245795</v>
      </c>
      <c r="C69" s="0" t="n">
        <v>0.0267784877805875</v>
      </c>
    </row>
    <row r="70" customFormat="false" ht="12.75" hidden="false" customHeight="false" outlineLevel="0" collapsed="false">
      <c r="A70" s="0" t="n">
        <v>8.96103896103896</v>
      </c>
      <c r="B70" s="0" t="n">
        <v>0.0123636462484234</v>
      </c>
      <c r="C70" s="0" t="n">
        <v>0.0267784877805875</v>
      </c>
    </row>
    <row r="71" customFormat="false" ht="12.75" hidden="false" customHeight="false" outlineLevel="0" collapsed="false">
      <c r="A71" s="0" t="n">
        <v>9.09090909090909</v>
      </c>
      <c r="B71" s="0" t="n">
        <v>0.0153428886560094</v>
      </c>
      <c r="C71" s="0" t="n">
        <v>0.0267784877805875</v>
      </c>
    </row>
    <row r="72" customFormat="false" ht="12.75" hidden="false" customHeight="false" outlineLevel="0" collapsed="false">
      <c r="A72" s="0" t="n">
        <v>9.22077922077922</v>
      </c>
      <c r="B72" s="0" t="n">
        <v>0.0187583257485183</v>
      </c>
      <c r="C72" s="0" t="n">
        <v>0.0267784877805875</v>
      </c>
    </row>
    <row r="73" customFormat="false" ht="12.75" hidden="false" customHeight="false" outlineLevel="0" collapsed="false">
      <c r="A73" s="0" t="n">
        <v>9.35064935064935</v>
      </c>
      <c r="B73" s="0" t="n">
        <v>0.0226477999884401</v>
      </c>
      <c r="C73" s="0" t="n">
        <v>0.0267784877805875</v>
      </c>
    </row>
    <row r="74" customFormat="false" ht="12.75" hidden="false" customHeight="false" outlineLevel="0" collapsed="false">
      <c r="A74" s="0" t="n">
        <v>9.48051948051948</v>
      </c>
      <c r="B74" s="0" t="n">
        <v>0.0270514539895576</v>
      </c>
      <c r="C74" s="0" t="n">
        <v>0.0267784877805875</v>
      </c>
    </row>
    <row r="75" customFormat="false" ht="12.75" hidden="false" customHeight="false" outlineLevel="0" collapsed="false">
      <c r="A75" s="0" t="n">
        <v>9.61038961038961</v>
      </c>
      <c r="B75" s="0" t="n">
        <v>0.0320120062069578</v>
      </c>
      <c r="C75" s="0" t="n">
        <v>0.0267784877805875</v>
      </c>
    </row>
    <row r="76" customFormat="false" ht="12.75" hidden="false" customHeight="false" outlineLevel="0" collapsed="false">
      <c r="A76" s="0" t="n">
        <v>9.74025974025974</v>
      </c>
      <c r="B76" s="0" t="n">
        <v>0.037575080133568</v>
      </c>
      <c r="C76" s="0" t="n">
        <v>0.0267784877805875</v>
      </c>
    </row>
    <row r="77" customFormat="false" ht="12.75" hidden="false" customHeight="false" outlineLevel="0" collapsed="false">
      <c r="A77" s="0" t="n">
        <v>9.87012987012987</v>
      </c>
      <c r="B77" s="0" t="n">
        <v>0.0437895944736441</v>
      </c>
      <c r="C77" s="0" t="n">
        <v>0.0267784877805875</v>
      </c>
    </row>
    <row r="78" customFormat="false" ht="12.75" hidden="false" customHeight="false" outlineLevel="0" collapsed="false">
      <c r="A78" s="0" t="n">
        <v>10</v>
      </c>
      <c r="B78" s="0" t="n">
        <v>0.0507082218078523</v>
      </c>
      <c r="C78" s="0" t="n">
        <v>0.0267784877805875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2012-03-11T16:10:38Z</dcterms:created>
  <dc:creator>Owner</dc:creator>
  <dc:description/>
  <dc:language>en-US</dc:language>
  <cp:lastModifiedBy>HienTran</cp:lastModifiedBy>
  <cp:lastPrinted>2014-04-23T14:14:14Z</cp:lastPrinted>
  <dcterms:modified xsi:type="dcterms:W3CDTF">2015-03-29T11:51:00Z</dcterms:modified>
  <cp:revision>0</cp:revision>
  <dc:subject/>
  <dc:title/>
</cp:coreProperties>
</file>