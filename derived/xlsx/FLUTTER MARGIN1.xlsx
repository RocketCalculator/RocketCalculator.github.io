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<sst xmlns="http://schemas.openxmlformats.org/spreadsheetml/2006/main" count="18" uniqueCount="18">
  <si>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Gold Rush III</t>
  </si>
  <si>
    <r>
      <rPr>
        <b val="true"/>
        <sz val="12"/>
        <rFont val="Calibri"/>
        <family val="2"/>
      </rPr>
      <t xml:space="preserve">Root Chord, c</t>
    </r>
    <r>
      <rPr>
        <b val="true"/>
        <vertAlign val="subscript"/>
        <sz val="12"/>
        <rFont val="Calibri"/>
        <family val="2"/>
      </rPr>
      <t xml:space="preserve">R </t>
    </r>
    <r>
      <rPr>
        <b val="true"/>
        <sz val="12"/>
        <rFont val="Calibri"/>
        <family val="2"/>
      </rPr>
      <t xml:space="preserve">in</t>
    </r>
  </si>
  <si>
    <r>
      <rPr>
        <b val="true"/>
        <sz val="12"/>
        <rFont val="Calibri"/>
        <family val="2"/>
      </rPr>
      <t xml:space="preserve">Tip Chord, c</t>
    </r>
    <r>
      <rPr>
        <b val="true"/>
        <vertAlign val="subscript"/>
        <sz val="12"/>
        <rFont val="Calibri"/>
        <family val="2"/>
      </rPr>
      <t xml:space="preserve">T</t>
    </r>
    <r>
      <rPr>
        <b val="true"/>
        <sz val="12"/>
        <rFont val="Calibri"/>
        <family val="2"/>
      </rPr>
      <t xml:space="preserve">, in</t>
    </r>
  </si>
  <si>
    <t xml:space="preserve">Thickness, t, in</t>
  </si>
  <si>
    <t xml:space="preserve">Exposed Semispan, b, in</t>
  </si>
  <si>
    <t xml:space="preserve">Flight Speed, V, ft/sec</t>
  </si>
  <si>
    <t xml:space="preserve">Altitude MSL, h, ft</t>
  </si>
  <si>
    <r>
      <rPr>
        <b val="true"/>
        <sz val="12"/>
        <rFont val="Calibri"/>
        <family val="2"/>
      </rPr>
      <t xml:space="preserve">Shear Modulus, G, lb/in</t>
    </r>
    <r>
      <rPr>
        <b val="true"/>
        <vertAlign val="superscript"/>
        <sz val="12"/>
        <rFont val="Calibri"/>
        <family val="2"/>
      </rPr>
      <t xml:space="preserve">2</t>
    </r>
  </si>
  <si>
    <t xml:space="preserve">Taper Ratio, λ</t>
  </si>
  <si>
    <r>
      <rPr>
        <b val="true"/>
        <sz val="12"/>
        <rFont val="Calibri"/>
        <family val="2"/>
      </rPr>
      <t xml:space="preserve">Panel Area, S, in</t>
    </r>
    <r>
      <rPr>
        <b val="true"/>
        <vertAlign val="superscript"/>
        <sz val="12"/>
        <rFont val="Calibri"/>
        <family val="2"/>
      </rPr>
      <t xml:space="preserve">2</t>
    </r>
  </si>
  <si>
    <t xml:space="preserve">Panel Aspect Ratio, AR</t>
  </si>
  <si>
    <t xml:space="preserve">Effective Chord, c(0.75), in</t>
  </si>
  <si>
    <t xml:space="preserve">X</t>
  </si>
  <si>
    <t xml:space="preserve">Atmospheric Pressure Ratio, p/po</t>
  </si>
  <si>
    <r>
      <rPr>
        <b val="true"/>
        <sz val="12"/>
        <rFont val="Calibri"/>
        <family val="2"/>
      </rPr>
      <t xml:space="preserve">Flutter Mach number, M</t>
    </r>
    <r>
      <rPr>
        <b val="true"/>
        <vertAlign val="subscript"/>
        <sz val="12"/>
        <rFont val="Calibri"/>
        <family val="2"/>
      </rPr>
      <t xml:space="preserve">f</t>
    </r>
    <r>
      <rPr>
        <b val="true"/>
        <sz val="12"/>
        <rFont val="Calibri"/>
        <family val="2"/>
      </rPr>
      <t xml:space="preserve">, eq. 18</t>
    </r>
  </si>
  <si>
    <t xml:space="preserve">Flight Mach number, M</t>
  </si>
  <si>
    <t xml:space="preserve">Margin of Safety, MS</t>
  </si>
  <si>
    <t xml:space="preserve">      Al 6061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</si>
</sst>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2"/>
      <name val="Calibri"/>
      <family val="2"/>
    </font>
    <font>
      <b val="true"/>
      <vertAlign val="subscript"/>
      <sz val="12"/>
      <name val="Calibri"/>
      <family val="2"/>
    </font>
    <font>
      <b val="true"/>
      <vertAlign val="superscript"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Q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2" style="0" width="12.14"/>
    <col collapsed="false" customWidth="true" hidden="false" outlineLevel="0" max="4" min="4" style="0" width="12.85"/>
    <col collapsed="false" customWidth="true" hidden="false" outlineLevel="0" max="5" min="5" style="0" width="13.41"/>
    <col collapsed="false" customWidth="true" hidden="false" outlineLevel="0" max="7" min="6" style="0" width="12.14"/>
    <col collapsed="false" customWidth="true" hidden="false" outlineLevel="0" max="8" min="8" style="0" width="12.7"/>
    <col collapsed="false" customWidth="true" hidden="false" outlineLevel="0" max="10" min="9" style="0" width="11.99"/>
    <col collapsed="false" customWidth="true" hidden="false" outlineLevel="0" max="11" min="11" style="0" width="11.85"/>
    <col collapsed="false" customWidth="true" hidden="false" outlineLevel="0" max="12" min="12" style="0" width="11.7"/>
    <col collapsed="false" customWidth="true" hidden="false" outlineLevel="0" max="13" min="13" style="0" width="11.42"/>
    <col collapsed="false" customWidth="true" hidden="false" outlineLevel="0" max="14" min="14" style="0" width="14.85"/>
    <col collapsed="false" customWidth="true" hidden="false" outlineLevel="0" max="15" min="15" style="0" width="13.41"/>
    <col collapsed="false" customWidth="true" hidden="false" outlineLevel="0" max="16" min="16" style="0" width="13.14"/>
    <col collapsed="false" customWidth="true" hidden="false" outlineLevel="0" max="17" min="17" style="0" width="12.42"/>
  </cols>
  <sheetData>
    <row r="3" customFormat="false" ht="15.75" hidden="false" customHeight="false" outlineLevel="0" collapsed="false">
      <c r="A3" s="1" t="s">
        <v>0</v>
      </c>
    </row>
    <row r="5" customFormat="false" ht="49.5" hidden="false" customHeight="true" outlineLevel="0" collapsed="false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3" t="s">
        <v>12</v>
      </c>
      <c r="N5" s="2" t="s">
        <v>13</v>
      </c>
      <c r="O5" s="2" t="s">
        <v>14</v>
      </c>
      <c r="P5" s="2" t="s">
        <v>15</v>
      </c>
      <c r="Q5" s="2" t="s">
        <v>16</v>
      </c>
    </row>
    <row r="6" customFormat="false" ht="12.75" hidden="false" customHeight="false" outlineLevel="0" collapsed="false">
      <c r="B6" s="4" t="n">
        <v>10</v>
      </c>
      <c r="C6" s="4" t="n">
        <v>2</v>
      </c>
      <c r="D6" s="4" t="n">
        <v>0.125</v>
      </c>
      <c r="E6" s="4" t="n">
        <v>5.5</v>
      </c>
      <c r="F6" s="4" t="n">
        <v>1037</v>
      </c>
      <c r="G6" s="4" t="n">
        <v>7686</v>
      </c>
      <c r="H6" s="4" t="n">
        <v>3800000</v>
      </c>
      <c r="I6" s="0" t="n">
        <f aca="false">C6/B6</f>
        <v>0.2</v>
      </c>
      <c r="J6" s="0" t="n">
        <f aca="false">(B6+C6)*E6/2</f>
        <v>33</v>
      </c>
      <c r="K6" s="0" t="n">
        <f aca="false">E6^2/J6</f>
        <v>0.916666666666667</v>
      </c>
      <c r="L6" s="0" t="n">
        <f aca="false">B6/4+3*C6/4</f>
        <v>4</v>
      </c>
      <c r="M6" s="0" t="n">
        <f aca="false">39.3*K6^3/((D6/L6)^3*(K6+2))</f>
        <v>340086.979047619</v>
      </c>
      <c r="N6" s="0" t="n">
        <f aca="false">(1-0.0035662*G6/551.8)^(32.174/(1716*0.0035662))</f>
        <v>0.765007707962375</v>
      </c>
      <c r="O6" s="0" t="n">
        <f aca="false">SQRT(H6/(M6*(I6+1)*N6/2))</f>
        <v>4.93387639765132</v>
      </c>
      <c r="P6" s="4" t="n">
        <v>0.915</v>
      </c>
      <c r="Q6" s="5" t="n">
        <f aca="false">(O6-P6)/P6</f>
        <v>4.39221464224188</v>
      </c>
    </row>
    <row r="7" customFormat="false" ht="12.75" hidden="false" customHeight="false" outlineLevel="0" collapsed="false">
      <c r="H7" s="0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2010-08-01T17:34:36Z</dcterms:created>
  <dc:creator>Owner</dc:creator>
  <dc:description/>
  <dc:language>en-US</dc:language>
  <cp:lastModifiedBy>Owner</cp:lastModifiedBy>
  <dcterms:modified xsi:type="dcterms:W3CDTF">2012-12-27T13:44:13Z</dcterms:modified>
  <cp:revision>0</cp:revision>
  <dc:subject/>
  <dc:title/>
</cp:coreProperties>
</file>