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definedNames>
    <definedName function="false" hidden="false" name="gamma" vbProcedure="false">Sheet1!$I$16</definedName>
    <definedName function="false" hidden="false" name="M" vbProcedure="false">Sheet1!$P$4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<sst xmlns="http://schemas.openxmlformats.org/spreadsheetml/2006/main" count="125" uniqueCount="91">
  <si>
    <t xml:space="preserve">DRAG COEFFICIENT</t>
  </si>
  <si>
    <t xml:space="preserve">Body of Revolution   --&gt;</t>
  </si>
  <si>
    <t xml:space="preserve">Absolute Atmospheric Temperature, deg R</t>
  </si>
  <si>
    <r>
      <rPr>
        <sz val="10"/>
        <rFont val="Arial"/>
        <family val="0"/>
      </rPr>
      <t xml:space="preserve">Atmospheric Pressure, lb/ft</t>
    </r>
    <r>
      <rPr>
        <vertAlign val="superscript"/>
        <sz val="10"/>
        <rFont val="Arial"/>
        <family val="2"/>
      </rPr>
      <t xml:space="preserve">2</t>
    </r>
  </si>
  <si>
    <r>
      <rPr>
        <sz val="10"/>
        <rFont val="Arial"/>
        <family val="2"/>
      </rPr>
      <t xml:space="preserve">ρ</t>
    </r>
    <r>
      <rPr>
        <sz val="10"/>
        <rFont val="Arial"/>
        <family val="0"/>
      </rPr>
      <t xml:space="preserve">a/</t>
    </r>
    <r>
      <rPr>
        <sz val="10"/>
        <rFont val="Arial"/>
        <family val="2"/>
      </rPr>
      <t xml:space="preserve">μ</t>
    </r>
    <r>
      <rPr>
        <sz val="10"/>
        <rFont val="Arial"/>
        <family val="0"/>
      </rPr>
      <t xml:space="preserve">, ft</t>
    </r>
    <r>
      <rPr>
        <vertAlign val="superscript"/>
        <sz val="10"/>
        <rFont val="Arial"/>
        <family val="2"/>
      </rPr>
      <t xml:space="preserve">-1</t>
    </r>
  </si>
  <si>
    <t xml:space="preserve">Transition Re</t>
  </si>
  <si>
    <t xml:space="preserve">Body overall length, in</t>
  </si>
  <si>
    <t xml:space="preserve">Body overall length, ft</t>
  </si>
  <si>
    <r>
      <rPr>
        <sz val="10"/>
        <rFont val="Arial"/>
        <family val="0"/>
      </rPr>
      <t xml:space="preserve">Body wetted area, in</t>
    </r>
    <r>
      <rPr>
        <vertAlign val="superscript"/>
        <sz val="10"/>
        <rFont val="Arial"/>
        <family val="2"/>
      </rPr>
      <t xml:space="preserve">2</t>
    </r>
  </si>
  <si>
    <r>
      <rPr>
        <sz val="10"/>
        <rFont val="Arial"/>
        <family val="0"/>
      </rPr>
      <t xml:space="preserve">Body wetted area, ft</t>
    </r>
    <r>
      <rPr>
        <vertAlign val="superscript"/>
        <sz val="10"/>
        <rFont val="Arial"/>
        <family val="2"/>
      </rPr>
      <t xml:space="preserve">2</t>
    </r>
  </si>
  <si>
    <t xml:space="preserve">Body diameter, in</t>
  </si>
  <si>
    <t xml:space="preserve">Body diameter, ft</t>
  </si>
  <si>
    <t xml:space="preserve">Area width, ft</t>
  </si>
  <si>
    <r>
      <rPr>
        <sz val="10"/>
        <rFont val="Arial"/>
        <family val="0"/>
      </rPr>
      <t xml:space="preserve">Sref, ft</t>
    </r>
    <r>
      <rPr>
        <vertAlign val="superscript"/>
        <sz val="10"/>
        <rFont val="Arial"/>
        <family val="2"/>
      </rPr>
      <t xml:space="preserve">2</t>
    </r>
  </si>
  <si>
    <t xml:space="preserve">Mach number</t>
  </si>
  <si>
    <t xml:space="preserve">Natural Transition length, ft</t>
  </si>
  <si>
    <t xml:space="preserve">Trip Body Station, ft Aft of Nose Tip</t>
  </si>
  <si>
    <t xml:space="preserve">Transition Location, ft Aft of Nose Tip</t>
  </si>
  <si>
    <r>
      <rPr>
        <sz val="10"/>
        <rFont val="Arial"/>
        <family val="0"/>
      </rPr>
      <t xml:space="preserve">Laminar Boundary Layer Wetted Area, in</t>
    </r>
    <r>
      <rPr>
        <vertAlign val="superscript"/>
        <sz val="10"/>
        <rFont val="Arial"/>
        <family val="2"/>
      </rPr>
      <t xml:space="preserve">2</t>
    </r>
  </si>
  <si>
    <t xml:space="preserve">Areal Average Friction Coefficient Cf</t>
  </si>
  <si>
    <t xml:space="preserve">Body Skin Friction Drag Coefficient</t>
  </si>
  <si>
    <t xml:space="preserve">Nose wave / pressure drag coefficient</t>
  </si>
  <si>
    <t xml:space="preserve">Power-On Total Drag Coefficient</t>
  </si>
  <si>
    <t xml:space="preserve">First Stage Fins            --&gt;</t>
  </si>
  <si>
    <t xml:space="preserve">Number of Fin Sets or Stages</t>
  </si>
  <si>
    <t xml:space="preserve">Obtain atmospheric absolute temperature, pressure and Mach number from a SKYAERO run</t>
  </si>
  <si>
    <t xml:space="preserve">Leading Edge Fin Thickness, in</t>
  </si>
  <si>
    <t xml:space="preserve">Number of fin panels</t>
  </si>
  <si>
    <t xml:space="preserve">Leading Edge Sweep back Angle, deg</t>
  </si>
  <si>
    <t xml:space="preserve">Fin root chord, in</t>
  </si>
  <si>
    <t xml:space="preserve">Fin tip chord, in</t>
  </si>
  <si>
    <t xml:space="preserve">Fin exposed semispan, in</t>
  </si>
  <si>
    <r>
      <rPr>
        <sz val="10"/>
        <rFont val="Arial"/>
        <family val="0"/>
      </rPr>
      <t xml:space="preserve">Fin panel wetted area, in</t>
    </r>
    <r>
      <rPr>
        <vertAlign val="superscript"/>
        <sz val="10"/>
        <rFont val="Arial"/>
        <family val="2"/>
      </rPr>
      <t xml:space="preserve">2</t>
    </r>
  </si>
  <si>
    <r>
      <rPr>
        <sz val="10"/>
        <rFont val="Arial"/>
        <family val="0"/>
      </rPr>
      <t xml:space="preserve">Fin panel wetted area, ft</t>
    </r>
    <r>
      <rPr>
        <vertAlign val="superscript"/>
        <sz val="10"/>
        <rFont val="Arial"/>
        <family val="2"/>
      </rPr>
      <t xml:space="preserve">2</t>
    </r>
  </si>
  <si>
    <t xml:space="preserve">Average Chord, ft</t>
  </si>
  <si>
    <t xml:space="preserve">Average Chord Re</t>
  </si>
  <si>
    <t xml:space="preserve">Transition  Re</t>
  </si>
  <si>
    <t xml:space="preserve">Average Incompressible Cf</t>
  </si>
  <si>
    <t xml:space="preserve">Fin Skin Friction Drag Coefficient</t>
  </si>
  <si>
    <t xml:space="preserve">Total Fin Skin Friction Drag Coefficient</t>
  </si>
  <si>
    <t xml:space="preserve">Wedge Half Angle, in plane normal to Leading Edge, deg.</t>
  </si>
  <si>
    <r>
      <rPr>
        <sz val="10"/>
        <rFont val="Arial"/>
        <family val="0"/>
      </rPr>
      <t xml:space="preserve">Additional Base Area due to Wedge, in</t>
    </r>
    <r>
      <rPr>
        <vertAlign val="superscript"/>
        <sz val="10"/>
        <rFont val="Arial"/>
        <family val="2"/>
      </rPr>
      <t xml:space="preserve">2</t>
    </r>
  </si>
  <si>
    <t xml:space="preserve">Blunt Fin Leading Edge?</t>
  </si>
  <si>
    <t xml:space="preserve">Blunt Fin Trailing Edge?</t>
  </si>
  <si>
    <t xml:space="preserve">Additional Trailing Edge Logic</t>
  </si>
  <si>
    <t xml:space="preserve">Subsonic Fin Base drag Coefficient</t>
  </si>
  <si>
    <t xml:space="preserve">Leading Edge Sweepback Angle, rad</t>
  </si>
  <si>
    <t xml:space="preserve">Leading Edge Stagnation Pressure Coefficient</t>
  </si>
  <si>
    <t xml:space="preserve">Fin Leading Edge Pressure Drag Coefficient</t>
  </si>
  <si>
    <t xml:space="preserve">Stage 1 Fin Wave Drag Coefficient</t>
  </si>
  <si>
    <t xml:space="preserve">Total Wave Drag Coefficient</t>
  </si>
  <si>
    <t xml:space="preserve">Power-Off Total Drag Coefficient</t>
  </si>
  <si>
    <t xml:space="preserve">The nose wave/pressure drag coefficient as a function of Mach number is found in cell W6 of MUNKSHIP2.xls (subsonic) and in cell AK14 of SUPERSONIC BARROWMAN EQUATIONS3.3.xls (supersonic).  Fin wave drag is found in cells AL64 (Stage 1) and AL67 (Stage 2) of SUPERSONIC BARROWMAN EQUATIONS.xls.  </t>
  </si>
  <si>
    <t xml:space="preserve">Second Stage Fins    --&gt;</t>
  </si>
  <si>
    <t xml:space="preserve">Average Chord, ft, ft</t>
  </si>
  <si>
    <t xml:space="preserve">Average Chord Re </t>
  </si>
  <si>
    <t xml:space="preserve">Transition length, ft</t>
  </si>
  <si>
    <t xml:space="preserve">Stage 2 Fin Wave Drag Coefficient</t>
  </si>
  <si>
    <r>
      <rPr>
        <sz val="10"/>
        <rFont val="Arial"/>
        <family val="0"/>
      </rPr>
      <t xml:space="preserve">Riding Lugs  </t>
    </r>
    <r>
      <rPr>
        <sz val="10"/>
        <rFont val="Arial"/>
        <family val="2"/>
      </rPr>
      <t xml:space="preserve">→</t>
    </r>
  </si>
  <si>
    <t xml:space="preserve">Specific heat ratio, cp/cv</t>
  </si>
  <si>
    <t xml:space="preserve">Stagnation Pressure Coefficient</t>
  </si>
  <si>
    <r>
      <rPr>
        <sz val="10"/>
        <rFont val="Arial"/>
        <family val="0"/>
      </rPr>
      <t xml:space="preserve">Single Lug Frontal Area, in</t>
    </r>
    <r>
      <rPr>
        <vertAlign val="superscript"/>
        <sz val="10"/>
        <rFont val="Arial"/>
        <family val="2"/>
      </rPr>
      <t xml:space="preserve">2</t>
    </r>
  </si>
  <si>
    <t xml:space="preserve">Single Lug Drag Coefficient</t>
  </si>
  <si>
    <r>
      <rPr>
        <sz val="10"/>
        <rFont val="Arial"/>
        <family val="0"/>
      </rPr>
      <t xml:space="preserve">Body Base Drag  </t>
    </r>
    <r>
      <rPr>
        <sz val="10"/>
        <rFont val="Arial"/>
        <family val="2"/>
      </rPr>
      <t xml:space="preserve">→</t>
    </r>
  </si>
  <si>
    <t xml:space="preserve">Nozzle Exit Diameter, in</t>
  </si>
  <si>
    <r>
      <rPr>
        <sz val="10"/>
        <rFont val="Arial"/>
        <family val="0"/>
      </rPr>
      <t xml:space="preserve">Nozzle Exit Area, ft</t>
    </r>
    <r>
      <rPr>
        <vertAlign val="superscript"/>
        <sz val="10"/>
        <rFont val="Arial"/>
        <family val="2"/>
      </rPr>
      <t xml:space="preserve">2</t>
    </r>
  </si>
  <si>
    <t xml:space="preserve">Subsonic Base Pressure Coefficient</t>
  </si>
  <si>
    <t xml:space="preserve">Transonic Base Pressure Coefficient</t>
  </si>
  <si>
    <t xml:space="preserve">Max Transonic Mach number</t>
  </si>
  <si>
    <t xml:space="preserve">Power-Off Base Drag Coefficient</t>
  </si>
  <si>
    <t xml:space="preserve">Total Power-Off Base Drag Coefficient</t>
  </si>
  <si>
    <r>
      <rPr>
        <sz val="10"/>
        <rFont val="Symbol"/>
        <family val="1"/>
        <charset val="2"/>
      </rPr>
      <t xml:space="preserve">D</t>
    </r>
    <r>
      <rPr>
        <sz val="10"/>
        <rFont val="Arial"/>
        <family val="0"/>
      </rPr>
      <t xml:space="preserve"> Power Off Base Drag Coefficient</t>
    </r>
  </si>
  <si>
    <t xml:space="preserve">Power-On Base Drag Coefficient</t>
  </si>
  <si>
    <t xml:space="preserve">Total Power-On Base Drag Coefficient</t>
  </si>
  <si>
    <t xml:space="preserve">Tangent Ogive Forebody used?</t>
  </si>
  <si>
    <t xml:space="preserve">Body Station, in</t>
  </si>
  <si>
    <t xml:space="preserve">Body Radius, in</t>
  </si>
  <si>
    <r>
      <rPr>
        <sz val="10"/>
        <rFont val="Arial"/>
        <family val="0"/>
      </rPr>
      <t xml:space="preserve">Wetted Area forward of Body Station, in</t>
    </r>
    <r>
      <rPr>
        <strike val="true"/>
        <vertAlign val="superscript"/>
        <sz val="10"/>
        <rFont val="Arial"/>
        <family val="2"/>
      </rPr>
      <t xml:space="preserve">2</t>
    </r>
  </si>
  <si>
    <t xml:space="preserve">Up to 6 points on the wetted area curve are user inputs.</t>
  </si>
  <si>
    <r>
      <rPr>
        <sz val="10"/>
        <rFont val="Arial"/>
        <family val="0"/>
      </rPr>
      <t xml:space="preserve">Flat- Faced Nose  </t>
    </r>
    <r>
      <rPr>
        <sz val="10"/>
        <rFont val="Arial"/>
        <family val="2"/>
      </rPr>
      <t xml:space="preserve">→</t>
    </r>
  </si>
  <si>
    <t xml:space="preserve">Nose Diameter, in</t>
  </si>
  <si>
    <t xml:space="preserve">Flat-Faced Pressure Drag Coefficient</t>
  </si>
  <si>
    <t xml:space="preserve">Is nose flat faced?</t>
  </si>
  <si>
    <t xml:space="preserve">Pressure Drag Coefficient</t>
  </si>
  <si>
    <t xml:space="preserve"> </t>
  </si>
  <si>
    <t xml:space="preserve">Parasite Drag Increment, percent</t>
  </si>
  <si>
    <r>
      <rPr>
        <sz val="10"/>
        <rFont val="Arial"/>
        <family val="0"/>
      </rPr>
      <t xml:space="preserve">Nominal Power on C</t>
    </r>
    <r>
      <rPr>
        <vertAlign val="subscript"/>
        <sz val="10"/>
        <rFont val="Arial"/>
        <family val="2"/>
      </rPr>
      <t xml:space="preserve">d</t>
    </r>
  </si>
  <si>
    <r>
      <rPr>
        <sz val="10"/>
        <rFont val="Arial"/>
        <family val="0"/>
      </rPr>
      <t xml:space="preserve">Nominal Power off C</t>
    </r>
    <r>
      <rPr>
        <vertAlign val="subscript"/>
        <sz val="10"/>
        <rFont val="Arial"/>
        <family val="2"/>
      </rPr>
      <t xml:space="preserve">d</t>
    </r>
  </si>
  <si>
    <t xml:space="preserve">Mach Number</t>
  </si>
  <si>
    <r>
      <rPr>
        <sz val="10"/>
        <rFont val="Arial"/>
        <family val="2"/>
      </rPr>
      <t xml:space="preserve">Power on C</t>
    </r>
    <r>
      <rPr>
        <vertAlign val="subscript"/>
        <sz val="10"/>
        <rFont val="Arial"/>
        <family val="2"/>
      </rPr>
      <t xml:space="preserve">d</t>
    </r>
    <r>
      <rPr>
        <sz val="10"/>
        <rFont val="Arial"/>
        <family val="2"/>
      </rPr>
      <t xml:space="preserve"> with Parasite drag</t>
    </r>
  </si>
  <si>
    <r>
      <rPr>
        <sz val="10"/>
        <rFont val="Arial"/>
        <family val="2"/>
      </rPr>
      <t xml:space="preserve">Power off C</t>
    </r>
    <r>
      <rPr>
        <vertAlign val="subscript"/>
        <sz val="10"/>
        <rFont val="Arial"/>
        <family val="2"/>
      </rPr>
      <t xml:space="preserve">d</t>
    </r>
    <r>
      <rPr>
        <sz val="10"/>
        <rFont val="Arial"/>
        <family val="2"/>
      </rPr>
      <t xml:space="preserve"> with Parasite drag</t>
    </r>
  </si>
</sst>
</file>

<file path=xl/styles.xml><?xml version="1.0" encoding="utf-8"?>
<styleSheet xmlns="http://schemas.openxmlformats.org/spreadsheetml/2006/main">
  <numFmts count="1">
    <numFmt numFmtId="164" formatCode="General"/>
  </numFmts>
  <fonts count="14">
    <font>
      <sz val="10"/>
      <name val="Arial"/>
      <family val="0"/>
    </font>
    <font>
      <sz val="10"/>
      <name val="Arial"/>
      <family val="0"/>
    </font>
    <font>
      <sz val="10"/>
      <name val="Arial"/>
      <family val="0"/>
    </font>
    <font>
      <sz val="10"/>
      <name val="Arial"/>
      <family val="0"/>
    </font>
    <font>
      <b val="true"/>
      <sz val="10"/>
      <name val="Arial"/>
      <family val="2"/>
    </font>
    <font>
      <vertAlign val="superscript"/>
      <sz val="10"/>
      <name val="Arial"/>
      <family val="2"/>
    </font>
    <font>
      <sz val="10"/>
      <name val="Arial"/>
      <family val="2"/>
    </font>
    <font>
      <sz val="10"/>
      <name val="Symbol"/>
      <family val="1"/>
      <charset val="2"/>
    </font>
    <font>
      <sz val="12"/>
      <name val="Times New Roman"/>
      <family val="0"/>
    </font>
    <font>
      <strike val="true"/>
      <vertAlign val="superscript"/>
      <sz val="10"/>
      <name val="Arial"/>
      <family val="2"/>
    </font>
    <font>
      <vertAlign val="subscript"/>
      <sz val="10"/>
      <name val="Arial"/>
      <family val="2"/>
    </font>
    <font>
      <b val="true"/>
      <sz val="20.75"/>
      <color rgb="FF000000"/>
      <name val="Arial"/>
      <family val="2"/>
    </font>
    <font>
      <b val="true"/>
      <sz val="18"/>
      <color rgb="FF000000"/>
      <name val="Arial"/>
      <family val="2"/>
    </font>
    <font>
      <sz val="11"/>
      <color rgb="FF000000"/>
      <name val="Arial"/>
      <family val="2"/>
    </font>
  </fonts>
  <fills count="8">
    <fill>
      <patternFill patternType="none"/>
    </fill>
    <fill>
      <patternFill patternType="gray125"/>
    </fill>
    <fill>
      <patternFill patternType="solid">
        <fgColor rgb="FFCC99FF"/>
        <bgColor rgb="FF9999FF"/>
      </patternFill>
    </fill>
    <fill>
      <patternFill patternType="solid">
        <fgColor rgb="FFFFCC00"/>
        <bgColor rgb="FFFFFF00"/>
      </patternFill>
    </fill>
    <fill>
      <patternFill patternType="solid">
        <fgColor rgb="FFFFFFFF"/>
        <bgColor rgb="FFFFFFCC"/>
      </patternFill>
    </fill>
    <fill>
      <patternFill patternType="solid">
        <fgColor rgb="FFCCFFFF"/>
        <bgColor rgb="FFCCFFFF"/>
      </patternFill>
    </fill>
    <fill>
      <patternFill patternType="solid">
        <fgColor rgb="FFFFFF00"/>
        <bgColor rgb="FFFFFF00"/>
      </patternFill>
    </fill>
    <fill>
      <patternFill patternType="solid">
        <fgColor rgb="FFC0C0C0"/>
        <bgColor rgb="FFCCCCFF"/>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right/>
      <top style="thin">
        <color rgb="FFC0C0C0"/>
      </top>
      <bottom style="thin">
        <color rgb="FFC0C0C0"/>
      </bottom>
      <diagonal/>
    </border>
    <border diagonalUp="false" diagonalDown="false">
      <left style="thin"/>
      <right style="thin"/>
      <top style="thin"/>
      <bottom/>
      <diagonal/>
    </border>
    <border diagonalUp="false" diagonalDown="false">
      <left/>
      <right style="thin">
        <color rgb="FFC0C0C0"/>
      </right>
      <top style="thin">
        <color rgb="FFC0C0C0"/>
      </top>
      <bottom style="thin">
        <color rgb="FFC0C0C0"/>
      </bottom>
      <diagonal/>
    </border>
    <border diagonalUp="false" diagonalDown="false">
      <left/>
      <right/>
      <top/>
      <bottom style="thin">
        <color rgb="FFC0C0C0"/>
      </bottom>
      <diagonal/>
    </border>
    <border diagonalUp="false" diagonalDown="false">
      <left/>
      <right style="thin">
        <color rgb="FFC0C0C0"/>
      </right>
      <top/>
      <bottom style="thin">
        <color rgb="FFC0C0C0"/>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style="thin">
        <color rgb="FFC0C0C0"/>
      </top>
      <bottom style="thin">
        <color rgb="FFC0C0C0"/>
      </bottom>
      <diagonal/>
    </border>
    <border diagonalUp="false" diagonalDown="false">
      <left style="double"/>
      <right style="double"/>
      <top style="double"/>
      <bottom style="double"/>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C0C0C0"/>
      </left>
      <right style="thin">
        <color rgb="FFC0C0C0"/>
      </right>
      <top style="thin">
        <color rgb="FFC0C0C0"/>
      </top>
      <bottom/>
      <diagonal/>
    </border>
    <border diagonalUp="false" diagonalDown="false">
      <left style="thin">
        <color rgb="FFC0C0C0"/>
      </left>
      <right/>
      <top/>
      <bottom style="thin">
        <color rgb="FFC0C0C0"/>
      </bottom>
      <diagonal/>
    </border>
    <border diagonalUp="false" diagonalDown="false">
      <left style="thin">
        <color rgb="FFC0C0C0"/>
      </left>
      <right style="thin">
        <color rgb="FFC0C0C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0" fillId="4" borderId="2" xfId="0" applyFont="false" applyBorder="true" applyAlignment="true" applyProtection="false">
      <alignment horizontal="center" vertical="center" textRotation="0" wrapText="true" indent="0" shrinkToFit="false"/>
      <protection locked="true" hidden="false"/>
    </xf>
    <xf numFmtId="164" fontId="0" fillId="3" borderId="3" xfId="0" applyFont="true" applyBorder="true" applyAlignment="true" applyProtection="false">
      <alignment horizontal="center" vertical="center" textRotation="0" wrapText="true" indent="0" shrinkToFit="false"/>
      <protection locked="true" hidden="false"/>
    </xf>
    <xf numFmtId="164" fontId="0" fillId="4" borderId="4" xfId="0" applyFont="fals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4" borderId="5" xfId="0" applyFont="false" applyBorder="true" applyAlignment="false" applyProtection="false">
      <alignment horizontal="general" vertical="bottom" textRotation="0" wrapText="false" indent="0" shrinkToFit="false"/>
      <protection locked="true" hidden="false"/>
    </xf>
    <xf numFmtId="164" fontId="0" fillId="4" borderId="6" xfId="0" applyFont="fals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true" applyProtection="false">
      <alignment horizontal="right" vertical="bottom" textRotation="0" wrapText="false" indent="0" shrinkToFit="false"/>
      <protection locked="true" hidden="false"/>
    </xf>
    <xf numFmtId="164" fontId="0" fillId="4" borderId="7"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4" borderId="8" xfId="0" applyFont="false" applyBorder="true" applyAlignment="true" applyProtection="false">
      <alignment horizontal="center" vertical="center" textRotation="0" wrapText="true" indent="0" shrinkToFit="false"/>
      <protection locked="true" hidden="false"/>
    </xf>
    <xf numFmtId="164" fontId="0" fillId="6" borderId="9" xfId="0" applyFont="false" applyBorder="true" applyAlignment="false" applyProtection="false">
      <alignment horizontal="general" vertical="bottom" textRotation="0" wrapText="false" indent="0" shrinkToFit="false"/>
      <protection locked="true" hidden="false"/>
    </xf>
    <xf numFmtId="164" fontId="0" fillId="4" borderId="4"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4" borderId="11" xfId="0" applyFont="fals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center" vertical="center" textRotation="0" wrapText="true" indent="0" shrinkToFit="false"/>
      <protection locked="true" hidden="false"/>
    </xf>
    <xf numFmtId="164" fontId="0" fillId="7" borderId="1" xfId="0" applyFont="true" applyBorder="true" applyAlignment="true" applyProtection="false">
      <alignment horizontal="left" vertical="center" textRotation="0" wrapText="true" indent="0" shrinkToFit="false"/>
      <protection locked="true" hidden="false"/>
    </xf>
    <xf numFmtId="164" fontId="0" fillId="4" borderId="10" xfId="0" applyFont="false" applyBorder="true" applyAlignment="false" applyProtection="false">
      <alignment horizontal="general" vertical="bottom" textRotation="0" wrapText="false" indent="0" shrinkToFit="false"/>
      <protection locked="true" hidden="false"/>
    </xf>
    <xf numFmtId="164" fontId="0" fillId="4" borderId="12"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right" vertical="center" textRotation="0" wrapText="true" indent="0" shrinkToFit="false"/>
      <protection locked="true" hidden="false"/>
    </xf>
    <xf numFmtId="164" fontId="0" fillId="4" borderId="6" xfId="0" applyFont="false" applyBorder="true" applyAlignment="true" applyProtection="false">
      <alignment horizontal="right" vertical="center" textRotation="0" wrapText="true" indent="0" shrinkToFit="false"/>
      <protection locked="true" hidden="false"/>
    </xf>
    <xf numFmtId="164" fontId="0" fillId="4" borderId="5" xfId="0" applyFont="false" applyBorder="true" applyAlignment="true" applyProtection="false">
      <alignment horizontal="right" vertical="center" textRotation="0" wrapText="true" indent="0" shrinkToFit="false"/>
      <protection locked="true" hidden="false"/>
    </xf>
    <xf numFmtId="164" fontId="0" fillId="4" borderId="12" xfId="0" applyFont="false" applyBorder="true" applyAlignment="true" applyProtection="false">
      <alignment horizontal="right" vertical="center" textRotation="0" wrapText="true" indent="0" shrinkToFit="false"/>
      <protection locked="true" hidden="false"/>
    </xf>
    <xf numFmtId="164" fontId="0" fillId="6" borderId="1" xfId="0" applyFont="fals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true" applyProtection="false">
      <alignment horizontal="left" vertical="center"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4" borderId="11" xfId="0" applyFont="false" applyBorder="true" applyAlignment="true" applyProtection="false">
      <alignment horizontal="center" vertical="center" textRotation="0" wrapText="true" indent="0" shrinkToFit="false"/>
      <protection locked="true" hidden="false"/>
    </xf>
    <xf numFmtId="164" fontId="0" fillId="4" borderId="13" xfId="0" applyFont="false" applyBorder="true" applyAlignment="true" applyProtection="false">
      <alignment horizontal="center" vertical="center" textRotation="0" wrapText="true" indent="0" shrinkToFit="false"/>
      <protection locked="true" hidden="false"/>
    </xf>
    <xf numFmtId="164" fontId="0" fillId="4" borderId="0" xfId="0" applyFont="false" applyBorder="true" applyAlignment="true" applyProtection="false">
      <alignment horizontal="center" vertical="center" textRotation="0" wrapText="true" indent="0" shrinkToFit="false"/>
      <protection locked="true" hidden="false"/>
    </xf>
    <xf numFmtId="164" fontId="0" fillId="4" borderId="10" xfId="0" applyFont="fals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true" applyProtection="false">
      <alignment horizontal="right"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righ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0" fillId="4" borderId="4" xfId="0" applyFont="false" applyBorder="true" applyAlignment="true" applyProtection="false">
      <alignment horizontal="general" vertical="distributed" textRotation="0" wrapText="true" indent="0" shrinkToFit="false"/>
      <protection locked="true" hidden="false"/>
    </xf>
    <xf numFmtId="164" fontId="0" fillId="4" borderId="10" xfId="0" applyFont="false" applyBorder="true" applyAlignment="true" applyProtection="false">
      <alignment horizontal="general" vertical="distributed" textRotation="0" wrapText="true" indent="0" shrinkToFit="false"/>
      <protection locked="true" hidden="false"/>
    </xf>
    <xf numFmtId="164" fontId="0" fillId="4" borderId="8"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bottom" textRotation="0" wrapText="true" indent="0" shrinkToFit="false"/>
      <protection locked="true" hidden="false"/>
    </xf>
    <xf numFmtId="164" fontId="8" fillId="4" borderId="4"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2075" b="1" u="none" strike="noStrike">
                <a:solidFill>
                  <a:srgbClr val="000000"/>
                </a:solidFill>
                <a:uFillTx/>
                <a:latin typeface="Arial"/>
              </a:rPr>
              <a:t>2014 Sonic Eagle Drag</a:t>
            </a:r>
          </a:p>
        </c:rich>
      </c:tx>
      <c:layout>
        <c:manualLayout>
          <c:xMode val="edge"/>
          <c:yMode val="edge"/>
          <c:x val="0.295837760428697"/>
          <c:y val="0.0421324956111984"/>
        </c:manualLayout>
      </c:layout>
      <c:overlay val="0"/>
      <c:spPr>
        <a:noFill/>
        <a:ln w="0">
          <a:noFill/>
        </a:ln>
      </c:spPr>
    </c:title>
    <c:autoTitleDeleted val="0"/>
    <c:plotArea>
      <c:layout>
        <c:manualLayout>
          <c:xMode val="edge"/>
          <c:yMode val="edge"/>
          <c:x val="0.0804268489860027"/>
          <c:y val="0.204287166220087"/>
          <c:w val="0.613341340601469"/>
          <c:h val="0.66691305552989"/>
        </c:manualLayout>
      </c:layout>
      <c:scatterChart>
        <c:scatterStyle val="line"/>
        <c:varyColors val="0"/>
        <c:ser>
          <c:idx val="0"/>
          <c:order val="0"/>
          <c:tx>
            <c:strRef>
              <c:f>Sheet1!$H$31</c:f>
              <c:strCache>
                <c:ptCount val="1"/>
                <c:pt idx="0">
                  <c:v>Power on Cd with Parasite drag</c:v>
                </c:pt>
              </c:strCache>
            </c:strRef>
          </c:tx>
          <c:spPr>
            <a:solidFill>
              <a:srgbClr val="000080"/>
            </a:solidFill>
            <a:ln w="25200">
              <a:solidFill>
                <a:srgbClr val="000080"/>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5200">
                  <a:solidFill>
                    <a:srgbClr val="000000"/>
                  </a:solidFill>
                </a:ln>
              </c:spPr>
            </c:leaderLines>
            <c:extLst>
              <c:ext xmlns:c15="http://schemas.microsoft.com/office/drawing/2012/chart" uri="{CE6537A1-D6FC-4f65-9D91-7224C49458BB}">
                <c15:showLeaderLines val="1"/>
              </c:ext>
            </c:extLst>
          </c:dLbls>
          <c:xVal>
            <c:numRef>
              <c:f>Sheet1!$G$32:$G$42</c:f>
              <c:numCache>
                <c:formatCode>General</c:formatCode>
                <c:ptCount val="11"/>
                <c:pt idx="0">
                  <c:v>0.05</c:v>
                </c:pt>
                <c:pt idx="1">
                  <c:v>0.1</c:v>
                </c:pt>
                <c:pt idx="2">
                  <c:v>0.15</c:v>
                </c:pt>
                <c:pt idx="3">
                  <c:v>0.2</c:v>
                </c:pt>
                <c:pt idx="4">
                  <c:v>0.3</c:v>
                </c:pt>
                <c:pt idx="5">
                  <c:v>0.4</c:v>
                </c:pt>
                <c:pt idx="6">
                  <c:v>0.5</c:v>
                </c:pt>
                <c:pt idx="7">
                  <c:v>0.6</c:v>
                </c:pt>
                <c:pt idx="8">
                  <c:v>0.7</c:v>
                </c:pt>
                <c:pt idx="9">
                  <c:v>0.8</c:v>
                </c:pt>
                <c:pt idx="10">
                  <c:v>0.9</c:v>
                </c:pt>
              </c:numCache>
            </c:numRef>
          </c:xVal>
          <c:yVal>
            <c:numRef>
              <c:f>Sheet1!$H$32:$H$42</c:f>
              <c:numCache>
                <c:formatCode>General</c:formatCode>
                <c:ptCount val="11"/>
                <c:pt idx="0">
                  <c:v>0.7148085</c:v>
                </c:pt>
                <c:pt idx="1">
                  <c:v>0.6784995</c:v>
                </c:pt>
                <c:pt idx="2">
                  <c:v>0.65856</c:v>
                </c:pt>
                <c:pt idx="3">
                  <c:v>0.6450045</c:v>
                </c:pt>
                <c:pt idx="4">
                  <c:v>0.626472</c:v>
                </c:pt>
                <c:pt idx="5">
                  <c:v>0.613368</c:v>
                </c:pt>
                <c:pt idx="6">
                  <c:v>0.6029205</c:v>
                </c:pt>
                <c:pt idx="7">
                  <c:v>0.594006</c:v>
                </c:pt>
                <c:pt idx="8">
                  <c:v>0.586089</c:v>
                </c:pt>
                <c:pt idx="9">
                  <c:v>0.578886</c:v>
                </c:pt>
                <c:pt idx="10">
                  <c:v>0.5722395</c:v>
                </c:pt>
              </c:numCache>
            </c:numRef>
          </c:yVal>
          <c:smooth val="1"/>
        </c:ser>
        <c:ser>
          <c:idx val="1"/>
          <c:order val="1"/>
          <c:tx>
            <c:strRef>
              <c:f>Sheet1!$I$31</c:f>
              <c:strCache>
                <c:ptCount val="1"/>
                <c:pt idx="0">
                  <c:v>Power off Cd with Parasite drag</c:v>
                </c:pt>
              </c:strCache>
            </c:strRef>
          </c:tx>
          <c:spPr>
            <a:solidFill>
              <a:srgbClr val="ff00ff"/>
            </a:solidFill>
            <a:ln w="25200">
              <a:solidFill>
                <a:srgbClr val="ff00ff"/>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25200">
                  <a:solidFill>
                    <a:srgbClr val="000000"/>
                  </a:solidFill>
                </a:ln>
              </c:spPr>
            </c:leaderLines>
            <c:extLst>
              <c:ext xmlns:c15="http://schemas.microsoft.com/office/drawing/2012/chart" uri="{CE6537A1-D6FC-4f65-9D91-7224C49458BB}">
                <c15:showLeaderLines val="1"/>
              </c:ext>
            </c:extLst>
          </c:dLbls>
          <c:xVal>
            <c:numRef>
              <c:f>Sheet1!$G$32:$G$42</c:f>
              <c:numCache>
                <c:formatCode>General</c:formatCode>
                <c:ptCount val="11"/>
                <c:pt idx="0">
                  <c:v>0.05</c:v>
                </c:pt>
                <c:pt idx="1">
                  <c:v>0.1</c:v>
                </c:pt>
                <c:pt idx="2">
                  <c:v>0.15</c:v>
                </c:pt>
                <c:pt idx="3">
                  <c:v>0.2</c:v>
                </c:pt>
                <c:pt idx="4">
                  <c:v>0.3</c:v>
                </c:pt>
                <c:pt idx="5">
                  <c:v>0.4</c:v>
                </c:pt>
                <c:pt idx="6">
                  <c:v>0.5</c:v>
                </c:pt>
                <c:pt idx="7">
                  <c:v>0.6</c:v>
                </c:pt>
                <c:pt idx="8">
                  <c:v>0.7</c:v>
                </c:pt>
                <c:pt idx="9">
                  <c:v>0.8</c:v>
                </c:pt>
                <c:pt idx="10">
                  <c:v>0.9</c:v>
                </c:pt>
              </c:numCache>
            </c:numRef>
          </c:xVal>
          <c:yVal>
            <c:numRef>
              <c:f>Sheet1!$I$32:$I$42</c:f>
              <c:numCache>
                <c:formatCode>General</c:formatCode>
                <c:ptCount val="11"/>
                <c:pt idx="0">
                  <c:v>0.71505</c:v>
                </c:pt>
                <c:pt idx="1">
                  <c:v>0.6787515</c:v>
                </c:pt>
                <c:pt idx="2">
                  <c:v>0.658812</c:v>
                </c:pt>
                <c:pt idx="3">
                  <c:v>0.645267</c:v>
                </c:pt>
                <c:pt idx="4">
                  <c:v>0.6267555</c:v>
                </c:pt>
                <c:pt idx="5">
                  <c:v>0.6136515</c:v>
                </c:pt>
                <c:pt idx="6">
                  <c:v>0.6032145</c:v>
                </c:pt>
                <c:pt idx="7">
                  <c:v>0.5943105</c:v>
                </c:pt>
                <c:pt idx="8">
                  <c:v>0.5863935</c:v>
                </c:pt>
                <c:pt idx="9">
                  <c:v>0.5791905</c:v>
                </c:pt>
                <c:pt idx="10">
                  <c:v>0.5725545</c:v>
                </c:pt>
              </c:numCache>
            </c:numRef>
          </c:yVal>
          <c:smooth val="1"/>
        </c:ser>
        <c:axId val="9530949"/>
        <c:axId val="5702665"/>
      </c:scatterChart>
      <c:valAx>
        <c:axId val="9530949"/>
        <c:scaling>
          <c:orientation val="minMax"/>
        </c:scaling>
        <c:delete val="0"/>
        <c:axPos val="b"/>
        <c:majorGridlines>
          <c:spPr>
            <a:ln w="0">
              <a:solidFill>
                <a:srgbClr val="000000"/>
              </a:solidFill>
            </a:ln>
          </c:spPr>
        </c:majorGridlines>
        <c:title>
          <c:tx>
            <c:rich>
              <a:bodyPr rot="0"/>
              <a:lstStyle/>
              <a:p>
                <a:pPr>
                  <a:defRPr sz="1300" b="0" u="none" strike="noStrike">
                    <a:uFillTx/>
                    <a:latin typeface="Arial"/>
                  </a:defRPr>
                </a:pPr>
                <a:r>
                  <a:rPr sz="1800" b="1" u="none" strike="noStrike">
                    <a:solidFill>
                      <a:srgbClr val="000000"/>
                    </a:solidFill>
                    <a:uFillTx/>
                    <a:latin typeface="Arial"/>
                  </a:rPr>
                  <a:t>Mach Number</a:t>
                </a:r>
              </a:p>
            </c:rich>
          </c:tx>
          <c:layout>
            <c:manualLayout>
              <c:xMode val="edge"/>
              <c:yMode val="edge"/>
              <c:x val="0.29851711553564"/>
              <c:y val="0.874341679756075"/>
            </c:manualLayout>
          </c:layout>
          <c:overlay val="0"/>
          <c:spPr>
            <a:noFill/>
            <a:ln w="0">
              <a:noFill/>
            </a:ln>
          </c:spPr>
        </c:title>
        <c:numFmt formatCode="General" sourceLinked="1"/>
        <c:majorTickMark val="out"/>
        <c:minorTickMark val="none"/>
        <c:tickLblPos val="nextTo"/>
        <c:spPr>
          <a:ln w="25200">
            <a:solidFill>
              <a:srgbClr val="000000"/>
            </a:solidFill>
            <a:round/>
          </a:ln>
        </c:spPr>
        <c:txPr>
          <a:bodyPr/>
          <a:lstStyle/>
          <a:p>
            <a:pPr>
              <a:defRPr sz="1800" b="1" u="none" strike="noStrike">
                <a:solidFill>
                  <a:srgbClr val="000000"/>
                </a:solidFill>
                <a:uFillTx/>
                <a:latin typeface="Arial"/>
              </a:defRPr>
            </a:pPr>
          </a:p>
        </c:txPr>
        <c:crossAx val="5702665"/>
        <c:crossesAt val="0"/>
        <c:crossBetween val="midCat"/>
        <c:majorUnit val="0.2"/>
      </c:valAx>
      <c:valAx>
        <c:axId val="5702665"/>
        <c:scaling>
          <c:orientation val="minMax"/>
        </c:scaling>
        <c:delete val="0"/>
        <c:axPos val="l"/>
        <c:majorGridlines>
          <c:spPr>
            <a:ln w="0">
              <a:solidFill>
                <a:srgbClr val="000000"/>
              </a:solidFill>
            </a:ln>
          </c:spPr>
        </c:majorGridlines>
        <c:title>
          <c:tx>
            <c:rich>
              <a:bodyPr rot="-5400000"/>
              <a:lstStyle/>
              <a:p>
                <a:pPr>
                  <a:defRPr sz="1300" b="0" u="none" strike="noStrike">
                    <a:uFillTx/>
                    <a:latin typeface="Arial"/>
                  </a:defRPr>
                </a:pPr>
                <a:r>
                  <a:rPr sz="1800" b="1" u="none" strike="noStrike">
                    <a:solidFill>
                      <a:srgbClr val="000000"/>
                    </a:solidFill>
                    <a:uFillTx/>
                    <a:latin typeface="Arial"/>
                  </a:rPr>
                  <a:t>Drag Coefficient</a:t>
                </a:r>
              </a:p>
            </c:rich>
          </c:tx>
          <c:layout>
            <c:manualLayout>
              <c:xMode val="edge"/>
              <c:yMode val="edge"/>
              <c:x val="0.0115489444264794"/>
              <c:y val="0.260833410329853"/>
            </c:manualLayout>
          </c:layout>
          <c:overlay val="0"/>
          <c:spPr>
            <a:noFill/>
            <a:ln w="0">
              <a:noFill/>
            </a:ln>
          </c:spPr>
        </c:title>
        <c:numFmt formatCode="General" sourceLinked="1"/>
        <c:majorTickMark val="out"/>
        <c:minorTickMark val="none"/>
        <c:tickLblPos val="nextTo"/>
        <c:spPr>
          <a:ln w="25200">
            <a:solidFill>
              <a:srgbClr val="000000"/>
            </a:solidFill>
            <a:round/>
          </a:ln>
        </c:spPr>
        <c:txPr>
          <a:bodyPr/>
          <a:lstStyle/>
          <a:p>
            <a:pPr>
              <a:defRPr sz="1800" b="1" u="none" strike="noStrike">
                <a:solidFill>
                  <a:srgbClr val="000000"/>
                </a:solidFill>
                <a:uFillTx/>
                <a:latin typeface="Arial"/>
              </a:defRPr>
            </a:pPr>
          </a:p>
        </c:txPr>
        <c:crossAx val="9530949"/>
        <c:crossesAt val="0"/>
        <c:crossBetween val="midCat"/>
      </c:valAx>
      <c:spPr>
        <a:noFill/>
        <a:ln w="12600">
          <a:noFill/>
        </a:ln>
      </c:spPr>
    </c:plotArea>
    <c:legend>
      <c:legendPos val="r"/>
      <c:layout>
        <c:manualLayout>
          <c:xMode val="edge"/>
          <c:yMode val="edge"/>
          <c:x val="0.696355153139003"/>
          <c:y val="0.378360898087406"/>
          <c:w val="0.275419226682681"/>
          <c:h val="0.211863623764206"/>
        </c:manualLayout>
      </c:layout>
      <c:overlay val="0"/>
      <c:spPr>
        <a:solidFill>
          <a:srgbClr val="ffffff"/>
        </a:solidFill>
        <a:ln w="0">
          <a:solidFill>
            <a:srgbClr val="000000"/>
          </a:solidFill>
        </a:ln>
      </c:spPr>
      <c:txPr>
        <a:bodyPr/>
        <a:lstStyle/>
        <a:p>
          <a:pPr>
            <a:defRPr sz="1100" b="0" u="none" strike="noStrike">
              <a:solidFill>
                <a:srgbClr val="000000"/>
              </a:solidFill>
              <a:uFillTx/>
              <a:latin typeface="Arial"/>
            </a:defRPr>
          </a:pPr>
        </a:p>
      </c:txPr>
    </c:legend>
    <c:plotVisOnly val="1"/>
    <c:dispBlanksAs val="gap"/>
  </c:chart>
  <c:spPr>
    <a:solidFill>
      <a:srgbClr val="ffffff"/>
    </a:solidFill>
    <a:ln w="0">
      <a:solidFill>
        <a:srgbClr val="000000"/>
      </a:solid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30</xdr:row>
      <xdr:rowOff>0</xdr:rowOff>
    </xdr:from>
    <xdr:to>
      <xdr:col>19</xdr:col>
      <xdr:colOff>1047600</xdr:colOff>
      <xdr:row>50</xdr:row>
      <xdr:rowOff>133560</xdr:rowOff>
    </xdr:to>
    <xdr:graphicFrame>
      <xdr:nvGraphicFramePr>
        <xdr:cNvPr id="1" name="Chart 3"/>
        <xdr:cNvGraphicFramePr/>
      </xdr:nvGraphicFramePr>
      <xdr:xfrm>
        <a:off x="9833040" y="7467480"/>
        <a:ext cx="7792560" cy="3895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N4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ColWidth="9.0546875" defaultRowHeight="12.75" customHeight="false" zeroHeight="false" outlineLevelRow="0" outlineLevelCol="0"/>
  <cols>
    <col collapsed="false" customWidth="true" hidden="false" outlineLevel="0" max="2" min="2" style="0" width="10.41"/>
    <col collapsed="false" customWidth="true" hidden="false" outlineLevel="0" max="3" min="3" style="0" width="17.42"/>
    <col collapsed="false" customWidth="true" hidden="false" outlineLevel="0" max="4" min="4" style="0" width="23.7"/>
    <col collapsed="false" customWidth="true" hidden="false" outlineLevel="0" max="5" min="5" style="0" width="11.7"/>
    <col collapsed="false" customWidth="true" hidden="false" outlineLevel="0" max="7" min="7" style="0" width="11.85"/>
    <col collapsed="false" customWidth="true" hidden="false" outlineLevel="0" max="9" min="9" style="0" width="10.99"/>
    <col collapsed="false" customWidth="true" hidden="false" outlineLevel="0" max="10" min="10" style="0" width="12.14"/>
    <col collapsed="false" customWidth="true" hidden="false" outlineLevel="0" max="11" min="11" style="0" width="14.14"/>
    <col collapsed="false" customWidth="true" hidden="false" outlineLevel="0" max="12" min="12" style="0" width="13.99"/>
    <col collapsed="false" customWidth="true" hidden="false" outlineLevel="0" max="13" min="13" style="0" width="10.99"/>
    <col collapsed="false" customWidth="true" hidden="false" outlineLevel="0" max="15" min="15" style="0" width="10.99"/>
    <col collapsed="false" customWidth="true" hidden="false" outlineLevel="0" max="16" min="16" style="0" width="10.71"/>
    <col collapsed="false" customWidth="true" hidden="false" outlineLevel="0" max="17" min="17" style="0" width="13.7"/>
    <col collapsed="false" customWidth="true" hidden="false" outlineLevel="0" max="18" min="18" style="0" width="13.56"/>
    <col collapsed="false" customWidth="true" hidden="false" outlineLevel="0" max="19" min="19" style="0" width="12.7"/>
    <col collapsed="false" customWidth="true" hidden="false" outlineLevel="0" max="20" min="20" style="0" width="16.28"/>
    <col collapsed="false" customWidth="true" hidden="false" outlineLevel="0" max="21" min="21" style="0" width="13.7"/>
    <col collapsed="false" customWidth="true" hidden="false" outlineLevel="0" max="22" min="22" style="0" width="16.42"/>
    <col collapsed="false" customWidth="true" hidden="false" outlineLevel="0" max="25" min="23" style="0" width="16.28"/>
    <col collapsed="false" customWidth="true" hidden="false" outlineLevel="0" max="26" min="26" style="0" width="10.99"/>
    <col collapsed="false" customWidth="true" hidden="false" outlineLevel="0" max="29" min="27" style="0" width="10.41"/>
    <col collapsed="false" customWidth="true" hidden="false" outlineLevel="0" max="30" min="30" style="0" width="14.14"/>
    <col collapsed="false" customWidth="true" hidden="false" outlineLevel="0" max="31" min="31" style="0" width="14.56"/>
    <col collapsed="false" customWidth="true" hidden="false" outlineLevel="0" max="32" min="32" style="0" width="16.28"/>
    <col collapsed="false" customWidth="true" hidden="false" outlineLevel="0" max="34" min="33" style="0" width="14.28"/>
    <col collapsed="false" customWidth="true" hidden="false" outlineLevel="0" max="35" min="35" style="0" width="13.14"/>
    <col collapsed="false" customWidth="true" hidden="false" outlineLevel="0" max="36" min="36" style="0" width="10.41"/>
    <col collapsed="false" customWidth="true" hidden="false" outlineLevel="0" max="38" min="37" style="0" width="14.7"/>
    <col collapsed="false" customWidth="true" hidden="false" outlineLevel="0" max="39" min="39" style="0" width="71.56"/>
  </cols>
  <sheetData>
    <row r="1" customFormat="false" ht="12.75" hidden="false" customHeight="false" outlineLevel="0" collapsed="false">
      <c r="C1" s="1" t="s">
        <v>0</v>
      </c>
      <c r="D1" s="1"/>
    </row>
    <row r="3" customFormat="false" ht="41.25" hidden="false" customHeight="true" outlineLevel="0" collapsed="false">
      <c r="B3" s="2" t="s">
        <v>1</v>
      </c>
      <c r="C3" s="3" t="s">
        <v>2</v>
      </c>
      <c r="D3" s="3" t="s">
        <v>3</v>
      </c>
      <c r="E3" s="4" t="s">
        <v>4</v>
      </c>
      <c r="F3" s="4" t="s">
        <v>5</v>
      </c>
      <c r="G3" s="4"/>
      <c r="H3" s="3" t="s">
        <v>6</v>
      </c>
      <c r="I3" s="3" t="s">
        <v>7</v>
      </c>
      <c r="J3" s="3" t="s">
        <v>8</v>
      </c>
      <c r="K3" s="3" t="s">
        <v>9</v>
      </c>
      <c r="L3" s="3" t="s">
        <v>10</v>
      </c>
      <c r="M3" s="3" t="s">
        <v>11</v>
      </c>
      <c r="N3" s="3" t="s">
        <v>12</v>
      </c>
      <c r="O3" s="3" t="s">
        <v>13</v>
      </c>
      <c r="P3" s="3" t="s">
        <v>14</v>
      </c>
      <c r="Q3" s="3" t="s">
        <v>15</v>
      </c>
      <c r="R3" s="3" t="s">
        <v>16</v>
      </c>
      <c r="S3" s="3" t="s">
        <v>17</v>
      </c>
      <c r="T3" s="3" t="s">
        <v>18</v>
      </c>
      <c r="U3" s="3" t="s">
        <v>19</v>
      </c>
      <c r="W3" s="3" t="s">
        <v>20</v>
      </c>
      <c r="AH3" s="3" t="s">
        <v>21</v>
      </c>
      <c r="AJ3" s="5"/>
      <c r="AK3" s="6" t="s">
        <v>22</v>
      </c>
      <c r="AL3" s="7"/>
      <c r="AM3" s="7"/>
    </row>
    <row r="4" customFormat="false" ht="14.25" hidden="false" customHeight="false" outlineLevel="0" collapsed="false">
      <c r="C4" s="8" t="n">
        <v>499.17</v>
      </c>
      <c r="D4" s="8" t="n">
        <v>2124</v>
      </c>
      <c r="E4" s="9" t="n">
        <f aca="false">8816603*D4*C4^(-1.26)</f>
        <v>7458692.75345878</v>
      </c>
      <c r="F4" s="8" t="n">
        <v>200000</v>
      </c>
      <c r="G4" s="8"/>
      <c r="H4" s="10" t="n">
        <f aca="false">H23</f>
        <v>148</v>
      </c>
      <c r="I4" s="0" t="n">
        <f aca="false">H4/12</f>
        <v>12.3333333333333</v>
      </c>
      <c r="J4" s="11" t="n">
        <f aca="false">J23</f>
        <v>2625.37204882512</v>
      </c>
      <c r="K4" s="0" t="n">
        <f aca="false">J4/144</f>
        <v>18.2317503390634</v>
      </c>
      <c r="L4" s="12" t="n">
        <f aca="false">2*I23</f>
        <v>6.14</v>
      </c>
      <c r="M4" s="0" t="n">
        <f aca="false">L4/12</f>
        <v>0.511666666666667</v>
      </c>
      <c r="N4" s="0" t="n">
        <f aca="false">K4/I4</f>
        <v>1.47825002749162</v>
      </c>
      <c r="O4" s="13" t="n">
        <f aca="false">PI()*M4^2/4</f>
        <v>0.205619420839017</v>
      </c>
      <c r="P4" s="14" t="n">
        <v>0.9</v>
      </c>
      <c r="Q4" s="0" t="n">
        <f aca="false">F4/(E4*P4)</f>
        <v>0.0297937225151381</v>
      </c>
      <c r="R4" s="14" t="n">
        <v>2.5</v>
      </c>
      <c r="S4" s="10" t="n">
        <f aca="false">IF(Q4&gt;R4,R4,Q4)</f>
        <v>0.0297937225151381</v>
      </c>
      <c r="T4" s="12" t="n">
        <f aca="false">IF(AND(12*S4&gt;H21,12*S4&lt;=H22),J21+(J22-J21)*(12*S4-H21)/(H22-H21),IF(H4=H22,J4,IF(AND(12*S4&gt;H22,12*S4&lt;=#REF!),J22+(#REF!-J22)*(12*S4-H22)/(#REF!-H22),IF(H4=#REF!,J4,IF(AND(12*S4&gt;#REF!,12*S4&lt;=#REF!),#REF!+(#REF!-#REF!)*(12*S4-#REF!)/(#REF!-#REF!),IF(H4=#REF!,J4,IF(AND(12*S4&gt;H23,12*S4&lt;=H24),J23+(J24-J23)*(12*S4-H23)/(H24-H23),J4)))))))</f>
        <v>4.61764575736274</v>
      </c>
      <c r="U4" s="0" t="n">
        <f aca="false">1.328*(T4/J4)/SQRT(E4*P4*S4)+0.427*(1-T4/J4)*((1+0.15*P4^2)^-0.58)/((LOG(E4*P4*I4)-0.407)^2.64)</f>
        <v>0.00195031359186148</v>
      </c>
      <c r="W4" s="13" t="n">
        <f aca="false">U4*K4*(1-0.09*P4^2)/O4</f>
        <v>0.160322789999543</v>
      </c>
      <c r="AH4" s="14" t="n">
        <v>0</v>
      </c>
      <c r="AJ4" s="15"/>
      <c r="AK4" s="16" t="e">
        <f aca="false">W8+AD20+AI8+2*L16+R21</f>
        <v>#VALUE!</v>
      </c>
      <c r="AL4" s="17"/>
    </row>
    <row r="5" customFormat="false" ht="14.25" hidden="false" customHeight="true" outlineLevel="0" collapsed="false">
      <c r="T5" s="18"/>
      <c r="AN5" s="19"/>
    </row>
    <row r="6" customFormat="false" ht="12.75" hidden="false" customHeight="false" outlineLevel="0" collapsed="false">
      <c r="AE6" s="18"/>
      <c r="AM6" s="20"/>
      <c r="AN6" s="19"/>
    </row>
    <row r="7" customFormat="false" ht="56.25" hidden="false" customHeight="true" outlineLevel="0" collapsed="false">
      <c r="B7" s="2" t="s">
        <v>23</v>
      </c>
      <c r="C7" s="3" t="s">
        <v>24</v>
      </c>
      <c r="D7" s="21" t="s">
        <v>25</v>
      </c>
      <c r="E7" s="3" t="s">
        <v>26</v>
      </c>
      <c r="F7" s="3" t="s">
        <v>27</v>
      </c>
      <c r="G7" s="3" t="s">
        <v>28</v>
      </c>
      <c r="H7" s="3" t="s">
        <v>29</v>
      </c>
      <c r="I7" s="3" t="s">
        <v>30</v>
      </c>
      <c r="J7" s="3" t="s">
        <v>31</v>
      </c>
      <c r="K7" s="3" t="s">
        <v>32</v>
      </c>
      <c r="L7" s="3" t="s">
        <v>33</v>
      </c>
      <c r="M7" s="3" t="s">
        <v>12</v>
      </c>
      <c r="N7" s="3" t="s">
        <v>34</v>
      </c>
      <c r="O7" s="3" t="s">
        <v>35</v>
      </c>
      <c r="P7" s="3" t="s">
        <v>36</v>
      </c>
      <c r="Q7" s="3" t="s">
        <v>15</v>
      </c>
      <c r="R7" s="7"/>
      <c r="S7" s="18"/>
      <c r="T7" s="15"/>
      <c r="U7" s="3" t="s">
        <v>37</v>
      </c>
      <c r="V7" s="3" t="s">
        <v>38</v>
      </c>
      <c r="W7" s="3" t="s">
        <v>39</v>
      </c>
      <c r="X7" s="3" t="s">
        <v>40</v>
      </c>
      <c r="Y7" s="3" t="s">
        <v>41</v>
      </c>
      <c r="AA7" s="3" t="s">
        <v>42</v>
      </c>
      <c r="AB7" s="3" t="s">
        <v>43</v>
      </c>
      <c r="AC7" s="3" t="s">
        <v>44</v>
      </c>
      <c r="AD7" s="3" t="s">
        <v>45</v>
      </c>
      <c r="AE7" s="3" t="s">
        <v>46</v>
      </c>
      <c r="AF7" s="3" t="s">
        <v>47</v>
      </c>
      <c r="AG7" s="3" t="s">
        <v>48</v>
      </c>
      <c r="AH7" s="3" t="s">
        <v>49</v>
      </c>
      <c r="AI7" s="3" t="s">
        <v>50</v>
      </c>
      <c r="AJ7" s="18"/>
      <c r="AK7" s="6" t="s">
        <v>51</v>
      </c>
      <c r="AL7" s="5"/>
      <c r="AM7" s="22" t="s">
        <v>52</v>
      </c>
      <c r="AN7" s="19"/>
    </row>
    <row r="8" customFormat="false" ht="14.25" hidden="false" customHeight="false" outlineLevel="0" collapsed="false">
      <c r="C8" s="8" t="n">
        <v>1</v>
      </c>
      <c r="E8" s="8" t="n">
        <v>0.125</v>
      </c>
      <c r="F8" s="8" t="n">
        <v>4</v>
      </c>
      <c r="G8" s="8" t="n">
        <v>0</v>
      </c>
      <c r="H8" s="14" t="n">
        <v>11.8</v>
      </c>
      <c r="I8" s="14" t="n">
        <v>4.5</v>
      </c>
      <c r="J8" s="14" t="n">
        <v>5.84</v>
      </c>
      <c r="K8" s="0" t="n">
        <f aca="false">(H8+I8)*J8</f>
        <v>95.192</v>
      </c>
      <c r="L8" s="0" t="n">
        <f aca="false">K8/144</f>
        <v>0.661055555555556</v>
      </c>
      <c r="M8" s="0" t="n">
        <f aca="false">J8/12</f>
        <v>0.486666666666667</v>
      </c>
      <c r="N8" s="0" t="n">
        <f aca="false">(H8+I8)/24</f>
        <v>0.679166666666667</v>
      </c>
      <c r="O8" s="0" t="n">
        <f aca="false">E4*N8*P4</f>
        <v>4559125.94555168</v>
      </c>
      <c r="P8" s="14" t="n">
        <v>25000</v>
      </c>
      <c r="Q8" s="9" t="n">
        <f aca="false">P8/(E4*P4)</f>
        <v>0.00372421531439226</v>
      </c>
      <c r="R8" s="23"/>
      <c r="S8" s="9"/>
      <c r="T8" s="23"/>
      <c r="U8" s="24" t="n">
        <f aca="false">IF(Q8&gt;N8,1.328/SQRT(O8),1.328/SQRT(P8)+0.427*(1+0.15*P4^2)^-0.58/(LOG(O8)-0.407)^2.64-0.427*(Q8/N8)*(1+0.15*P4^2)^-0.58/(LOG(P8)-0.407)^2.64)</f>
        <v>0.0115051163986647</v>
      </c>
      <c r="V8" s="13" t="n">
        <f aca="false">F8*L8*U8*(1-0.09*P4^2)/O4</f>
        <v>0.137167561211231</v>
      </c>
      <c r="W8" s="13" t="n">
        <f aca="false">IF(C8=1,W4+V8,W4+V8+V12)</f>
        <v>0.297490351210774</v>
      </c>
      <c r="X8" s="25" t="n">
        <v>0</v>
      </c>
      <c r="Y8" s="26" t="n">
        <f aca="false">F12*(PI()/360)*J8*ABS(X8)*(H8+I8)*COS(ATAN((H8-I8)/J8))</f>
        <v>0</v>
      </c>
      <c r="AA8" s="14" t="b">
        <f aca="false">TRUE()</f>
        <v>1</v>
      </c>
      <c r="AB8" s="14" t="b">
        <f aca="false">TRUE()</f>
        <v>1</v>
      </c>
      <c r="AC8" s="9" t="n">
        <f aca="false">IF(AND((X8&lt;&gt;0),(AB8=FALSE())),TRUE(),AB8)</f>
        <v>1</v>
      </c>
      <c r="AD8" s="13" t="n">
        <f aca="false">IF(AC8=TRUE(),0.135*F8*(E8*J8+Y8)/(144*O4*U8^(1/3)),0)</f>
        <v>0.0589738739706747</v>
      </c>
      <c r="AE8" s="27" t="n">
        <f aca="false">ATAN((H8-I8)/J8)</f>
        <v>0.896055384571344</v>
      </c>
      <c r="AF8" s="28" t="e">
        <f aca="false">CPT(gamma,M*COS(AE8))</f>
        <v>#VALUE!</v>
      </c>
      <c r="AG8" s="29" t="e">
        <f aca="false">IF(AND(AA8,AB8),2*F8*E8*J8*AF8*(COS(AE8))^2/(3*144*O4),IF((P4*COS(AE8)&gt;1),2*F8*E8*J8*AF8*(COS(AE8))^2/(3*144*O4),0))</f>
        <v>#VALUE!</v>
      </c>
      <c r="AH8" s="25" t="n">
        <v>0</v>
      </c>
      <c r="AI8" s="13" t="e">
        <f aca="false">IF(C8=1,AH4+AG8+AH8,AH4+AG8+AG12+AH8+AH12)+R21</f>
        <v>#VALUE!</v>
      </c>
      <c r="AJ8" s="30"/>
      <c r="AK8" s="16" t="e">
        <f aca="false">W8+AD16+AI8+2*L16+R21</f>
        <v>#VALUE!</v>
      </c>
      <c r="AL8" s="31"/>
      <c r="AM8" s="32"/>
    </row>
    <row r="9" customFormat="false" ht="13.5" hidden="false" customHeight="false" outlineLevel="0" collapsed="false">
      <c r="AG9" s="33"/>
      <c r="AH9" s="33"/>
      <c r="AI9" s="34"/>
      <c r="AJ9" s="34"/>
      <c r="AK9" s="34"/>
      <c r="AL9" s="23"/>
    </row>
    <row r="10" customFormat="false" ht="12.75" hidden="false" customHeight="false" outlineLevel="0" collapsed="false">
      <c r="T10" s="18"/>
      <c r="AF10" s="35"/>
      <c r="AG10" s="36"/>
      <c r="AH10" s="37"/>
    </row>
    <row r="11" customFormat="false" ht="51.75" hidden="false" customHeight="true" outlineLevel="0" collapsed="false">
      <c r="B11" s="2" t="s">
        <v>53</v>
      </c>
      <c r="E11" s="3" t="s">
        <v>26</v>
      </c>
      <c r="F11" s="3" t="s">
        <v>27</v>
      </c>
      <c r="G11" s="3" t="s">
        <v>28</v>
      </c>
      <c r="H11" s="3" t="s">
        <v>29</v>
      </c>
      <c r="I11" s="3" t="s">
        <v>30</v>
      </c>
      <c r="J11" s="3" t="s">
        <v>31</v>
      </c>
      <c r="K11" s="3" t="s">
        <v>32</v>
      </c>
      <c r="L11" s="3" t="s">
        <v>33</v>
      </c>
      <c r="M11" s="3" t="s">
        <v>12</v>
      </c>
      <c r="N11" s="3" t="s">
        <v>54</v>
      </c>
      <c r="O11" s="3" t="s">
        <v>55</v>
      </c>
      <c r="P11" s="3" t="s">
        <v>36</v>
      </c>
      <c r="Q11" s="3" t="s">
        <v>56</v>
      </c>
      <c r="R11" s="7"/>
      <c r="S11" s="38"/>
      <c r="T11" s="37"/>
      <c r="U11" s="3" t="s">
        <v>37</v>
      </c>
      <c r="V11" s="3" t="s">
        <v>38</v>
      </c>
      <c r="W11" s="5"/>
      <c r="X11" s="3" t="s">
        <v>40</v>
      </c>
      <c r="Y11" s="3" t="s">
        <v>41</v>
      </c>
      <c r="AA11" s="3" t="s">
        <v>42</v>
      </c>
      <c r="AB11" s="3" t="s">
        <v>43</v>
      </c>
      <c r="AC11" s="3" t="s">
        <v>44</v>
      </c>
      <c r="AD11" s="3" t="s">
        <v>45</v>
      </c>
      <c r="AE11" s="3" t="s">
        <v>46</v>
      </c>
      <c r="AF11" s="3" t="s">
        <v>47</v>
      </c>
      <c r="AG11" s="3" t="s">
        <v>48</v>
      </c>
      <c r="AH11" s="3" t="s">
        <v>57</v>
      </c>
    </row>
    <row r="12" customFormat="false" ht="12.75" hidden="false" customHeight="false" outlineLevel="0" collapsed="false">
      <c r="E12" s="8" t="n">
        <v>0.125</v>
      </c>
      <c r="F12" s="8" t="n">
        <v>4</v>
      </c>
      <c r="G12" s="8"/>
      <c r="H12" s="14" t="n">
        <v>10</v>
      </c>
      <c r="I12" s="14" t="n">
        <v>4</v>
      </c>
      <c r="J12" s="14" t="n">
        <v>7</v>
      </c>
      <c r="K12" s="0" t="n">
        <f aca="false">(H12+I12)*J12/2</f>
        <v>49</v>
      </c>
      <c r="L12" s="0" t="n">
        <f aca="false">K12/144</f>
        <v>0.340277777777778</v>
      </c>
      <c r="M12" s="0" t="n">
        <f aca="false">J12/12</f>
        <v>0.583333333333333</v>
      </c>
      <c r="N12" s="0" t="n">
        <f aca="false">(H12+I12)/24</f>
        <v>0.583333333333333</v>
      </c>
      <c r="O12" s="0" t="n">
        <f aca="false">E4*N12*P4</f>
        <v>3915813.69556586</v>
      </c>
      <c r="P12" s="14" t="n">
        <v>25000</v>
      </c>
      <c r="Q12" s="0" t="n">
        <f aca="false">P12/(E4*P4)</f>
        <v>0.00372421531439226</v>
      </c>
      <c r="T12" s="18"/>
      <c r="U12" s="0" t="n">
        <f aca="false">IF(Q12&gt;N12,1.328/SQRT(O12),1.328/SQRT(P12)+0.427*(1+0.15*P4^2)^-0.58/(LOG(O12)-0.407)^2.64-0.427*(Q12/N12)*(1+0.15*P4^2)^-0.58/(LOG(P12)-0.407)^2.64)</f>
        <v>0.0115857500226963</v>
      </c>
      <c r="V12" s="13" t="n">
        <f aca="false">F12*L12*U12*(1-0.09*P4^2)/O4</f>
        <v>0.0711017324180283</v>
      </c>
      <c r="W12" s="31"/>
      <c r="X12" s="39" t="n">
        <v>10</v>
      </c>
      <c r="Y12" s="10" t="n">
        <f aca="false">F12*(PI()/360)*J12*ABS(X12)*(H12+I12)*COS(ATAN((H12-I12)/J12))</f>
        <v>25.9729940544084</v>
      </c>
      <c r="AA12" s="14" t="b">
        <f aca="false">FALSE()</f>
        <v>0</v>
      </c>
      <c r="AB12" s="14" t="b">
        <f aca="false">FALSE()</f>
        <v>0</v>
      </c>
      <c r="AC12" s="9" t="n">
        <f aca="false">IF(AND((X12&lt;&gt;0),(AB12=FALSE())),TRUE(),AB12)</f>
        <v>1</v>
      </c>
      <c r="AD12" s="13" t="n">
        <f aca="false">IF(AC12=TRUE(),0.135*F12*(E12*J12+Y12)/(144*O4*U12^(1/3)),0)</f>
        <v>2.16390203106607</v>
      </c>
      <c r="AE12" s="18" t="n">
        <f aca="false">ATAN((H12-I12)/J12)</f>
        <v>0.70862627212767</v>
      </c>
      <c r="AF12" s="0" t="e">
        <f aca="false">CPT(gamma,M*COS(AE12))</f>
        <v>#VALUE!</v>
      </c>
      <c r="AG12" s="13" t="n">
        <f aca="false">IF(AND(AA12,AB12),2*F12*E12*J12*AF12*(COS(AE12))^2/(3*144*O4),IF((P4*COS(AE12)&gt;1),2*F12*E12*J12*AF12*(COS(AE12))^2/(3*144*O4),0))</f>
        <v>0</v>
      </c>
      <c r="AH12" s="14" t="n">
        <v>0</v>
      </c>
      <c r="AL12" s="40"/>
      <c r="AM12" s="18"/>
    </row>
    <row r="13" customFormat="false" ht="12.75" hidden="false" customHeight="false" outlineLevel="0" collapsed="false">
      <c r="AE13" s="18"/>
      <c r="AF13" s="18"/>
      <c r="AG13" s="34"/>
      <c r="AH13" s="34"/>
      <c r="AL13" s="40"/>
    </row>
    <row r="14" customFormat="false" ht="12.75" hidden="false" customHeight="false" outlineLevel="0" collapsed="false">
      <c r="AE14" s="18"/>
      <c r="AF14" s="18"/>
      <c r="AG14" s="34"/>
      <c r="AH14" s="34"/>
      <c r="AL14" s="40"/>
    </row>
    <row r="15" customFormat="false" ht="38.25" hidden="false" customHeight="true" outlineLevel="0" collapsed="false">
      <c r="G15" s="2" t="s">
        <v>58</v>
      </c>
      <c r="I15" s="3" t="s">
        <v>59</v>
      </c>
      <c r="J15" s="3" t="s">
        <v>60</v>
      </c>
      <c r="K15" s="3" t="s">
        <v>61</v>
      </c>
      <c r="L15" s="3" t="s">
        <v>62</v>
      </c>
      <c r="N15" s="2" t="s">
        <v>63</v>
      </c>
      <c r="O15" s="3" t="s">
        <v>64</v>
      </c>
      <c r="P15" s="3" t="s">
        <v>65</v>
      </c>
      <c r="Q15" s="3" t="s">
        <v>66</v>
      </c>
      <c r="R15" s="3" t="s">
        <v>67</v>
      </c>
      <c r="S15" s="7"/>
      <c r="T15" s="5"/>
      <c r="U15" s="41" t="s">
        <v>68</v>
      </c>
      <c r="V15" s="3" t="s">
        <v>69</v>
      </c>
      <c r="AD15" s="3" t="s">
        <v>70</v>
      </c>
      <c r="AE15" s="18"/>
      <c r="AF15" s="18"/>
      <c r="AG15" s="30"/>
      <c r="AH15" s="34"/>
      <c r="AK15" s="42" t="s">
        <v>71</v>
      </c>
      <c r="AL15" s="43"/>
      <c r="AM15" s="44"/>
    </row>
    <row r="16" customFormat="false" ht="12.75" hidden="false" customHeight="false" outlineLevel="0" collapsed="false">
      <c r="I16" s="14" t="n">
        <v>1.4</v>
      </c>
      <c r="J16" s="0" t="e">
        <f aca="false">CPT(gamma,M)</f>
        <v>#VALUE!</v>
      </c>
      <c r="K16" s="14" t="n">
        <v>0.36</v>
      </c>
      <c r="L16" s="13" t="e">
        <f aca="false">0.8*K16*J16/(144*O4)</f>
        <v>#VALUE!</v>
      </c>
      <c r="O16" s="14" t="n">
        <v>0.4</v>
      </c>
      <c r="P16" s="0" t="n">
        <f aca="false">PI()*O16^2/(4*144)</f>
        <v>0.000872664625997165</v>
      </c>
      <c r="Q16" s="13" t="n">
        <f aca="false">0.029/SQRT(U4*K4/O4)</f>
        <v>0.0697370637167918</v>
      </c>
      <c r="R16" s="13" t="n">
        <f aca="false">Q16+0.055</f>
        <v>0.124737063716792</v>
      </c>
      <c r="S16" s="10"/>
      <c r="T16" s="10"/>
      <c r="U16" s="45" t="n">
        <f aca="false">SQRT(1.3/(I16*R16))</f>
        <v>2.72841167981142</v>
      </c>
      <c r="V16" s="13" t="n">
        <f aca="false">IF(P4&lt;1,Q16,IF(P4&lt;U16,R16,1.3/(I16*P4^2)))*(PI()*M4^2/(4*O4))</f>
        <v>0.0697370637167918</v>
      </c>
      <c r="AD16" s="13" t="n">
        <f aca="false">IF(C8=1,V16+AD8,V16+AD8+AD12)</f>
        <v>0.128710937687466</v>
      </c>
      <c r="AE16" s="18"/>
      <c r="AF16" s="18"/>
      <c r="AG16" s="30"/>
      <c r="AH16" s="30"/>
      <c r="AI16" s="31"/>
      <c r="AK16" s="46" t="e">
        <f aca="false">AK8-AK4</f>
        <v>#VALUE!</v>
      </c>
    </row>
    <row r="17" customFormat="false" ht="12.75" hidden="false" customHeight="false" outlineLevel="0" collapsed="false">
      <c r="AE17" s="18"/>
      <c r="AF17" s="18"/>
      <c r="AG17" s="34"/>
      <c r="AH17" s="34"/>
    </row>
    <row r="18" customFormat="false" ht="12.75" hidden="false" customHeight="false" outlineLevel="0" collapsed="false">
      <c r="AE18" s="18"/>
      <c r="AF18" s="18"/>
      <c r="AG18" s="34"/>
      <c r="AH18" s="34"/>
    </row>
    <row r="19" customFormat="false" ht="37.5" hidden="false" customHeight="true" outlineLevel="0" collapsed="false">
      <c r="V19" s="47" t="s">
        <v>72</v>
      </c>
      <c r="AD19" s="48" t="s">
        <v>73</v>
      </c>
      <c r="AE19" s="18"/>
      <c r="AF19" s="18"/>
      <c r="AG19" s="19"/>
      <c r="AH19" s="19"/>
      <c r="AI19" s="49"/>
    </row>
    <row r="20" customFormat="false" ht="51" hidden="false" customHeight="true" outlineLevel="0" collapsed="false">
      <c r="G20" s="3" t="s">
        <v>74</v>
      </c>
      <c r="H20" s="3" t="s">
        <v>75</v>
      </c>
      <c r="I20" s="3" t="s">
        <v>76</v>
      </c>
      <c r="J20" s="3" t="s">
        <v>77</v>
      </c>
      <c r="L20" s="21" t="s">
        <v>78</v>
      </c>
      <c r="N20" s="2" t="s">
        <v>79</v>
      </c>
      <c r="O20" s="3" t="s">
        <v>80</v>
      </c>
      <c r="P20" s="3" t="s">
        <v>81</v>
      </c>
      <c r="Q20" s="3" t="s">
        <v>82</v>
      </c>
      <c r="R20" s="3" t="s">
        <v>83</v>
      </c>
      <c r="V20" s="13" t="n">
        <f aca="false">(1-P16/O4)*V16</f>
        <v>0.0694410942583708</v>
      </c>
      <c r="AD20" s="13" t="n">
        <f aca="false">IF(C8=1,V20+AD8,V20+AD8+AD12)</f>
        <v>0.128414968229045</v>
      </c>
      <c r="AE20" s="18"/>
      <c r="AF20" s="18"/>
      <c r="AG20" s="19"/>
      <c r="AH20" s="19"/>
      <c r="AI20" s="17"/>
    </row>
    <row r="21" customFormat="false" ht="12.75" hidden="false" customHeight="false" outlineLevel="0" collapsed="false">
      <c r="G21" s="14" t="b">
        <f aca="false">TRUE()</f>
        <v>1</v>
      </c>
      <c r="H21" s="14" t="n">
        <v>0</v>
      </c>
      <c r="I21" s="14" t="n">
        <v>0</v>
      </c>
      <c r="J21" s="14" t="n">
        <v>0</v>
      </c>
      <c r="O21" s="14" t="n">
        <v>1.5</v>
      </c>
      <c r="P21" s="0" t="n">
        <f aca="false">IF(P4&gt;1,PI()*O21^2*J16/(4*144*O4),PI()*O21^2*0.85*(1+0.25*(P4^2)+P4^4)/(4*144*O4))</f>
        <v>0.0942867430954175</v>
      </c>
      <c r="Q21" s="14" t="b">
        <f aca="false">TRUE()</f>
        <v>1</v>
      </c>
      <c r="R21" s="13" t="n">
        <f aca="false">IF(Q21=TRUE(),P21,0)</f>
        <v>0.0942867430954175</v>
      </c>
      <c r="AE21" s="18"/>
      <c r="AF21" s="18"/>
      <c r="AG21" s="34"/>
      <c r="AH21" s="34"/>
    </row>
    <row r="22" customFormat="false" ht="13.5" hidden="false" customHeight="true" outlineLevel="0" collapsed="false">
      <c r="H22" s="14" t="n">
        <v>36</v>
      </c>
      <c r="I22" s="14" t="n">
        <v>3.07</v>
      </c>
      <c r="J22" s="14" t="n">
        <f aca="false">IF(G21=TRUE(),PI()*((H22^2+I22^2)/I22)*((I22^2-H22^2)*ASIN(2*I22*H22/(H22^2+I22^2))/(2*I22)+H22),PI()*I22*(I22+SQRT(I22^2+H22^2)))</f>
        <v>464.961612804496</v>
      </c>
      <c r="AE22" s="18"/>
      <c r="AF22" s="18"/>
      <c r="AG22" s="19"/>
      <c r="AH22" s="19"/>
      <c r="AI22" s="7"/>
      <c r="AK22" s="7"/>
      <c r="AL22" s="7"/>
      <c r="AM22" s="7"/>
    </row>
    <row r="23" customFormat="false" ht="12.75" hidden="false" customHeight="false" outlineLevel="0" collapsed="false">
      <c r="H23" s="14" t="n">
        <v>148</v>
      </c>
      <c r="I23" s="14" t="n">
        <v>3.07</v>
      </c>
      <c r="J23" s="39" t="n">
        <f aca="false">2*PI()*I22*(H23-H22)+J22</f>
        <v>2625.37204882512</v>
      </c>
    </row>
    <row r="24" customFormat="false" ht="12.75" hidden="false" customHeight="false" outlineLevel="0" collapsed="false">
      <c r="H24" s="14"/>
      <c r="I24" s="14"/>
      <c r="J24" s="14"/>
    </row>
    <row r="25" customFormat="false" ht="12.75" hidden="false" customHeight="false" outlineLevel="0" collapsed="false">
      <c r="H25" s="14"/>
      <c r="I25" s="14"/>
      <c r="J25" s="14"/>
    </row>
    <row r="26" customFormat="false" ht="12.75" hidden="false" customHeight="false" outlineLevel="0" collapsed="false">
      <c r="H26" s="14"/>
      <c r="I26" s="14"/>
      <c r="J26" s="14"/>
    </row>
    <row r="27" customFormat="false" ht="12.75" hidden="false" customHeight="false" outlineLevel="0" collapsed="false">
      <c r="H27" s="23" t="s">
        <v>84</v>
      </c>
      <c r="I27" s="23" t="s">
        <v>84</v>
      </c>
      <c r="J27" s="23" t="s">
        <v>84</v>
      </c>
      <c r="AK27" s="50"/>
      <c r="AL27" s="50"/>
    </row>
    <row r="28" customFormat="false" ht="12.75" hidden="false" customHeight="false" outlineLevel="0" collapsed="false">
      <c r="H28" s="23" t="s">
        <v>84</v>
      </c>
      <c r="I28" s="23" t="s">
        <v>84</v>
      </c>
      <c r="J28" s="23" t="s">
        <v>84</v>
      </c>
    </row>
    <row r="29" customFormat="false" ht="12.75" hidden="false" customHeight="false" outlineLevel="0" collapsed="false">
      <c r="H29" s="23" t="s">
        <v>84</v>
      </c>
      <c r="I29" s="23" t="s">
        <v>84</v>
      </c>
      <c r="J29" s="23" t="s">
        <v>84</v>
      </c>
    </row>
    <row r="30" customFormat="false" ht="12.75" hidden="false" customHeight="false" outlineLevel="0" collapsed="false">
      <c r="H30" s="23" t="s">
        <v>84</v>
      </c>
      <c r="I30" s="23" t="s">
        <v>84</v>
      </c>
    </row>
    <row r="31" customFormat="false" ht="54" hidden="false" customHeight="false" outlineLevel="0" collapsed="false">
      <c r="B31" s="3" t="s">
        <v>85</v>
      </c>
      <c r="C31" s="3" t="s">
        <v>14</v>
      </c>
      <c r="D31" s="3" t="s">
        <v>86</v>
      </c>
      <c r="E31" s="3" t="s">
        <v>87</v>
      </c>
      <c r="G31" s="4" t="s">
        <v>88</v>
      </c>
      <c r="H31" s="4" t="s">
        <v>89</v>
      </c>
      <c r="I31" s="4" t="s">
        <v>90</v>
      </c>
    </row>
    <row r="32" customFormat="false" ht="12.75" hidden="false" customHeight="false" outlineLevel="0" collapsed="false">
      <c r="B32" s="8" t="n">
        <v>5</v>
      </c>
      <c r="C32" s="10" t="n">
        <v>0.05</v>
      </c>
      <c r="D32" s="0" t="n">
        <v>0.68077</v>
      </c>
      <c r="E32" s="0" t="n">
        <v>0.681</v>
      </c>
      <c r="G32" s="0" t="n">
        <f aca="false">C32</f>
        <v>0.05</v>
      </c>
      <c r="H32" s="0" t="n">
        <f aca="false">(1+$B$32/100)*D32</f>
        <v>0.7148085</v>
      </c>
      <c r="I32" s="0" t="n">
        <f aca="false">(1+$B$32/100)*E32</f>
        <v>0.71505</v>
      </c>
    </row>
    <row r="33" customFormat="false" ht="12.75" hidden="false" customHeight="false" outlineLevel="0" collapsed="false">
      <c r="C33" s="0" t="n">
        <v>0.1</v>
      </c>
      <c r="D33" s="0" t="n">
        <v>0.64619</v>
      </c>
      <c r="E33" s="0" t="n">
        <v>0.64643</v>
      </c>
      <c r="G33" s="0" t="n">
        <f aca="false">C33</f>
        <v>0.1</v>
      </c>
      <c r="H33" s="0" t="n">
        <f aca="false">(1+$B$32/100)*D33</f>
        <v>0.6784995</v>
      </c>
      <c r="I33" s="0" t="n">
        <f aca="false">(1+$B$32/100)*E33</f>
        <v>0.6787515</v>
      </c>
    </row>
    <row r="34" customFormat="false" ht="12.75" hidden="false" customHeight="false" outlineLevel="0" collapsed="false">
      <c r="C34" s="0" t="n">
        <v>0.15</v>
      </c>
      <c r="D34" s="0" t="n">
        <v>0.6272</v>
      </c>
      <c r="E34" s="0" t="n">
        <v>0.62744</v>
      </c>
      <c r="G34" s="0" t="n">
        <f aca="false">C34</f>
        <v>0.15</v>
      </c>
      <c r="H34" s="0" t="n">
        <f aca="false">(1+$B$32/100)*D34</f>
        <v>0.65856</v>
      </c>
      <c r="I34" s="0" t="n">
        <f aca="false">(1+$B$32/100)*E34</f>
        <v>0.658812</v>
      </c>
    </row>
    <row r="35" customFormat="false" ht="12.75" hidden="false" customHeight="false" outlineLevel="0" collapsed="false">
      <c r="C35" s="0" t="n">
        <v>0.2</v>
      </c>
      <c r="D35" s="0" t="n">
        <v>0.61429</v>
      </c>
      <c r="E35" s="0" t="n">
        <v>0.61454</v>
      </c>
      <c r="G35" s="0" t="n">
        <f aca="false">C35</f>
        <v>0.2</v>
      </c>
      <c r="H35" s="0" t="n">
        <f aca="false">(1+$B$32/100)*D35</f>
        <v>0.6450045</v>
      </c>
      <c r="I35" s="0" t="n">
        <f aca="false">(1+$B$32/100)*E35</f>
        <v>0.645267</v>
      </c>
    </row>
    <row r="36" customFormat="false" ht="12.75" hidden="false" customHeight="false" outlineLevel="0" collapsed="false">
      <c r="C36" s="0" t="n">
        <v>0.3</v>
      </c>
      <c r="D36" s="0" t="n">
        <v>0.59664</v>
      </c>
      <c r="E36" s="0" t="n">
        <v>0.59691</v>
      </c>
      <c r="G36" s="0" t="n">
        <f aca="false">C36</f>
        <v>0.3</v>
      </c>
      <c r="H36" s="0" t="n">
        <f aca="false">(1+$B$32/100)*D36</f>
        <v>0.626472</v>
      </c>
      <c r="I36" s="0" t="n">
        <f aca="false">(1+$B$32/100)*E36</f>
        <v>0.6267555</v>
      </c>
    </row>
    <row r="37" customFormat="false" ht="12.75" hidden="false" customHeight="false" outlineLevel="0" collapsed="false">
      <c r="C37" s="0" t="n">
        <v>0.4</v>
      </c>
      <c r="D37" s="0" t="n">
        <v>0.58416</v>
      </c>
      <c r="E37" s="0" t="n">
        <v>0.58443</v>
      </c>
      <c r="G37" s="0" t="n">
        <f aca="false">C37</f>
        <v>0.4</v>
      </c>
      <c r="H37" s="0" t="n">
        <f aca="false">(1+$B$32/100)*D37</f>
        <v>0.613368</v>
      </c>
      <c r="I37" s="0" t="n">
        <f aca="false">(1+$B$32/100)*E37</f>
        <v>0.6136515</v>
      </c>
    </row>
    <row r="38" customFormat="false" ht="12.75" hidden="false" customHeight="false" outlineLevel="0" collapsed="false">
      <c r="C38" s="0" t="n">
        <v>0.5</v>
      </c>
      <c r="D38" s="0" t="n">
        <v>0.57421</v>
      </c>
      <c r="E38" s="0" t="n">
        <v>0.57449</v>
      </c>
      <c r="G38" s="0" t="n">
        <f aca="false">C38</f>
        <v>0.5</v>
      </c>
      <c r="H38" s="0" t="n">
        <f aca="false">(1+$B$32/100)*D38</f>
        <v>0.6029205</v>
      </c>
      <c r="I38" s="0" t="n">
        <f aca="false">(1+$B$32/100)*E38</f>
        <v>0.6032145</v>
      </c>
    </row>
    <row r="39" customFormat="false" ht="12.75" hidden="false" customHeight="false" outlineLevel="0" collapsed="false">
      <c r="C39" s="0" t="n">
        <v>0.6</v>
      </c>
      <c r="D39" s="0" t="n">
        <v>0.56572</v>
      </c>
      <c r="E39" s="0" t="n">
        <v>0.56601</v>
      </c>
      <c r="G39" s="0" t="n">
        <f aca="false">C39</f>
        <v>0.6</v>
      </c>
      <c r="H39" s="0" t="n">
        <f aca="false">(1+$B$32/100)*D39</f>
        <v>0.594006</v>
      </c>
      <c r="I39" s="0" t="n">
        <f aca="false">(1+$B$32/100)*E39</f>
        <v>0.5943105</v>
      </c>
    </row>
    <row r="40" customFormat="false" ht="12.75" hidden="false" customHeight="false" outlineLevel="0" collapsed="false">
      <c r="C40" s="0" t="n">
        <v>0.7</v>
      </c>
      <c r="D40" s="0" t="n">
        <v>0.55818</v>
      </c>
      <c r="E40" s="0" t="n">
        <v>0.55847</v>
      </c>
      <c r="G40" s="0" t="n">
        <f aca="false">C40</f>
        <v>0.7</v>
      </c>
      <c r="H40" s="0" t="n">
        <f aca="false">(1+$B$32/100)*D40</f>
        <v>0.586089</v>
      </c>
      <c r="I40" s="0" t="n">
        <f aca="false">(1+$B$32/100)*E40</f>
        <v>0.5863935</v>
      </c>
    </row>
    <row r="41" customFormat="false" ht="12.75" hidden="false" customHeight="false" outlineLevel="0" collapsed="false">
      <c r="C41" s="0" t="n">
        <v>0.8</v>
      </c>
      <c r="D41" s="0" t="n">
        <v>0.55132</v>
      </c>
      <c r="E41" s="0" t="n">
        <v>0.55161</v>
      </c>
      <c r="G41" s="0" t="n">
        <f aca="false">C41</f>
        <v>0.8</v>
      </c>
      <c r="H41" s="0" t="n">
        <f aca="false">(1+$B$32/100)*D41</f>
        <v>0.578886</v>
      </c>
      <c r="I41" s="0" t="n">
        <f aca="false">(1+$B$32/100)*E41</f>
        <v>0.5791905</v>
      </c>
    </row>
    <row r="42" customFormat="false" ht="12.75" hidden="false" customHeight="false" outlineLevel="0" collapsed="false">
      <c r="C42" s="0" t="n">
        <v>0.9</v>
      </c>
      <c r="D42" s="0" t="n">
        <v>0.54499</v>
      </c>
      <c r="E42" s="0" t="n">
        <v>0.54529</v>
      </c>
      <c r="G42" s="0" t="n">
        <f aca="false">C42</f>
        <v>0.9</v>
      </c>
      <c r="H42" s="0" t="n">
        <f aca="false">(1+$B$32/100)*D42</f>
        <v>0.5722395</v>
      </c>
      <c r="I42" s="0" t="n">
        <f aca="false">(1+$B$32/100)*E42</f>
        <v>0.5725545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false"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false"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2011-05-11T19:15:20Z</dcterms:created>
  <dc:creator>Owner</dc:creator>
  <dc:description/>
  <dc:language>en-US</dc:language>
  <cp:lastModifiedBy>Charles</cp:lastModifiedBy>
  <dcterms:modified xsi:type="dcterms:W3CDTF">2016-04-24T18:24:51Z</dcterms:modified>
  <cp:revision>0</cp:revision>
  <dc:subject/>
  <dc:title/>
</cp:coreProperties>
</file>