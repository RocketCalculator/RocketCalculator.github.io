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<sst xmlns="http://schemas.openxmlformats.org/spreadsheetml/2006/main" count="11" uniqueCount="11">
  <si>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R, Base Radius, in</t>
  </si>
  <si>
    <t xml:space="preserve">L, Overall Length, in</t>
  </si>
  <si>
    <t xml:space="preserve">Defining Circle Radius, in, a </t>
  </si>
  <si>
    <t xml:space="preserve">dx, Length Increment, in</t>
  </si>
  <si>
    <t xml:space="preserve">x</t>
  </si>
  <si>
    <t xml:space="preserve">y</t>
  </si>
  <si>
    <t xml:space="preserve">Body Station, in</t>
  </si>
  <si>
    <t xml:space="preserve">Ogive Radius, in</t>
  </si>
  <si>
    <r>
      <rPr>
        <sz val="10"/>
        <rFont val="Arial"/>
        <family val="0"/>
      </rPr>
      <t xml:space="preserve">Wetted area, in</t>
    </r>
    <r>
      <rPr>
        <vertAlign val="superscript"/>
        <sz val="10"/>
        <rFont val="Arial"/>
        <family val="2"/>
      </rPr>
      <t xml:space="preserve">2</t>
    </r>
    <r>
      <rPr>
        <sz val="10"/>
        <rFont val="Arial"/>
        <family val="0"/>
      </rPr>
      <t xml:space="preserve">, Swet</t>
    </r>
  </si>
  <si>
    <r>
      <rPr>
        <sz val="10"/>
        <rFont val="Arial"/>
        <family val="0"/>
      </rPr>
      <t xml:space="preserve">Volume Moment About the Base, in</t>
    </r>
    <r>
      <rPr>
        <vertAlign val="superscript"/>
        <sz val="10"/>
        <rFont val="Arial"/>
        <family val="2"/>
      </rPr>
      <t xml:space="preserve">3</t>
    </r>
    <r>
      <rPr>
        <sz val="10"/>
        <rFont val="Arial"/>
        <family val="0"/>
      </rPr>
      <t xml:space="preserve">, M</t>
    </r>
  </si>
  <si>
    <t xml:space="preserve">Volume Centoid, in from Base,Xbar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</si>
</sst>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</font>
    <font>
      <b val="true"/>
      <sz val="14"/>
      <color rgb="FF000000"/>
      <name val="Arial"/>
      <family val="2"/>
    </font>
    <font>
      <b val="true"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Arial"/>
              </a:rPr>
              <a:t>Ogive Nose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Sheet1!$H$5:$H$17</c:f>
              <c:numCache>
                <c:formatCode>General</c:formatCode>
                <c:ptCount val="13"/>
                <c:pt idx="0">
                  <c:v>30</c:v>
                </c:pt>
                <c:pt idx="1">
                  <c:v>27.5</c:v>
                </c:pt>
                <c:pt idx="2">
                  <c:v>25</c:v>
                </c:pt>
                <c:pt idx="3">
                  <c:v>22.5</c:v>
                </c:pt>
                <c:pt idx="4">
                  <c:v>20</c:v>
                </c:pt>
                <c:pt idx="5">
                  <c:v>17.5</c:v>
                </c:pt>
                <c:pt idx="6">
                  <c:v>15</c:v>
                </c:pt>
                <c:pt idx="7">
                  <c:v>12.5</c:v>
                </c:pt>
                <c:pt idx="8">
                  <c:v>10</c:v>
                </c:pt>
                <c:pt idx="9">
                  <c:v>7.5</c:v>
                </c:pt>
                <c:pt idx="10">
                  <c:v>5</c:v>
                </c:pt>
                <c:pt idx="11">
                  <c:v>2.5</c:v>
                </c:pt>
                <c:pt idx="12">
                  <c:v>0</c:v>
                </c:pt>
              </c:numCache>
            </c:numRef>
          </c:xVal>
          <c:yVal>
            <c:numRef>
              <c:f>Sheet1!$I$5:$I$17</c:f>
              <c:numCache>
                <c:formatCode>General</c:formatCode>
                <c:ptCount val="13"/>
                <c:pt idx="0">
                  <c:v>3</c:v>
                </c:pt>
                <c:pt idx="1">
                  <c:v>2.97937153289223</c:v>
                </c:pt>
                <c:pt idx="2">
                  <c:v>2.91746926956611</c:v>
                </c:pt>
                <c:pt idx="3">
                  <c:v>2.81424255502191</c:v>
                </c:pt>
                <c:pt idx="4">
                  <c:v>2.66960673362883</c:v>
                </c:pt>
                <c:pt idx="5">
                  <c:v>2.48344280085814</c:v>
                </c:pt>
                <c:pt idx="6">
                  <c:v>2.25559691102683</c:v>
                </c:pt>
                <c:pt idx="7">
                  <c:v>1.98587973627292</c:v>
                </c:pt>
                <c:pt idx="8">
                  <c:v>1.67406567047453</c:v>
                </c:pt>
                <c:pt idx="9">
                  <c:v>1.31989187020528</c:v>
                </c:pt>
                <c:pt idx="10">
                  <c:v>0.923057123055799</c:v>
                </c:pt>
                <c:pt idx="11">
                  <c:v>0.483220531709549</c:v>
                </c:pt>
                <c:pt idx="12">
                  <c:v>0</c:v>
                </c:pt>
              </c:numCache>
            </c:numRef>
          </c:yVal>
          <c:smooth val="1"/>
        </c:ser>
        <c:axId val="45873360"/>
        <c:axId val="52494351"/>
      </c:scatterChart>
      <c:valAx>
        <c:axId val="45873360"/>
        <c:scaling>
          <c:orientation val="minMax"/>
          <c:max val="3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Body Station, in from Nose Tip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2494351"/>
        <c:crossesAt val="0"/>
        <c:crossBetween val="midCat"/>
      </c:valAx>
      <c:valAx>
        <c:axId val="52494351"/>
        <c:scaling>
          <c:orientation val="minMax"/>
          <c:max val="3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Body Radius, 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5873360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10</xdr:col>
      <xdr:colOff>11160</xdr:colOff>
      <xdr:row>37</xdr:row>
      <xdr:rowOff>75960</xdr:rowOff>
    </xdr:to>
    <xdr:graphicFrame>
      <xdr:nvGraphicFramePr>
        <xdr:cNvPr id="1" name="Chart 1"/>
        <xdr:cNvGraphicFramePr/>
      </xdr:nvGraphicFramePr>
      <xdr:xfrm>
        <a:off x="638280" y="3333600"/>
        <a:ext cx="6537600" cy="2990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Q3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9.56"/>
    <col collapsed="false" customWidth="true" hidden="false" outlineLevel="0" max="3" min="3" style="0" width="9.99"/>
    <col collapsed="false" customWidth="true" hidden="false" outlineLevel="0" max="4" min="4" style="0" width="13.28"/>
    <col collapsed="false" customWidth="true" hidden="false" outlineLevel="0" max="5" min="5" style="0" width="11.85"/>
    <col collapsed="false" customWidth="true" hidden="false" outlineLevel="0" max="10" min="10" style="0" width="11.7"/>
    <col collapsed="false" customWidth="true" hidden="false" outlineLevel="0" max="11" min="11" style="0" width="20.28"/>
    <col collapsed="false" customWidth="true" hidden="false" outlineLevel="0" max="12" min="12" style="0" width="15.85"/>
  </cols>
  <sheetData>
    <row r="4" customFormat="false" ht="33" hidden="false" customHeight="true" outlineLevel="0" collapsed="false">
      <c r="B4" s="1" t="s">
        <v>0</v>
      </c>
      <c r="C4" s="1" t="s">
        <v>1</v>
      </c>
      <c r="D4" s="1" t="s">
        <v>2</v>
      </c>
      <c r="E4" s="1" t="s">
        <v>3</v>
      </c>
      <c r="F4" s="2" t="s">
        <v>4</v>
      </c>
      <c r="G4" s="2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</row>
    <row r="5" customFormat="false" ht="12.75" hidden="false" customHeight="false" outlineLevel="0" collapsed="false">
      <c r="B5" s="3" t="n">
        <v>3</v>
      </c>
      <c r="C5" s="3" t="n">
        <v>30</v>
      </c>
      <c r="D5" s="4" t="n">
        <f aca="false">(C5^2+B5^2)/(2*B5)</f>
        <v>151.5</v>
      </c>
      <c r="E5" s="3" t="n">
        <v>2.5</v>
      </c>
      <c r="F5" s="4" t="n">
        <v>0</v>
      </c>
      <c r="G5" s="4" t="n">
        <f aca="false">SQRT($D$5^2-F5^2)</f>
        <v>151.5</v>
      </c>
      <c r="H5" s="5" t="n">
        <f aca="false">$C$5-F5</f>
        <v>30</v>
      </c>
      <c r="I5" s="5" t="n">
        <f aca="false">$B$5-$D$5+G5</f>
        <v>3</v>
      </c>
      <c r="J5" s="5" t="n">
        <f aca="false">2*PI()*D5*((B5-D5)*ASIN(C5/D5)+C5)</f>
        <v>379.247704540773</v>
      </c>
      <c r="K5" s="5" t="n">
        <f aca="false">2*PI()*D5*(C5^2/2+(B5-D5)*(D5-SQRT(D5^2-C5^2)))</f>
        <v>4283.56158316968</v>
      </c>
      <c r="L5" s="5" t="n">
        <f aca="false">C5-K5/J5</f>
        <v>18.7051087405879</v>
      </c>
    </row>
    <row r="6" customFormat="false" ht="12.75" hidden="false" customHeight="false" outlineLevel="0" collapsed="false">
      <c r="F6" s="0" t="n">
        <f aca="false">F5+$E$5</f>
        <v>2.5</v>
      </c>
      <c r="G6" s="0" t="n">
        <f aca="false">SQRT($D$5^2-F6^2)</f>
        <v>151.479371532892</v>
      </c>
      <c r="H6" s="5" t="n">
        <f aca="false">$C$5-F6</f>
        <v>27.5</v>
      </c>
      <c r="I6" s="5" t="n">
        <f aca="false">$B$5-$D$5+G6</f>
        <v>2.97937153289223</v>
      </c>
    </row>
    <row r="7" customFormat="false" ht="12.75" hidden="false" customHeight="false" outlineLevel="0" collapsed="false">
      <c r="F7" s="0" t="n">
        <f aca="false">F6+$E$5</f>
        <v>5</v>
      </c>
      <c r="G7" s="0" t="n">
        <f aca="false">SQRT($D$5^2-F7^2)</f>
        <v>151.417469269566</v>
      </c>
      <c r="H7" s="5" t="n">
        <f aca="false">$C$5-F7</f>
        <v>25</v>
      </c>
      <c r="I7" s="5" t="n">
        <f aca="false">$B$5-$D$5+G7</f>
        <v>2.91746926956611</v>
      </c>
    </row>
    <row r="8" customFormat="false" ht="12.75" hidden="false" customHeight="false" outlineLevel="0" collapsed="false">
      <c r="F8" s="0" t="n">
        <f aca="false">F7+$E$5</f>
        <v>7.5</v>
      </c>
      <c r="G8" s="0" t="n">
        <f aca="false">SQRT($D$5^2-F8^2)</f>
        <v>151.314242555022</v>
      </c>
      <c r="H8" s="5" t="n">
        <f aca="false">$C$5-F8</f>
        <v>22.5</v>
      </c>
      <c r="I8" s="5" t="n">
        <f aca="false">$B$5-$D$5+G8</f>
        <v>2.81424255502191</v>
      </c>
    </row>
    <row r="9" customFormat="false" ht="12.75" hidden="false" customHeight="false" outlineLevel="0" collapsed="false">
      <c r="F9" s="0" t="n">
        <f aca="false">F8+$E$5</f>
        <v>10</v>
      </c>
      <c r="G9" s="0" t="n">
        <f aca="false">SQRT($D$5^2-F9^2)</f>
        <v>151.169606733629</v>
      </c>
      <c r="H9" s="5" t="n">
        <f aca="false">$C$5-F9</f>
        <v>20</v>
      </c>
      <c r="I9" s="5" t="n">
        <f aca="false">$B$5-$D$5+G9</f>
        <v>2.66960673362883</v>
      </c>
    </row>
    <row r="10" customFormat="false" ht="12.75" hidden="false" customHeight="false" outlineLevel="0" collapsed="false">
      <c r="F10" s="0" t="n">
        <f aca="false">F9+$E$5</f>
        <v>12.5</v>
      </c>
      <c r="G10" s="0" t="n">
        <f aca="false">SQRT($D$5^2-F10^2)</f>
        <v>150.983442800858</v>
      </c>
      <c r="H10" s="5" t="n">
        <f aca="false">$C$5-F10</f>
        <v>17.5</v>
      </c>
      <c r="I10" s="5" t="n">
        <f aca="false">$B$5-$D$5+G10</f>
        <v>2.48344280085814</v>
      </c>
    </row>
    <row r="11" customFormat="false" ht="12.75" hidden="false" customHeight="false" outlineLevel="0" collapsed="false">
      <c r="F11" s="0" t="n">
        <f aca="false">F10+$E$5</f>
        <v>15</v>
      </c>
      <c r="G11" s="0" t="n">
        <f aca="false">SQRT($D$5^2-F11^2)</f>
        <v>150.755596911027</v>
      </c>
      <c r="H11" s="5" t="n">
        <f aca="false">$C$5-F11</f>
        <v>15</v>
      </c>
      <c r="I11" s="5" t="n">
        <f aca="false">$B$5-$D$5+G11</f>
        <v>2.25559691102683</v>
      </c>
    </row>
    <row r="12" customFormat="false" ht="12.75" hidden="false" customHeight="false" outlineLevel="0" collapsed="false">
      <c r="F12" s="0" t="n">
        <f aca="false">F11+$E$5</f>
        <v>17.5</v>
      </c>
      <c r="G12" s="0" t="n">
        <f aca="false">SQRT($D$5^2-F12^2)</f>
        <v>150.485879736273</v>
      </c>
      <c r="H12" s="5" t="n">
        <f aca="false">$C$5-F12</f>
        <v>12.5</v>
      </c>
      <c r="I12" s="5" t="n">
        <f aca="false">$B$5-$D$5+G12</f>
        <v>1.98587973627292</v>
      </c>
    </row>
    <row r="13" customFormat="false" ht="12.75" hidden="false" customHeight="false" outlineLevel="0" collapsed="false">
      <c r="F13" s="0" t="n">
        <f aca="false">F12+$E$5</f>
        <v>20</v>
      </c>
      <c r="G13" s="0" t="n">
        <f aca="false">SQRT($D$5^2-F13^2)</f>
        <v>150.174065670475</v>
      </c>
      <c r="H13" s="5" t="n">
        <f aca="false">$C$5-F13</f>
        <v>10</v>
      </c>
      <c r="I13" s="5" t="n">
        <f aca="false">$B$5-$D$5+G13</f>
        <v>1.67406567047453</v>
      </c>
    </row>
    <row r="14" customFormat="false" ht="12.75" hidden="false" customHeight="false" outlineLevel="0" collapsed="false">
      <c r="F14" s="0" t="n">
        <f aca="false">F13+$E$5</f>
        <v>22.5</v>
      </c>
      <c r="G14" s="0" t="n">
        <f aca="false">SQRT($D$5^2-F14^2)</f>
        <v>149.819891870205</v>
      </c>
      <c r="H14" s="5" t="n">
        <f aca="false">$C$5-F14</f>
        <v>7.5</v>
      </c>
      <c r="I14" s="5" t="n">
        <f aca="false">$B$5-$D$5+G14</f>
        <v>1.31989187020528</v>
      </c>
    </row>
    <row r="15" customFormat="false" ht="12.75" hidden="false" customHeight="false" outlineLevel="0" collapsed="false">
      <c r="F15" s="0" t="n">
        <f aca="false">F14+$E$5</f>
        <v>25</v>
      </c>
      <c r="G15" s="0" t="n">
        <f aca="false">SQRT($D$5^2-F15^2)</f>
        <v>149.423057123056</v>
      </c>
      <c r="H15" s="5" t="n">
        <f aca="false">$C$5-F15</f>
        <v>5</v>
      </c>
      <c r="I15" s="5" t="n">
        <f aca="false">$B$5-$D$5+G15</f>
        <v>0.923057123055799</v>
      </c>
    </row>
    <row r="16" customFormat="false" ht="12.75" hidden="false" customHeight="false" outlineLevel="0" collapsed="false">
      <c r="F16" s="0" t="n">
        <f aca="false">F15+$E$5</f>
        <v>27.5</v>
      </c>
      <c r="G16" s="0" t="n">
        <f aca="false">SQRT($D$5^2-F16^2)</f>
        <v>148.98322053171</v>
      </c>
      <c r="H16" s="5" t="n">
        <f aca="false">$C$5-F16</f>
        <v>2.5</v>
      </c>
      <c r="I16" s="5" t="n">
        <f aca="false">$B$5-$D$5+G16</f>
        <v>0.483220531709549</v>
      </c>
    </row>
    <row r="17" customFormat="false" ht="12.75" hidden="false" customHeight="false" outlineLevel="0" collapsed="false">
      <c r="F17" s="0" t="n">
        <f aca="false">F16+$E$5</f>
        <v>30</v>
      </c>
      <c r="G17" s="0" t="n">
        <f aca="false">SQRT($D$5^2-F17^2)</f>
        <v>148.5</v>
      </c>
      <c r="H17" s="5" t="n">
        <f aca="false">$C$5-F17</f>
        <v>0</v>
      </c>
      <c r="I17" s="5" t="n">
        <f aca="false">$B$5-$D$5+G17</f>
        <v>0</v>
      </c>
    </row>
    <row r="32" customFormat="false" ht="12.75" hidden="false" customHeight="false" outlineLevel="0" collapsed="false">
      <c r="Q32" s="6"/>
    </row>
    <row r="33" customFormat="false" ht="12.75" hidden="false" customHeight="false" outlineLevel="0" collapsed="false">
      <c r="Q33" s="6"/>
    </row>
    <row r="34" customFormat="false" ht="12.75" hidden="false" customHeight="false" outlineLevel="0" collapsed="false">
      <c r="Q34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2011-05-05T17:55:19Z</dcterms:created>
  <dc:creator>Owner</dc:creator>
  <dc:description/>
  <dc:language>en-US</dc:language>
  <cp:lastModifiedBy>Charles Hoult</cp:lastModifiedBy>
  <dcterms:modified xsi:type="dcterms:W3CDTF">2015-01-18T14:14:26Z</dcterms:modified>
  <cp:revision>0</cp:revision>
  <dc:subject/>
  <dc:title/>
</cp:coreProperties>
</file>