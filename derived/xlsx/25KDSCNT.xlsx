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<sst xmlns="http://schemas.openxmlformats.org/spreadsheetml/2006/main" count="13" uniqueCount="13">
  <si>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Dart weight,   lb</t>
  </si>
  <si>
    <t xml:space="preserve">Chute diameter, in</t>
  </si>
  <si>
    <t xml:space="preserve">Chute area, ft^2</t>
  </si>
  <si>
    <t xml:space="preserve">Terminal descent rate, ft/sec</t>
  </si>
  <si>
    <t xml:space="preserve">Descent time, minutes</t>
  </si>
  <si>
    <t xml:space="preserve">Lateral drift, V=10 fps, ft</t>
  </si>
  <si>
    <t xml:space="preserve">Lateral drift, V=20 fps, ft</t>
  </si>
  <si>
    <t xml:space="preserve">Lateral drift, V=30 fps, ft</t>
  </si>
  <si>
    <t xml:space="preserve">W,lb</t>
  </si>
  <si>
    <t xml:space="preserve">VD, fps</t>
  </si>
  <si>
    <t xml:space="preserve">S, ft^2</t>
  </si>
  <si>
    <t xml:space="preserve">q</t>
  </si>
  <si>
    <t xml:space="preserve">CD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</si>
</sst>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J2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3" style="0" width="10.56"/>
    <col collapsed="false" customWidth="true" hidden="false" outlineLevel="0" max="4" min="4" style="0" width="13.85"/>
    <col collapsed="false" customWidth="true" hidden="false" outlineLevel="0" max="6" min="6" style="0" width="12.14"/>
  </cols>
  <sheetData>
    <row r="3" customFormat="false" ht="37.5" hidden="false" customHeight="true" outlineLevel="0" collapsed="false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</row>
    <row r="4" customFormat="false" ht="12.75" hidden="false" customHeight="false" outlineLevel="0" collapsed="false">
      <c r="C4" s="0" t="n">
        <v>15</v>
      </c>
      <c r="D4" s="0" t="n">
        <v>48</v>
      </c>
      <c r="E4" s="0" t="n">
        <f aca="false">PI()*(D4/24)^2</f>
        <v>12.5663706143592</v>
      </c>
      <c r="F4" s="0" t="n">
        <f aca="false">SQRT(2*C4/(E4*0.85*0.0022))</f>
        <v>35.7301543313853</v>
      </c>
      <c r="G4" s="0" t="n">
        <f aca="false">25000/(60*F4)</f>
        <v>11.6614852206408</v>
      </c>
      <c r="H4" s="0" t="n">
        <f aca="false">60*G4*10</f>
        <v>6996.89113238451</v>
      </c>
      <c r="I4" s="0" t="n">
        <f aca="false">60*G4*20</f>
        <v>13993.782264769</v>
      </c>
      <c r="J4" s="0" t="n">
        <f aca="false">60*G4*30</f>
        <v>20990.6733971535</v>
      </c>
    </row>
    <row r="5" customFormat="false" ht="12.75" hidden="false" customHeight="false" outlineLevel="0" collapsed="false">
      <c r="C5" s="0" t="n">
        <v>20</v>
      </c>
      <c r="D5" s="0" t="n">
        <v>48</v>
      </c>
      <c r="E5" s="0" t="n">
        <f aca="false">PI()*(D5/24)^2</f>
        <v>12.5663706143592</v>
      </c>
      <c r="F5" s="0" t="n">
        <f aca="false">SQRT(2*C5/(E5*0.85*0.0022))</f>
        <v>41.2576284428244</v>
      </c>
      <c r="G5" s="0" t="n">
        <f aca="false">25000/(60*F5)</f>
        <v>10.0991424469318</v>
      </c>
      <c r="H5" s="0" t="n">
        <f aca="false">60*G5*10</f>
        <v>6059.48546815905</v>
      </c>
      <c r="I5" s="0" t="n">
        <f aca="false">60*G5*20</f>
        <v>12118.9709363181</v>
      </c>
      <c r="J5" s="0" t="n">
        <f aca="false">60*G5*30</f>
        <v>18178.4564044772</v>
      </c>
    </row>
    <row r="6" customFormat="false" ht="12.75" hidden="false" customHeight="false" outlineLevel="0" collapsed="false">
      <c r="C6" s="0" t="n">
        <v>25</v>
      </c>
      <c r="D6" s="0" t="n">
        <v>48</v>
      </c>
      <c r="E6" s="0" t="n">
        <f aca="false">PI()*(D6/24)^2</f>
        <v>12.5663706143592</v>
      </c>
      <c r="F6" s="0" t="n">
        <f aca="false">SQRT(2*C6/(E6*0.85*0.0022))</f>
        <v>46.1274308942921</v>
      </c>
      <c r="G6" s="0" t="n">
        <f aca="false">25000/(60*F6)</f>
        <v>9.03294761031718</v>
      </c>
      <c r="H6" s="0" t="n">
        <f aca="false">60*G6*10</f>
        <v>5419.76856619031</v>
      </c>
      <c r="I6" s="0" t="n">
        <f aca="false">60*G6*20</f>
        <v>10839.5371323806</v>
      </c>
      <c r="J6" s="0" t="n">
        <f aca="false">60*G6*30</f>
        <v>16259.3056985709</v>
      </c>
    </row>
    <row r="7" customFormat="false" ht="12.75" hidden="false" customHeight="false" outlineLevel="0" collapsed="false">
      <c r="C7" s="0" t="n">
        <v>30</v>
      </c>
      <c r="D7" s="0" t="n">
        <v>48</v>
      </c>
      <c r="E7" s="0" t="n">
        <f aca="false">PI()*(D7/24)^2</f>
        <v>12.5663706143592</v>
      </c>
      <c r="F7" s="0" t="n">
        <f aca="false">SQRT(2*C7/(E7*0.85*0.0022))</f>
        <v>50.5300688411289</v>
      </c>
      <c r="G7" s="0" t="n">
        <f aca="false">25000/(60*F7)</f>
        <v>8.24591527822184</v>
      </c>
      <c r="H7" s="0" t="n">
        <f aca="false">60*G7*10</f>
        <v>4947.54916693311</v>
      </c>
      <c r="I7" s="0" t="n">
        <f aca="false">60*G7*20</f>
        <v>9895.09833386621</v>
      </c>
      <c r="J7" s="0" t="n">
        <f aca="false">60*G7*30</f>
        <v>14842.6475007993</v>
      </c>
    </row>
    <row r="23" customFormat="false" ht="12.75" hidden="false" customHeight="false" outlineLevel="0" collapsed="false">
      <c r="B23" s="0" t="s">
        <v>8</v>
      </c>
      <c r="C23" s="0" t="s">
        <v>9</v>
      </c>
      <c r="D23" s="0" t="s">
        <v>10</v>
      </c>
      <c r="E23" s="0" t="s">
        <v>11</v>
      </c>
      <c r="F23" s="0" t="s">
        <v>12</v>
      </c>
    </row>
    <row r="24" customFormat="false" ht="12.75" hidden="false" customHeight="false" outlineLevel="0" collapsed="false">
      <c r="B24" s="0" t="n">
        <v>1.7</v>
      </c>
      <c r="C24" s="0" t="n">
        <v>15.95</v>
      </c>
      <c r="D24" s="0" t="n">
        <f aca="false">PI()*9/4</f>
        <v>7.06858347057703</v>
      </c>
      <c r="E24" s="0" t="n">
        <f aca="false">0.5*0.0022*C24^2</f>
        <v>0.27984275</v>
      </c>
      <c r="F24" s="0" t="n">
        <f aca="false">B24/(D24*E24)</f>
        <v>0.859414092001382</v>
      </c>
    </row>
    <row r="25" customFormat="false" ht="12.75" hidden="false" customHeight="false" outlineLevel="0" collapsed="false">
      <c r="B25" s="0" t="n">
        <v>2.1</v>
      </c>
      <c r="C25" s="0" t="n">
        <v>17.9</v>
      </c>
      <c r="D25" s="0" t="n">
        <f aca="false">PI()*9/4</f>
        <v>7.06858347057703</v>
      </c>
      <c r="E25" s="0" t="n">
        <f aca="false">0.5*0.0022*C25^2</f>
        <v>0.352451</v>
      </c>
      <c r="F25" s="0" t="n">
        <f aca="false">B25/(D25*E25)</f>
        <v>0.842923490371346</v>
      </c>
    </row>
    <row r="26" customFormat="false" ht="12.75" hidden="false" customHeight="false" outlineLevel="0" collapsed="false">
      <c r="B26" s="0" t="n">
        <v>2.8</v>
      </c>
      <c r="C26" s="0" t="n">
        <v>20.59</v>
      </c>
      <c r="D26" s="0" t="n">
        <f aca="false">PI()*9/4</f>
        <v>7.06858347057703</v>
      </c>
      <c r="E26" s="0" t="n">
        <f aca="false">0.5*0.0022*C26^2</f>
        <v>0.46634291</v>
      </c>
      <c r="F26" s="0" t="n">
        <f aca="false">B26/(D26*E26)</f>
        <v>0.849415657403608</v>
      </c>
    </row>
    <row r="27" customFormat="false" ht="12.75" hidden="false" customHeight="false" outlineLevel="0" collapsed="false">
      <c r="B27" s="0" t="n">
        <v>4</v>
      </c>
      <c r="C27" s="0" t="n">
        <v>25.69</v>
      </c>
      <c r="D27" s="0" t="n">
        <f aca="false">PI()*9/4</f>
        <v>7.06858347057703</v>
      </c>
      <c r="E27" s="0" t="n">
        <f aca="false">0.5*0.0022*C27^2</f>
        <v>0.72597371</v>
      </c>
      <c r="F27" s="0" t="n">
        <f aca="false">B27/(D27*E27)</f>
        <v>0.779483105668546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2011-09-17T16:53:20Z</dcterms:created>
  <dc:creator>Owner</dc:creator>
  <dc:description/>
  <dc:language>en-US</dc:language>
  <cp:lastModifiedBy>Owner</cp:lastModifiedBy>
  <dcterms:modified xsi:type="dcterms:W3CDTF">2013-01-18T20:09:59Z</dcterms:modified>
  <cp:revision>0</cp:revision>
  <dc:subject/>
  <dc:title/>
</cp:coreProperties>
</file>