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<sst xmlns="http://schemas.openxmlformats.org/spreadsheetml/2006/main" count="9" uniqueCount="9">
  <si>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Delta, deg</t>
  </si>
  <si>
    <t xml:space="preserve">Delta, rad</t>
  </si>
  <si>
    <t xml:space="preserve">Gamma</t>
  </si>
  <si>
    <t xml:space="preserve">Mach no.</t>
  </si>
  <si>
    <t xml:space="preserve">Beta</t>
  </si>
  <si>
    <t xml:space="preserve">Function 3</t>
  </si>
  <si>
    <t xml:space="preserve">Function 2</t>
  </si>
  <si>
    <t xml:space="preserve">Multiplier</t>
  </si>
  <si>
    <t xml:space="preserve">Slope @ M=2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</si>
</sst>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Single Wedge Normal Force Multiplier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Sheet1!$J$6:$J$44</c:f>
              <c:numCache>
                <c:formatCode>General</c:formatCode>
                <c:ptCount val="39"/>
                <c:pt idx="0">
                  <c:v>1.2</c:v>
                </c:pt>
                <c:pt idx="1">
                  <c:v>1.3</c:v>
                </c:pt>
                <c:pt idx="2">
                  <c:v>1.4</c:v>
                </c:pt>
                <c:pt idx="3">
                  <c:v>1.5</c:v>
                </c:pt>
                <c:pt idx="4">
                  <c:v>1.6</c:v>
                </c:pt>
                <c:pt idx="5">
                  <c:v>1.7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2.1</c:v>
                </c:pt>
                <c:pt idx="10">
                  <c:v>2.2</c:v>
                </c:pt>
                <c:pt idx="11">
                  <c:v>2.3</c:v>
                </c:pt>
                <c:pt idx="12">
                  <c:v>2.4</c:v>
                </c:pt>
                <c:pt idx="13">
                  <c:v>2.5</c:v>
                </c:pt>
                <c:pt idx="14">
                  <c:v>2.6</c:v>
                </c:pt>
                <c:pt idx="15">
                  <c:v>2.7</c:v>
                </c:pt>
                <c:pt idx="16">
                  <c:v>2.8</c:v>
                </c:pt>
                <c:pt idx="17">
                  <c:v>2.9</c:v>
                </c:pt>
                <c:pt idx="18">
                  <c:v>3</c:v>
                </c:pt>
                <c:pt idx="19">
                  <c:v>3.1</c:v>
                </c:pt>
                <c:pt idx="20">
                  <c:v>3.2</c:v>
                </c:pt>
                <c:pt idx="21">
                  <c:v>3.3</c:v>
                </c:pt>
                <c:pt idx="22">
                  <c:v>3.4</c:v>
                </c:pt>
                <c:pt idx="23">
                  <c:v>3.5</c:v>
                </c:pt>
                <c:pt idx="24">
                  <c:v>3.6</c:v>
                </c:pt>
                <c:pt idx="25">
                  <c:v>3.7</c:v>
                </c:pt>
                <c:pt idx="26">
                  <c:v>3.8</c:v>
                </c:pt>
                <c:pt idx="27">
                  <c:v>3.9</c:v>
                </c:pt>
                <c:pt idx="28">
                  <c:v>4</c:v>
                </c:pt>
                <c:pt idx="29">
                  <c:v>4.1</c:v>
                </c:pt>
                <c:pt idx="30">
                  <c:v>4.2</c:v>
                </c:pt>
                <c:pt idx="31">
                  <c:v>4.3</c:v>
                </c:pt>
                <c:pt idx="32">
                  <c:v>4.4</c:v>
                </c:pt>
                <c:pt idx="33">
                  <c:v>4.5</c:v>
                </c:pt>
                <c:pt idx="34">
                  <c:v>4.6</c:v>
                </c:pt>
                <c:pt idx="35">
                  <c:v>4.7</c:v>
                </c:pt>
                <c:pt idx="36">
                  <c:v>4.8</c:v>
                </c:pt>
                <c:pt idx="37">
                  <c:v>4.9</c:v>
                </c:pt>
                <c:pt idx="38">
                  <c:v>5</c:v>
                </c:pt>
              </c:numCache>
            </c:numRef>
          </c:xVal>
          <c:yVal>
            <c:numRef>
              <c:f>Sheet1!$K$6:$K$44</c:f>
              <c:numCache>
                <c:formatCode>General</c:formatCode>
                <c:ptCount val="39"/>
                <c:pt idx="0">
                  <c:v>3.03621496268561</c:v>
                </c:pt>
                <c:pt idx="1">
                  <c:v>1.98150936285582</c:v>
                </c:pt>
                <c:pt idx="2">
                  <c:v>1.7534924488988</c:v>
                </c:pt>
                <c:pt idx="3">
                  <c:v>1.72827225606751</c:v>
                </c:pt>
                <c:pt idx="4">
                  <c:v>1.78589790318612</c:v>
                </c:pt>
                <c:pt idx="5">
                  <c:v>1.89192270441876</c:v>
                </c:pt>
                <c:pt idx="6">
                  <c:v>2.03408295854864</c:v>
                </c:pt>
                <c:pt idx="7">
                  <c:v>2.20756445610943</c:v>
                </c:pt>
                <c:pt idx="8">
                  <c:v>2.41053853259545</c:v>
                </c:pt>
                <c:pt idx="9">
                  <c:v>2.64253902384689</c:v>
                </c:pt>
                <c:pt idx="10">
                  <c:v>2.90378688173231</c:v>
                </c:pt>
                <c:pt idx="11">
                  <c:v>3.19487817180023</c:v>
                </c:pt>
                <c:pt idx="12">
                  <c:v>3.51662737664238</c:v>
                </c:pt>
                <c:pt idx="13">
                  <c:v>3.86998312299554</c:v>
                </c:pt>
                <c:pt idx="14">
                  <c:v>4.25598019569184</c:v>
                </c:pt>
                <c:pt idx="15">
                  <c:v>4.67571086065401</c:v>
                </c:pt>
                <c:pt idx="16">
                  <c:v>5.13030700277432</c:v>
                </c:pt>
                <c:pt idx="17">
                  <c:v>5.62092859443236</c:v>
                </c:pt>
                <c:pt idx="18">
                  <c:v>6.14875601476764</c:v>
                </c:pt>
                <c:pt idx="19">
                  <c:v>6.71498479149538</c:v>
                </c:pt>
                <c:pt idx="20">
                  <c:v>7.320821912805</c:v>
                </c:pt>
                <c:pt idx="21">
                  <c:v>7.96748318413932</c:v>
                </c:pt>
                <c:pt idx="22">
                  <c:v>8.65619129698529</c:v>
                </c:pt>
                <c:pt idx="23">
                  <c:v>9.38817439327441</c:v>
                </c:pt>
                <c:pt idx="24">
                  <c:v>10.1646649814446</c:v>
                </c:pt>
                <c:pt idx="25">
                  <c:v>10.9868991064004</c:v>
                </c:pt>
                <c:pt idx="26">
                  <c:v>11.8561157057063</c:v>
                </c:pt>
                <c:pt idx="27">
                  <c:v>12.7735561043689</c:v>
                </c:pt>
                <c:pt idx="28">
                  <c:v>13.740463614119</c:v>
                </c:pt>
                <c:pt idx="29">
                  <c:v>14.7580832124554</c:v>
                </c:pt>
                <c:pt idx="30">
                  <c:v>15.8276612832472</c:v>
                </c:pt>
                <c:pt idx="31">
                  <c:v>16.9504454053424</c:v>
                </c:pt>
                <c:pt idx="32">
                  <c:v>18.1276841789679</c:v>
                </c:pt>
                <c:pt idx="33">
                  <c:v>19.3606270821478</c:v>
                </c:pt>
                <c:pt idx="34">
                  <c:v>20.6505243511605</c:v>
                </c:pt>
                <c:pt idx="35">
                  <c:v>21.9986268803943</c:v>
                </c:pt>
                <c:pt idx="36">
                  <c:v>23.4061861379702</c:v>
                </c:pt>
                <c:pt idx="37">
                  <c:v>24.8744540942652</c:v>
                </c:pt>
                <c:pt idx="38">
                  <c:v>26.4046831610575</c:v>
                </c:pt>
              </c:numCache>
            </c:numRef>
          </c:yVal>
          <c:smooth val="1"/>
        </c:ser>
        <c:axId val="11263384"/>
        <c:axId val="38950529"/>
      </c:scatterChart>
      <c:valAx>
        <c:axId val="11263384"/>
        <c:scaling>
          <c:orientation val="minMax"/>
          <c:max val="5"/>
          <c:min val="1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Mach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950529"/>
        <c:crossesAt val="0"/>
        <c:crossBetween val="midCat"/>
      </c:valAx>
      <c:valAx>
        <c:axId val="38950529"/>
        <c:scaling>
          <c:orientation val="minMax"/>
          <c:max val="30"/>
          <c:min val="1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Multiplier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1263384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804600</xdr:colOff>
      <xdr:row>9</xdr:row>
      <xdr:rowOff>28440</xdr:rowOff>
    </xdr:from>
    <xdr:to>
      <xdr:col>21</xdr:col>
      <xdr:colOff>360</xdr:colOff>
      <xdr:row>31</xdr:row>
      <xdr:rowOff>104760</xdr:rowOff>
    </xdr:to>
    <xdr:graphicFrame>
      <xdr:nvGraphicFramePr>
        <xdr:cNvPr id="1" name="Chart 1"/>
        <xdr:cNvGraphicFramePr/>
      </xdr:nvGraphicFramePr>
      <xdr:xfrm>
        <a:off x="7981920" y="1485720"/>
        <a:ext cx="5754240" cy="3638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L4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8" min="8" style="0" width="9.7"/>
    <col collapsed="false" customWidth="true" hidden="false" outlineLevel="0" max="10" min="9" style="0" width="9.85"/>
    <col collapsed="false" customWidth="true" hidden="false" outlineLevel="0" max="12" min="12" style="0" width="11.56"/>
  </cols>
  <sheetData>
    <row r="5" customFormat="false" ht="12.75" hidden="false" customHeight="false" outlineLevel="0" collapsed="false">
      <c r="C5" s="0" t="s">
        <v>0</v>
      </c>
      <c r="D5" s="0" t="s">
        <v>1</v>
      </c>
      <c r="E5" s="0" t="s">
        <v>2</v>
      </c>
      <c r="F5" s="0" t="s">
        <v>3</v>
      </c>
      <c r="G5" s="0" t="s">
        <v>4</v>
      </c>
      <c r="H5" s="0" t="s">
        <v>5</v>
      </c>
      <c r="I5" s="0" t="s">
        <v>6</v>
      </c>
      <c r="K5" s="0" t="s">
        <v>7</v>
      </c>
      <c r="L5" s="0" t="s">
        <v>8</v>
      </c>
    </row>
    <row r="6" customFormat="false" ht="12.75" hidden="false" customHeight="false" outlineLevel="0" collapsed="false">
      <c r="C6" s="0" t="n">
        <v>10</v>
      </c>
      <c r="D6" s="0" t="n">
        <f aca="false">C6*PI()/180</f>
        <v>0.174532925199433</v>
      </c>
      <c r="E6" s="0" t="n">
        <v>1.4</v>
      </c>
      <c r="F6" s="0" t="n">
        <v>1.2</v>
      </c>
      <c r="G6" s="0" t="n">
        <f aca="false">F6^2-1</f>
        <v>0.44</v>
      </c>
      <c r="H6" s="0" t="n">
        <f aca="false">($E$6+1)*F6^4-4*G6</f>
        <v>3.21664</v>
      </c>
      <c r="I6" s="0" t="n">
        <f aca="false">($E$6+1)^2*F6^8/16-(7+12*$E$6-3*$E$6^2)*F6^6/12+3*($E$6+1)*F6^4/2-2*F6^2+4/3</f>
        <v>3.00715799893333</v>
      </c>
      <c r="J6" s="0" t="n">
        <f aca="false">F6</f>
        <v>1.2</v>
      </c>
      <c r="K6" s="0" t="n">
        <f aca="false">1+H6*$D$6/(2*G6^(1/2))+3*I6*$D$6^2/(2*G6^3)</f>
        <v>3.03621496268561</v>
      </c>
    </row>
    <row r="7" customFormat="false" ht="12.75" hidden="false" customHeight="false" outlineLevel="0" collapsed="false">
      <c r="F7" s="0" t="n">
        <f aca="false">F6+0.1</f>
        <v>1.3</v>
      </c>
      <c r="G7" s="0" t="n">
        <f aca="false">F7^2-1</f>
        <v>0.69</v>
      </c>
      <c r="H7" s="0" t="n">
        <f aca="false">($E$6+1)*F7^4-4*G7</f>
        <v>4.09464</v>
      </c>
      <c r="I7" s="0" t="n">
        <f aca="false">($E$6+1)^2*F7^8/16-(7+12*$E$6-3*$E$6^2)*F7^6/12+3*($E$6+1)*F7^4/2-2*F7^2+4/3</f>
        <v>3.9638891556</v>
      </c>
      <c r="J7" s="0" t="n">
        <f aca="false">F7</f>
        <v>1.3</v>
      </c>
      <c r="K7" s="0" t="n">
        <f aca="false">1+H7*$D$6/(2*G7^(1/2))+3*I7*$D$6^2/(2*G7^3)</f>
        <v>1.98150936285582</v>
      </c>
    </row>
    <row r="8" customFormat="false" ht="12.75" hidden="false" customHeight="false" outlineLevel="0" collapsed="false">
      <c r="F8" s="0" t="n">
        <f aca="false">F7+0.1</f>
        <v>1.4</v>
      </c>
      <c r="G8" s="0" t="n">
        <f aca="false">F8^2-1</f>
        <v>0.96</v>
      </c>
      <c r="H8" s="0" t="n">
        <f aca="false">($E$6+1)*F8^4-4*G8</f>
        <v>5.37984</v>
      </c>
      <c r="I8" s="0" t="n">
        <f aca="false">($E$6+1)^2*F8^8/16-(7+12*$E$6-3*$E$6^2)*F8^6/12+3*($E$6+1)*F8^4/2-2*F8^2+4/3</f>
        <v>5.3118268416</v>
      </c>
      <c r="J8" s="0" t="n">
        <f aca="false">F8</f>
        <v>1.4</v>
      </c>
      <c r="K8" s="0" t="n">
        <f aca="false">1+H8*$D$6/(2*G8^(1/2))+3*I8*$D$6^2/(2*G8^3)</f>
        <v>1.7534924488988</v>
      </c>
    </row>
    <row r="9" customFormat="false" ht="12.75" hidden="false" customHeight="false" outlineLevel="0" collapsed="false">
      <c r="F9" s="0" t="n">
        <f aca="false">F8+0.1</f>
        <v>1.5</v>
      </c>
      <c r="G9" s="0" t="n">
        <f aca="false">F9^2-1</f>
        <v>1.25</v>
      </c>
      <c r="H9" s="0" t="n">
        <f aca="false">($E$6+1)*F9^4-4*G9</f>
        <v>7.15</v>
      </c>
      <c r="I9" s="0" t="n">
        <f aca="false">($E$6+1)^2*F9^8/16-(7+12*$E$6-3*$E$6^2)*F9^6/12+3*($E$6+1)*F9^4/2-2*F9^2+4/3</f>
        <v>7.27473958333334</v>
      </c>
      <c r="J9" s="0" t="n">
        <f aca="false">F9</f>
        <v>1.5</v>
      </c>
      <c r="K9" s="0" t="n">
        <f aca="false">1+H9*$D$6/(2*G9^(1/2))+3*I9*$D$6^2/(2*G9^3)</f>
        <v>1.72827225606751</v>
      </c>
    </row>
    <row r="10" customFormat="false" ht="12.75" hidden="false" customHeight="false" outlineLevel="0" collapsed="false">
      <c r="F10" s="0" t="n">
        <f aca="false">F9+0.1</f>
        <v>1.6</v>
      </c>
      <c r="G10" s="0" t="n">
        <f aca="false">F10^2-1</f>
        <v>1.56</v>
      </c>
      <c r="H10" s="0" t="n">
        <f aca="false">($E$6+1)*F10^4-4*G10</f>
        <v>9.48864000000001</v>
      </c>
      <c r="I10" s="0" t="n">
        <f aca="false">($E$6+1)^2*F10^8/16-(7+12*$E$6-3*$E$6^2)*F10^6/12+3*($E$6+1)*F10^4/2-2*F10^2+4/3</f>
        <v>10.2141997056</v>
      </c>
      <c r="J10" s="0" t="n">
        <f aca="false">F10</f>
        <v>1.6</v>
      </c>
      <c r="K10" s="0" t="n">
        <f aca="false">1+H10*$D$6/(2*G10^(1/2))+3*I10*$D$6^2/(2*G10^3)</f>
        <v>1.78589790318612</v>
      </c>
    </row>
    <row r="11" customFormat="false" ht="12.75" hidden="false" customHeight="false" outlineLevel="0" collapsed="false">
      <c r="F11" s="0" t="n">
        <f aca="false">F10+0.1</f>
        <v>1.7</v>
      </c>
      <c r="G11" s="0" t="n">
        <f aca="false">F11^2-1</f>
        <v>1.89</v>
      </c>
      <c r="H11" s="0" t="n">
        <f aca="false">($E$6+1)*F11^4-4*G11</f>
        <v>12.48504</v>
      </c>
      <c r="I11" s="0" t="n">
        <f aca="false">($E$6+1)^2*F11^8/16-(7+12*$E$6-3*$E$6^2)*F11^6/12+3*($E$6+1)*F11^4/2-2*F11^2+4/3</f>
        <v>14.6881837476</v>
      </c>
      <c r="J11" s="0" t="n">
        <f aca="false">F11</f>
        <v>1.7</v>
      </c>
      <c r="K11" s="0" t="n">
        <f aca="false">1+H11*$D$6/(2*G11^(1/2))+3*I11*$D$6^2/(2*G11^3)</f>
        <v>1.89192270441876</v>
      </c>
    </row>
    <row r="12" customFormat="false" ht="12.75" hidden="false" customHeight="false" outlineLevel="0" collapsed="false">
      <c r="F12" s="0" t="n">
        <f aca="false">F11+0.1</f>
        <v>1.8</v>
      </c>
      <c r="G12" s="0" t="n">
        <f aca="false">F12^2-1</f>
        <v>2.24</v>
      </c>
      <c r="H12" s="0" t="n">
        <f aca="false">($E$6+1)*F12^4-4*G12</f>
        <v>16.23424</v>
      </c>
      <c r="I12" s="0" t="n">
        <f aca="false">($E$6+1)^2*F12^8/16-(7+12*$E$6-3*$E$6^2)*F12^6/12+3*($E$6+1)*F12^4/2-2*F12^2+4/3</f>
        <v>21.5249635669334</v>
      </c>
      <c r="J12" s="0" t="n">
        <f aca="false">F12</f>
        <v>1.8</v>
      </c>
      <c r="K12" s="0" t="n">
        <f aca="false">1+H12*$D$6/(2*G12^(1/2))+3*I12*$D$6^2/(2*G12^3)</f>
        <v>2.03408295854864</v>
      </c>
    </row>
    <row r="13" customFormat="false" ht="12.75" hidden="false" customHeight="false" outlineLevel="0" collapsed="false">
      <c r="F13" s="0" t="n">
        <f aca="false">F12+0.1</f>
        <v>1.9</v>
      </c>
      <c r="G13" s="0" t="n">
        <f aca="false">F13^2-1</f>
        <v>2.61</v>
      </c>
      <c r="H13" s="0" t="n">
        <f aca="false">($E$6+1)*F13^4-4*G13</f>
        <v>20.83704</v>
      </c>
      <c r="I13" s="0" t="n">
        <f aca="false">($E$6+1)^2*F13^8/16-(7+12*$E$6-3*$E$6^2)*F13^6/12+3*($E$6+1)*F13^4/2-2*F13^2+4/3</f>
        <v>31.9145379876001</v>
      </c>
      <c r="J13" s="0" t="n">
        <f aca="false">F13</f>
        <v>1.9</v>
      </c>
      <c r="K13" s="0" t="n">
        <f aca="false">1+H13*$D$6/(2*G13^(1/2))+3*I13*$D$6^2/(2*G13^3)</f>
        <v>2.20756445610943</v>
      </c>
    </row>
    <row r="14" customFormat="false" ht="12.75" hidden="false" customHeight="false" outlineLevel="0" collapsed="false">
      <c r="F14" s="0" t="n">
        <f aca="false">F13+0.1</f>
        <v>2</v>
      </c>
      <c r="G14" s="0" t="n">
        <f aca="false">F14^2-1</f>
        <v>3</v>
      </c>
      <c r="H14" s="0" t="n">
        <f aca="false">($E$6+1)*F14^4-4*G14</f>
        <v>26.4</v>
      </c>
      <c r="I14" s="0" t="n">
        <f aca="false">($E$6+1)^2*F14^8/16-(7+12*$E$6-3*$E$6^2)*F14^6/12+3*($E$6+1)*F14^4/2-2*F14^2+4/3</f>
        <v>47.5200000000001</v>
      </c>
      <c r="J14" s="0" t="n">
        <f aca="false">F14</f>
        <v>2</v>
      </c>
      <c r="K14" s="0" t="n">
        <f aca="false">1+H14*$D$6/(2*G14^(1/2))+3*I14*$D$6^2/(2*G14^3)</f>
        <v>2.41053853259545</v>
      </c>
      <c r="L14" s="0" t="n">
        <f aca="false">10*(K15-K14)</f>
        <v>2.32000491251437</v>
      </c>
    </row>
    <row r="15" customFormat="false" ht="12.75" hidden="false" customHeight="false" outlineLevel="0" collapsed="false">
      <c r="F15" s="0" t="n">
        <f aca="false">F14+0.1</f>
        <v>2.1</v>
      </c>
      <c r="G15" s="0" t="n">
        <f aca="false">F15^2-1</f>
        <v>3.41</v>
      </c>
      <c r="H15" s="0" t="n">
        <f aca="false">($E$6+1)*F15^4-4*G15</f>
        <v>33.03544</v>
      </c>
      <c r="I15" s="0" t="n">
        <f aca="false">($E$6+1)^2*F15^8/16-(7+12*$E$6-3*$E$6^2)*F15^6/12+3*($E$6+1)*F15^4/2-2*F15^2+4/3</f>
        <v>70.6113796729335</v>
      </c>
      <c r="J15" s="0" t="n">
        <f aca="false">F15</f>
        <v>2.1</v>
      </c>
      <c r="K15" s="0" t="n">
        <f aca="false">1+H15*$D$6/(2*G15^(1/2))+3*I15*$D$6^2/(2*G15^3)</f>
        <v>2.64253902384689</v>
      </c>
    </row>
    <row r="16" customFormat="false" ht="12.75" hidden="false" customHeight="false" outlineLevel="0" collapsed="false">
      <c r="F16" s="0" t="n">
        <f aca="false">F15+0.1</f>
        <v>2.2</v>
      </c>
      <c r="G16" s="0" t="n">
        <f aca="false">F16^2-1</f>
        <v>3.84</v>
      </c>
      <c r="H16" s="0" t="n">
        <f aca="false">($E$6+1)*F16^4-4*G16</f>
        <v>40.8614400000001</v>
      </c>
      <c r="I16" s="0" t="n">
        <f aca="false">($E$6+1)^2*F16^8/16-(7+12*$E$6-3*$E$6^2)*F16^6/12+3*($E$6+1)*F16^4/2-2*F16^2+4/3</f>
        <v>104.2246480896</v>
      </c>
      <c r="J16" s="0" t="n">
        <f aca="false">F16</f>
        <v>2.2</v>
      </c>
      <c r="K16" s="0" t="n">
        <f aca="false">1+H16*$D$6/(2*G16^(1/2))+3*I16*$D$6^2/(2*G16^3)</f>
        <v>2.90378688173231</v>
      </c>
    </row>
    <row r="17" customFormat="false" ht="12.75" hidden="false" customHeight="false" outlineLevel="0" collapsed="false">
      <c r="F17" s="0" t="n">
        <f aca="false">F16+0.1</f>
        <v>2.3</v>
      </c>
      <c r="G17" s="0" t="n">
        <f aca="false">F17^2-1</f>
        <v>4.29</v>
      </c>
      <c r="H17" s="0" t="n">
        <f aca="false">($E$6+1)*F17^4-4*G17</f>
        <v>50.0018400000001</v>
      </c>
      <c r="I17" s="0" t="n">
        <f aca="false">($E$6+1)^2*F17^8/16-(7+12*$E$6-3*$E$6^2)*F17^6/12+3*($E$6+1)*F17^4/2-2*F17^2+4/3</f>
        <v>152.3487127716</v>
      </c>
      <c r="J17" s="0" t="n">
        <f aca="false">F17</f>
        <v>2.3</v>
      </c>
      <c r="K17" s="0" t="n">
        <f aca="false">1+H17*$D$6/(2*G17^(1/2))+3*I17*$D$6^2/(2*G17^3)</f>
        <v>3.19487817180023</v>
      </c>
    </row>
    <row r="18" customFormat="false" ht="12.75" hidden="false" customHeight="false" outlineLevel="0" collapsed="false">
      <c r="F18" s="0" t="n">
        <f aca="false">F17+0.1</f>
        <v>2.4</v>
      </c>
      <c r="G18" s="0" t="n">
        <f aca="false">F18^2-1</f>
        <v>4.76</v>
      </c>
      <c r="H18" s="0" t="n">
        <f aca="false">($E$6+1)*F18^4-4*G18</f>
        <v>60.5862400000001</v>
      </c>
      <c r="I18" s="0" t="n">
        <f aca="false">($E$6+1)^2*F18^8/16-(7+12*$E$6-3*$E$6^2)*F18^6/12+3*($E$6+1)*F18^4/2-2*F18^2+4/3</f>
        <v>220.143380206934</v>
      </c>
      <c r="J18" s="0" t="n">
        <f aca="false">F18</f>
        <v>2.4</v>
      </c>
      <c r="K18" s="0" t="n">
        <f aca="false">1+H18*$D$6/(2*G18^(1/2))+3*I18*$D$6^2/(2*G18^3)</f>
        <v>3.51662737664238</v>
      </c>
    </row>
    <row r="19" customFormat="false" ht="12.75" hidden="false" customHeight="false" outlineLevel="0" collapsed="false">
      <c r="F19" s="0" t="n">
        <f aca="false">F18+0.1</f>
        <v>2.5</v>
      </c>
      <c r="G19" s="0" t="n">
        <f aca="false">F19^2-1</f>
        <v>5.25</v>
      </c>
      <c r="H19" s="0" t="n">
        <f aca="false">($E$6+1)*F19^4-4*G19</f>
        <v>72.7500000000001</v>
      </c>
      <c r="I19" s="0" t="n">
        <f aca="false">($E$6+1)^2*F19^8/16-(7+12*$E$6-3*$E$6^2)*F19^6/12+3*($E$6+1)*F19^4/2-2*F19^2+4/3</f>
        <v>314.191406250001</v>
      </c>
      <c r="J19" s="0" t="n">
        <f aca="false">F19</f>
        <v>2.5</v>
      </c>
      <c r="K19" s="0" t="n">
        <f aca="false">1+H19*$D$6/(2*G19^(1/2))+3*I19*$D$6^2/(2*G19^3)</f>
        <v>3.86998312299554</v>
      </c>
    </row>
    <row r="20" customFormat="false" ht="12.75" hidden="false" customHeight="false" outlineLevel="0" collapsed="false">
      <c r="F20" s="0" t="n">
        <f aca="false">F19+0.1</f>
        <v>2.6</v>
      </c>
      <c r="G20" s="0" t="n">
        <f aca="false">F20^2-1</f>
        <v>5.76000000000001</v>
      </c>
      <c r="H20" s="0" t="n">
        <f aca="false">($E$6+1)*F20^4-4*G20</f>
        <v>86.6342400000001</v>
      </c>
      <c r="I20" s="0" t="n">
        <f aca="false">($E$6+1)^2*F20^8/16-(7+12*$E$6-3*$E$6^2)*F20^6/12+3*($E$6+1)*F20^4/2-2*F20^2+4/3</f>
        <v>442.787900313602</v>
      </c>
      <c r="J20" s="0" t="n">
        <f aca="false">F20</f>
        <v>2.6</v>
      </c>
      <c r="K20" s="0" t="n">
        <f aca="false">1+H20*$D$6/(2*G20^(1/2))+3*I20*$D$6^2/(2*G20^3)</f>
        <v>4.25598019569184</v>
      </c>
    </row>
    <row r="21" customFormat="false" ht="12.75" hidden="false" customHeight="false" outlineLevel="0" collapsed="false">
      <c r="F21" s="0" t="n">
        <f aca="false">F20+0.1</f>
        <v>2.7</v>
      </c>
      <c r="G21" s="0" t="n">
        <f aca="false">F21^2-1</f>
        <v>6.29000000000001</v>
      </c>
      <c r="H21" s="0" t="n">
        <f aca="false">($E$6+1)*F21^4-4*G21</f>
        <v>102.38584</v>
      </c>
      <c r="I21" s="0" t="n">
        <f aca="false">($E$6+1)^2*F21^8/16-(7+12*$E$6-3*$E$6^2)*F21^6/12+3*($E$6+1)*F21^4/2-2*F21^2+4/3</f>
        <v>616.270494424935</v>
      </c>
      <c r="J21" s="0" t="n">
        <f aca="false">F21</f>
        <v>2.7</v>
      </c>
      <c r="K21" s="0" t="n">
        <f aca="false">1+H21*$D$6/(2*G21^(1/2))+3*I21*$D$6^2/(2*G21^3)</f>
        <v>4.67571086065401</v>
      </c>
    </row>
    <row r="22" customFormat="false" ht="12.75" hidden="false" customHeight="false" outlineLevel="0" collapsed="false">
      <c r="F22" s="0" t="n">
        <f aca="false">F21+0.1</f>
        <v>2.8</v>
      </c>
      <c r="G22" s="0" t="n">
        <f aca="false">F22^2-1</f>
        <v>6.84000000000001</v>
      </c>
      <c r="H22" s="0" t="n">
        <f aca="false">($E$6+1)*F22^4-4*G22</f>
        <v>120.15744</v>
      </c>
      <c r="I22" s="0" t="n">
        <f aca="false">($E$6+1)^2*F22^8/16-(7+12*$E$6-3*$E$6^2)*F22^6/12+3*($E$6+1)*F22^4/2-2*F22^2+4/3</f>
        <v>847.393833369603</v>
      </c>
      <c r="J22" s="0" t="n">
        <f aca="false">F22</f>
        <v>2.8</v>
      </c>
      <c r="K22" s="0" t="n">
        <f aca="false">1+H22*$D$6/(2*G22^(1/2))+3*I22*$D$6^2/(2*G22^3)</f>
        <v>5.13030700277432</v>
      </c>
    </row>
    <row r="23" customFormat="false" ht="12.75" hidden="false" customHeight="false" outlineLevel="0" collapsed="false">
      <c r="F23" s="0" t="n">
        <f aca="false">F22+0.1</f>
        <v>2.9</v>
      </c>
      <c r="G23" s="0" t="n">
        <f aca="false">F23^2-1</f>
        <v>7.41000000000001</v>
      </c>
      <c r="H23" s="0" t="n">
        <f aca="false">($E$6+1)*F23^4-4*G23</f>
        <v>140.10744</v>
      </c>
      <c r="I23" s="0" t="n">
        <f aca="false">($E$6+1)^2*F23^8/16-(7+12*$E$6-3*$E$6^2)*F23^6/12+3*($E$6+1)*F23^4/2-2*F23^2+4/3</f>
        <v>1151.7520872996</v>
      </c>
      <c r="J23" s="0" t="n">
        <f aca="false">F23</f>
        <v>2.9</v>
      </c>
      <c r="K23" s="0" t="n">
        <f aca="false">1+H23*$D$6/(2*G23^(1/2))+3*I23*$D$6^2/(2*G23^3)</f>
        <v>5.62092859443236</v>
      </c>
    </row>
    <row r="24" customFormat="false" ht="12.75" hidden="false" customHeight="false" outlineLevel="0" collapsed="false">
      <c r="F24" s="0" t="n">
        <f aca="false">F23+0.1</f>
        <v>3</v>
      </c>
      <c r="G24" s="0" t="n">
        <f aca="false">F24^2-1</f>
        <v>8.00000000000001</v>
      </c>
      <c r="H24" s="0" t="n">
        <f aca="false">($E$6+1)*F24^4-4*G24</f>
        <v>162.4</v>
      </c>
      <c r="I24" s="0" t="n">
        <f aca="false">($E$6+1)^2*F24^8/16-(7+12*$E$6-3*$E$6^2)*F24^6/12+3*($E$6+1)*F24^4/2-2*F24^2+4/3</f>
        <v>1548.25333333334</v>
      </c>
      <c r="J24" s="0" t="n">
        <f aca="false">F24</f>
        <v>3</v>
      </c>
      <c r="K24" s="0" t="n">
        <f aca="false">1+H24*$D$6/(2*G24^(1/2))+3*I24*$D$6^2/(2*G24^3)</f>
        <v>6.14875601476764</v>
      </c>
    </row>
    <row r="25" customFormat="false" ht="12.75" hidden="false" customHeight="false" outlineLevel="0" collapsed="false">
      <c r="F25" s="0" t="n">
        <f aca="false">F24+0.1</f>
        <v>3.1</v>
      </c>
      <c r="G25" s="0" t="n">
        <f aca="false">F25^2-1</f>
        <v>8.61000000000001</v>
      </c>
      <c r="H25" s="0" t="n">
        <f aca="false">($E$6+1)*F25^4-4*G25</f>
        <v>187.20504</v>
      </c>
      <c r="I25" s="0" t="n">
        <f aca="false">($E$6+1)^2*F25^8/16-(7+12*$E$6-3*$E$6^2)*F25^6/12+3*($E$6+1)*F25^4/2-2*F25^2+4/3</f>
        <v>2059.64979782761</v>
      </c>
      <c r="J25" s="0" t="n">
        <f aca="false">F25</f>
        <v>3.1</v>
      </c>
      <c r="K25" s="0" t="n">
        <f aca="false">1+H25*$D$6/(2*G25^(1/2))+3*I25*$D$6^2/(2*G25^3)</f>
        <v>6.71498479149538</v>
      </c>
    </row>
    <row r="26" customFormat="false" ht="12.75" hidden="false" customHeight="false" outlineLevel="0" collapsed="false">
      <c r="F26" s="0" t="n">
        <f aca="false">F25+0.1</f>
        <v>3.2</v>
      </c>
      <c r="G26" s="0" t="n">
        <f aca="false">F26^2-1</f>
        <v>9.24000000000001</v>
      </c>
      <c r="H26" s="0" t="n">
        <f aca="false">($E$6+1)*F26^4-4*G26</f>
        <v>214.69824</v>
      </c>
      <c r="I26" s="0" t="n">
        <f aca="false">($E$6+1)^2*F26^8/16-(7+12*$E$6-3*$E$6^2)*F26^6/12+3*($E$6+1)*F26^4/2-2*F26^2+4/3</f>
        <v>2713.12809615361</v>
      </c>
      <c r="J26" s="0" t="n">
        <f aca="false">F26</f>
        <v>3.2</v>
      </c>
      <c r="K26" s="0" t="n">
        <f aca="false">1+H26*$D$6/(2*G26^(1/2))+3*I26*$D$6^2/(2*G26^3)</f>
        <v>7.320821912805</v>
      </c>
    </row>
    <row r="27" customFormat="false" ht="12.75" hidden="false" customHeight="false" outlineLevel="0" collapsed="false">
      <c r="F27" s="0" t="n">
        <f aca="false">F26+0.1</f>
        <v>3.3</v>
      </c>
      <c r="G27" s="0" t="n">
        <f aca="false">F27^2-1</f>
        <v>9.89000000000001</v>
      </c>
      <c r="H27" s="0" t="n">
        <f aca="false">($E$6+1)*F27^4-4*G27</f>
        <v>245.061040000001</v>
      </c>
      <c r="I27" s="0" t="n">
        <f aca="false">($E$6+1)^2*F27^8/16-(7+12*$E$6-3*$E$6^2)*F27^6/12+3*($E$6+1)*F27^4/2-2*F27^2+4/3</f>
        <v>3540.96375196095</v>
      </c>
      <c r="J27" s="0" t="n">
        <f aca="false">F27</f>
        <v>3.3</v>
      </c>
      <c r="K27" s="0" t="n">
        <f aca="false">1+H27*$D$6/(2*G27^(1/2))+3*I27*$D$6^2/(2*G27^3)</f>
        <v>7.96748318413932</v>
      </c>
    </row>
    <row r="28" customFormat="false" ht="12.75" hidden="false" customHeight="false" outlineLevel="0" collapsed="false">
      <c r="F28" s="0" t="n">
        <f aca="false">F27+0.1</f>
        <v>3.4</v>
      </c>
      <c r="G28" s="0" t="n">
        <f aca="false">F28^2-1</f>
        <v>10.56</v>
      </c>
      <c r="H28" s="0" t="n">
        <f aca="false">($E$6+1)*F28^4-4*G28</f>
        <v>278.480640000001</v>
      </c>
      <c r="I28" s="0" t="n">
        <f aca="false">($E$6+1)^2*F28^8/16-(7+12*$E$6-3*$E$6^2)*F28^6/12+3*($E$6+1)*F28^4/2-2*F28^2+4/3</f>
        <v>4581.24442306562</v>
      </c>
      <c r="J28" s="0" t="n">
        <f aca="false">F28</f>
        <v>3.4</v>
      </c>
      <c r="K28" s="0" t="n">
        <f aca="false">1+H28*$D$6/(2*G28^(1/2))+3*I28*$D$6^2/(2*G28^3)</f>
        <v>8.65619129698529</v>
      </c>
    </row>
    <row r="29" customFormat="false" ht="12.75" hidden="false" customHeight="false" outlineLevel="0" collapsed="false">
      <c r="F29" s="0" t="n">
        <f aca="false">F28+0.1</f>
        <v>3.5</v>
      </c>
      <c r="G29" s="0" t="n">
        <f aca="false">F29^2-1</f>
        <v>11.25</v>
      </c>
      <c r="H29" s="0" t="n">
        <f aca="false">($E$6+1)*F29^4-4*G29</f>
        <v>315.150000000001</v>
      </c>
      <c r="I29" s="0" t="n">
        <f aca="false">($E$6+1)^2*F29^8/16-(7+12*$E$6-3*$E$6^2)*F29^6/12+3*($E$6+1)*F29^4/2-2*F29^2+4/3</f>
        <v>5878.66640625003</v>
      </c>
      <c r="J29" s="0" t="n">
        <f aca="false">F29</f>
        <v>3.5</v>
      </c>
      <c r="K29" s="0" t="n">
        <f aca="false">1+H29*$D$6/(2*G29^(1/2))+3*I29*$D$6^2/(2*G29^3)</f>
        <v>9.38817439327441</v>
      </c>
    </row>
    <row r="30" customFormat="false" ht="12.75" hidden="false" customHeight="false" outlineLevel="0" collapsed="false">
      <c r="F30" s="0" t="n">
        <f aca="false">F29+0.1</f>
        <v>3.6</v>
      </c>
      <c r="G30" s="0" t="n">
        <f aca="false">F30^2-1</f>
        <v>11.96</v>
      </c>
      <c r="H30" s="0" t="n">
        <f aca="false">($E$6+1)*F30^4-4*G30</f>
        <v>355.267840000001</v>
      </c>
      <c r="I30" s="0" t="n">
        <f aca="false">($E$6+1)^2*F30^8/16-(7+12*$E$6-3*$E$6^2)*F30^6/12+3*($E$6+1)*F30^4/2-2*F30^2+4/3</f>
        <v>7485.40913841497</v>
      </c>
      <c r="J30" s="0" t="n">
        <f aca="false">F30</f>
        <v>3.6</v>
      </c>
      <c r="K30" s="0" t="n">
        <f aca="false">1+H30*$D$6/(2*G30^(1/2))+3*I30*$D$6^2/(2*G30^3)</f>
        <v>10.1646649814446</v>
      </c>
    </row>
    <row r="31" customFormat="false" ht="12.75" hidden="false" customHeight="false" outlineLevel="0" collapsed="false">
      <c r="F31" s="0" t="n">
        <f aca="false">F30+0.1</f>
        <v>3.7</v>
      </c>
      <c r="G31" s="0" t="n">
        <f aca="false">F31^2-1</f>
        <v>12.69</v>
      </c>
      <c r="H31" s="0" t="n">
        <f aca="false">($E$6+1)*F31^4-4*G31</f>
        <v>399.038640000001</v>
      </c>
      <c r="I31" s="0" t="n">
        <f aca="false">($E$6+1)^2*F31^8/16-(7+12*$E$6-3*$E$6^2)*F31^6/12+3*($E$6+1)*F31^4/2-2*F31^2+4/3</f>
        <v>9462.09255667564</v>
      </c>
      <c r="J31" s="0" t="n">
        <f aca="false">F31</f>
        <v>3.7</v>
      </c>
      <c r="K31" s="0" t="n">
        <f aca="false">1+H31*$D$6/(2*G31^(1/2))+3*I31*$D$6^2/(2*G31^3)</f>
        <v>10.9868991064004</v>
      </c>
    </row>
    <row r="32" customFormat="false" ht="12.75" hidden="false" customHeight="false" outlineLevel="0" collapsed="false">
      <c r="F32" s="0" t="n">
        <f aca="false">F31+0.1</f>
        <v>3.8</v>
      </c>
      <c r="G32" s="0" t="n">
        <f aca="false">F32^2-1</f>
        <v>13.44</v>
      </c>
      <c r="H32" s="0" t="n">
        <f aca="false">($E$6+1)*F32^4-4*G32</f>
        <v>446.672640000001</v>
      </c>
      <c r="I32" s="0" t="n">
        <f aca="false">($E$6+1)^2*F32^8/16-(7+12*$E$6-3*$E$6^2)*F32^6/12+3*($E$6+1)*F32^4/2-2*F32^2+4/3</f>
        <v>11878.8223251457</v>
      </c>
      <c r="J32" s="0" t="n">
        <f aca="false">F32</f>
        <v>3.8</v>
      </c>
      <c r="K32" s="0" t="n">
        <f aca="false">1+H32*$D$6/(2*G32^(1/2))+3*I32*$D$6^2/(2*G32^3)</f>
        <v>11.8561157057063</v>
      </c>
    </row>
    <row r="33" customFormat="false" ht="12.75" hidden="false" customHeight="false" outlineLevel="0" collapsed="false">
      <c r="F33" s="0" t="n">
        <f aca="false">F32+0.1</f>
        <v>3.9</v>
      </c>
      <c r="G33" s="0" t="n">
        <f aca="false">F33^2-1</f>
        <v>14.21</v>
      </c>
      <c r="H33" s="0" t="n">
        <f aca="false">($E$6+1)*F33^4-4*G33</f>
        <v>498.385840000001</v>
      </c>
      <c r="I33" s="0" t="n">
        <f aca="false">($E$6+1)^2*F33^8/16-(7+12*$E$6-3*$E$6^2)*F33^6/12+3*($E$6+1)*F33^4/2-2*F33^2+4/3</f>
        <v>14816.328081305</v>
      </c>
      <c r="J33" s="0" t="n">
        <f aca="false">F33</f>
        <v>3.9</v>
      </c>
      <c r="K33" s="0" t="n">
        <f aca="false">1+H33*$D$6/(2*G33^(1/2))+3*I33*$D$6^2/(2*G33^3)</f>
        <v>12.7735561043689</v>
      </c>
    </row>
    <row r="34" customFormat="false" ht="12.75" hidden="false" customHeight="false" outlineLevel="0" collapsed="false">
      <c r="F34" s="0" t="n">
        <f aca="false">F33+0.1</f>
        <v>4</v>
      </c>
      <c r="G34" s="0" t="n">
        <f aca="false">F34^2-1</f>
        <v>15</v>
      </c>
      <c r="H34" s="0" t="n">
        <f aca="false">($E$6+1)*F34^4-4*G34</f>
        <v>554.400000000001</v>
      </c>
      <c r="I34" s="0" t="n">
        <f aca="false">($E$6+1)^2*F34^8/16-(7+12*$E$6-3*$E$6^2)*F34^6/12+3*($E$6+1)*F34^4/2-2*F34^2+4/3</f>
        <v>18367.2000000001</v>
      </c>
      <c r="J34" s="0" t="n">
        <f aca="false">F34</f>
        <v>4</v>
      </c>
      <c r="K34" s="0" t="n">
        <f aca="false">1+H34*$D$6/(2*G34^(1/2))+3*I34*$D$6^2/(2*G34^3)</f>
        <v>13.740463614119</v>
      </c>
    </row>
    <row r="35" customFormat="false" ht="12.75" hidden="false" customHeight="false" outlineLevel="0" collapsed="false">
      <c r="F35" s="0" t="n">
        <f aca="false">F34+0.1</f>
        <v>4.1</v>
      </c>
      <c r="G35" s="0" t="n">
        <f aca="false">F35^2-1</f>
        <v>15.81</v>
      </c>
      <c r="H35" s="0" t="n">
        <f aca="false">($E$6+1)*F35^4-4*G35</f>
        <v>614.942640000001</v>
      </c>
      <c r="I35" s="0" t="n">
        <f aca="false">($E$6+1)^2*F35^8/16-(7+12*$E$6-3*$E$6^2)*F35^6/12+3*($E$6+1)*F35^4/2-2*F35^2+4/3</f>
        <v>22637.2291182757</v>
      </c>
      <c r="J35" s="0" t="n">
        <f aca="false">F35</f>
        <v>4.1</v>
      </c>
      <c r="K35" s="0" t="n">
        <f aca="false">1+H35*$D$6/(2*G35^(1/2))+3*I35*$D$6^2/(2*G35^3)</f>
        <v>14.7580832124554</v>
      </c>
    </row>
    <row r="36" customFormat="false" ht="12.75" hidden="false" customHeight="false" outlineLevel="0" collapsed="false">
      <c r="F36" s="0" t="n">
        <f aca="false">F35+0.1</f>
        <v>4.2</v>
      </c>
      <c r="G36" s="0" t="n">
        <f aca="false">F36^2-1</f>
        <v>16.64</v>
      </c>
      <c r="H36" s="0" t="n">
        <f aca="false">($E$6+1)*F36^4-4*G36</f>
        <v>680.247040000001</v>
      </c>
      <c r="I36" s="0" t="n">
        <f aca="false">($E$6+1)^2*F36^8/16-(7+12*$E$6-3*$E$6^2)*F36^6/12+3*($E$6+1)*F36^4/2-2*F36^2+4/3</f>
        <v>27746.857009391</v>
      </c>
      <c r="J36" s="0" t="n">
        <f aca="false">F36</f>
        <v>4.2</v>
      </c>
      <c r="K36" s="0" t="n">
        <f aca="false">1+H36*$D$6/(2*G36^(1/2))+3*I36*$D$6^2/(2*G36^3)</f>
        <v>15.8276612832472</v>
      </c>
    </row>
    <row r="37" customFormat="false" ht="12.75" hidden="false" customHeight="false" outlineLevel="0" collapsed="false">
      <c r="F37" s="0" t="n">
        <f aca="false">F36+0.1</f>
        <v>4.3</v>
      </c>
      <c r="G37" s="0" t="n">
        <f aca="false">F37^2-1</f>
        <v>17.49</v>
      </c>
      <c r="H37" s="0" t="n">
        <f aca="false">($E$6+1)*F37^4-4*G37</f>
        <v>750.55224</v>
      </c>
      <c r="I37" s="0" t="n">
        <f aca="false">($E$6+1)^2*F37^8/16-(7+12*$E$6-3*$E$6^2)*F37^6/12+3*($E$6+1)*F37^4/2-2*F37^2+4/3</f>
        <v>33832.7405395236</v>
      </c>
      <c r="J37" s="0" t="n">
        <f aca="false">F37</f>
        <v>4.3</v>
      </c>
      <c r="K37" s="0" t="n">
        <f aca="false">1+H37*$D$6/(2*G37^(1/2))+3*I37*$D$6^2/(2*G37^3)</f>
        <v>16.9504454053424</v>
      </c>
    </row>
    <row r="38" customFormat="false" ht="12.75" hidden="false" customHeight="false" outlineLevel="0" collapsed="false">
      <c r="F38" s="0" t="n">
        <f aca="false">F37+0.1</f>
        <v>4.4</v>
      </c>
      <c r="G38" s="0" t="n">
        <f aca="false">F38^2-1</f>
        <v>18.36</v>
      </c>
      <c r="H38" s="0" t="n">
        <f aca="false">($E$6+1)*F38^4-4*G38</f>
        <v>826.10304</v>
      </c>
      <c r="I38" s="0" t="n">
        <f aca="false">($E$6+1)^2*F38^8/16-(7+12*$E$6-3*$E$6^2)*F38^6/12+3*($E$6+1)*F38^4/2-2*F38^2+4/3</f>
        <v>41049.4375858176</v>
      </c>
      <c r="J38" s="0" t="n">
        <f aca="false">F38</f>
        <v>4.4</v>
      </c>
      <c r="K38" s="0" t="n">
        <f aca="false">1+H38*$D$6/(2*G38^(1/2))+3*I38*$D$6^2/(2*G38^3)</f>
        <v>18.1276841789679</v>
      </c>
    </row>
    <row r="39" customFormat="false" ht="12.75" hidden="false" customHeight="false" outlineLevel="0" collapsed="false">
      <c r="F39" s="0" t="n">
        <f aca="false">F38+0.1</f>
        <v>4.5</v>
      </c>
      <c r="G39" s="0" t="n">
        <f aca="false">F39^2-1</f>
        <v>19.25</v>
      </c>
      <c r="H39" s="0" t="n">
        <f aca="false">($E$6+1)*F39^4-4*G39</f>
        <v>907.15</v>
      </c>
      <c r="I39" s="0" t="n">
        <f aca="false">($E$6+1)^2*F39^8/16-(7+12*$E$6-3*$E$6^2)*F39^6/12+3*($E$6+1)*F39^4/2-2*F39^2+4/3</f>
        <v>49571.2197395833</v>
      </c>
      <c r="J39" s="0" t="n">
        <f aca="false">F39</f>
        <v>4.5</v>
      </c>
      <c r="K39" s="0" t="n">
        <f aca="false">1+H39*$D$6/(2*G39^(1/2))+3*I39*$D$6^2/(2*G39^3)</f>
        <v>19.3606270821478</v>
      </c>
    </row>
    <row r="40" customFormat="false" ht="12.75" hidden="false" customHeight="false" outlineLevel="0" collapsed="false">
      <c r="F40" s="0" t="n">
        <f aca="false">F39+0.1</f>
        <v>4.6</v>
      </c>
      <c r="G40" s="0" t="n">
        <f aca="false">F40^2-1</f>
        <v>20.16</v>
      </c>
      <c r="H40" s="0" t="n">
        <f aca="false">($E$6+1)*F40^4-4*G40</f>
        <v>993.94944</v>
      </c>
      <c r="I40" s="0" t="n">
        <f aca="false">($E$6+1)^2*F40^8/16-(7+12*$E$6-3*$E$6^2)*F40^6/12+3*($E$6+1)*F40^4/2-2*F40^2+4/3</f>
        <v>59594.0181636096</v>
      </c>
      <c r="J40" s="0" t="n">
        <f aca="false">F40</f>
        <v>4.6</v>
      </c>
      <c r="K40" s="0" t="n">
        <f aca="false">1+H40*$D$6/(2*G40^(1/2))+3*I40*$D$6^2/(2*G40^3)</f>
        <v>20.6505243511605</v>
      </c>
    </row>
    <row r="41" customFormat="false" ht="12.75" hidden="false" customHeight="false" outlineLevel="0" collapsed="false">
      <c r="F41" s="0" t="n">
        <f aca="false">F40+0.1</f>
        <v>4.7</v>
      </c>
      <c r="G41" s="0" t="n">
        <f aca="false">F41^2-1</f>
        <v>21.09</v>
      </c>
      <c r="H41" s="0" t="n">
        <f aca="false">($E$6+1)*F41^4-4*G41</f>
        <v>1086.76344</v>
      </c>
      <c r="I41" s="0" t="n">
        <f aca="false">($E$6+1)^2*F41^8/16-(7+12*$E$6-3*$E$6^2)*F41^6/12+3*($E$6+1)*F41^4/2-2*F41^2+4/3</f>
        <v>71337.5089176995</v>
      </c>
      <c r="J41" s="0" t="n">
        <f aca="false">F41</f>
        <v>4.7</v>
      </c>
      <c r="K41" s="0" t="n">
        <f aca="false">1+H41*$D$6/(2*G41^(1/2))+3*I41*$D$6^2/(2*G41^3)</f>
        <v>21.9986268803943</v>
      </c>
    </row>
    <row r="42" customFormat="false" ht="12.75" hidden="false" customHeight="false" outlineLevel="0" collapsed="false">
      <c r="F42" s="0" t="n">
        <f aca="false">F41+0.1</f>
        <v>4.8</v>
      </c>
      <c r="G42" s="0" t="n">
        <f aca="false">F42^2-1</f>
        <v>22.04</v>
      </c>
      <c r="H42" s="0" t="n">
        <f aca="false">($E$6+1)*F42^4-4*G42</f>
        <v>1185.85984</v>
      </c>
      <c r="I42" s="0" t="n">
        <f aca="false">($E$6+1)^2*F42^8/16-(7+12*$E$6-3*$E$6^2)*F42^6/12+3*($E$6+1)*F42^4/2-2*F42^2+4/3</f>
        <v>85047.3442116948</v>
      </c>
      <c r="J42" s="0" t="n">
        <f aca="false">F42</f>
        <v>4.8</v>
      </c>
      <c r="K42" s="0" t="n">
        <f aca="false">1+H42*$D$6/(2*G42^(1/2))+3*I42*$D$6^2/(2*G42^3)</f>
        <v>23.4061861379702</v>
      </c>
    </row>
    <row r="43" customFormat="false" ht="12.75" hidden="false" customHeight="false" outlineLevel="0" collapsed="false">
      <c r="F43" s="0" t="n">
        <f aca="false">F42+0.1</f>
        <v>4.9</v>
      </c>
      <c r="G43" s="0" t="n">
        <f aca="false">F43^2-1</f>
        <v>23.01</v>
      </c>
      <c r="H43" s="0" t="n">
        <f aca="false">($E$6+1)*F43^4-4*G43</f>
        <v>1291.51224</v>
      </c>
      <c r="I43" s="0" t="n">
        <f aca="false">($E$6+1)^2*F43^8/16-(7+12*$E$6-3*$E$6^2)*F43^6/12+3*($E$6+1)*F43^4/2-2*F43^2+4/3</f>
        <v>100997.536190403</v>
      </c>
      <c r="J43" s="0" t="n">
        <f aca="false">F43</f>
        <v>4.9</v>
      </c>
      <c r="K43" s="0" t="n">
        <f aca="false">1+H43*$D$6/(2*G43^(1/2))+3*I43*$D$6^2/(2*G43^3)</f>
        <v>24.8744540942652</v>
      </c>
    </row>
    <row r="44" customFormat="false" ht="12.75" hidden="false" customHeight="false" outlineLevel="0" collapsed="false">
      <c r="F44" s="0" t="n">
        <f aca="false">F43+0.1</f>
        <v>5</v>
      </c>
      <c r="G44" s="0" t="n">
        <f aca="false">F44^2-1</f>
        <v>24</v>
      </c>
      <c r="H44" s="0" t="n">
        <f aca="false">($E$6+1)*F44^4-4*G44</f>
        <v>1404</v>
      </c>
      <c r="I44" s="0" t="n">
        <f aca="false">($E$6+1)^2*F44^8/16-(7+12*$E$6-3*$E$6^2)*F44^6/12+3*($E$6+1)*F44^4/2-2*F44^2+4/3</f>
        <v>119493</v>
      </c>
      <c r="J44" s="0" t="n">
        <f aca="false">F44</f>
        <v>5</v>
      </c>
      <c r="K44" s="0" t="n">
        <f aca="false">1+H44*$D$6/(2*G44^(1/2))+3*I44*$D$6^2/(2*G44^3)</f>
        <v>26.4046831610575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2013-03-30T21:28:05Z</dcterms:created>
  <dc:creator>Owner</dc:creator>
  <dc:description/>
  <dc:language>en-US</dc:language>
  <cp:lastModifiedBy>Owner</cp:lastModifiedBy>
  <dcterms:modified xsi:type="dcterms:W3CDTF">2013-03-30T21:51:43Z</dcterms:modified>
  <cp:revision>0</cp:revision>
  <dc:subject/>
  <dc:title/>
</cp:coreProperties>
</file>